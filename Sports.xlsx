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"/>
    </mc:Choice>
  </mc:AlternateContent>
  <xr:revisionPtr revIDLastSave="143" documentId="14_{5A08C8F7-C723-458B-A808-56F7711D4F4B}" xr6:coauthVersionLast="47" xr6:coauthVersionMax="47" xr10:uidLastSave="{1A4CE999-37DB-4D60-9E95-31D0C69EF9C6}"/>
  <bookViews>
    <workbookView xWindow="1950" yWindow="1950" windowWidth="22650" windowHeight="12645" firstSheet="6" activeTab="6" xr2:uid="{CA72BA52-3F38-42F2-90C5-3F05681FC43A}"/>
  </bookViews>
  <sheets>
    <sheet name="Sheet4" sheetId="11" r:id="rId1"/>
    <sheet name="Strategy" sheetId="4" r:id="rId2"/>
    <sheet name="Matchup" sheetId="1" r:id="rId3"/>
    <sheet name="NBA Rosters" sheetId="3" r:id="rId4"/>
    <sheet name="PlayerStatsSeasonSource" sheetId="21" r:id="rId5"/>
    <sheet name="PlayerStatsSeason" sheetId="10" r:id="rId6"/>
    <sheet name="TeamRatingsSource" sheetId="26" r:id="rId7"/>
    <sheet name="TeamStats" sheetId="23" r:id="rId8"/>
    <sheet name="TeamID" sheetId="24" r:id="rId9"/>
    <sheet name="Results" sheetId="27" r:id="rId10"/>
    <sheet name="PlayerWorking" sheetId="28" r:id="rId11"/>
    <sheet name="PlayerStatsPlayoffs" sheetId="17" r:id="rId12"/>
    <sheet name="PlayoffSchedule" sheetId="20" r:id="rId13"/>
    <sheet name="Picks" sheetId="7" r:id="rId14"/>
    <sheet name="Hx" sheetId="5" r:id="rId15"/>
    <sheet name="Sheet2" sheetId="30" r:id="rId16"/>
    <sheet name="Sheet1" sheetId="29" r:id="rId17"/>
    <sheet name="NCAA Men BB" sheetId="6" r:id="rId18"/>
    <sheet name="MLB" sheetId="2" r:id="rId19"/>
  </sheets>
  <definedNames>
    <definedName name="_xlnm._FilterDatabase" localSheetId="2" hidden="1">Matchup!$A$36:$BN$36</definedName>
    <definedName name="_xlnm._FilterDatabase" localSheetId="18" hidden="1">MLB!$A$1:$AK$1</definedName>
    <definedName name="_xlnm._FilterDatabase" localSheetId="17" hidden="1">'NCAA Men BB'!$N$1:$T$1</definedName>
    <definedName name="_xlnm._FilterDatabase" localSheetId="13" hidden="1">Picks!$A$3:$H$3</definedName>
    <definedName name="_xlnm._FilterDatabase" localSheetId="5" hidden="1">PlayerStatsSeason!$A$2:$ZF$747</definedName>
    <definedName name="ExternalData_1" localSheetId="11" hidden="1">PlayerStatsPlayoffs!$A$1:$AF$211</definedName>
    <definedName name="ExternalData_1" localSheetId="4" hidden="1">PlayerStatsSeasonSource!$A$1:$AE$751</definedName>
    <definedName name="ExternalData_1" localSheetId="12" hidden="1">PlayoffSchedule!$A$1:$L$33</definedName>
    <definedName name="ExternalData_1" localSheetId="6" hidden="1">TeamRatingsSource!$A$1:$O$32</definedName>
    <definedName name="team_id">TeamID!$B$2</definedName>
    <definedName name="TeamID">TeamID!$B$2:$B$31</definedName>
    <definedName name="teams">TeamID!$C$2:$C$31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X37" i="27"/>
  <c r="X38" i="27"/>
  <c r="P31" i="27" a="1"/>
  <c r="P31" i="27"/>
  <c r="P32" i="27" a="1"/>
  <c r="P32" i="27"/>
  <c r="P33" i="27" a="1"/>
  <c r="P33" i="27"/>
  <c r="P34" i="27" a="1"/>
  <c r="P34" i="27"/>
  <c r="P35" i="27" a="1"/>
  <c r="P35" i="27"/>
  <c r="P36" i="27" a="1"/>
  <c r="P36" i="27"/>
  <c r="T138" i="27"/>
  <c r="R138" i="27"/>
  <c r="T137" i="27"/>
  <c r="R137" i="27"/>
  <c r="T136" i="27"/>
  <c r="R136" i="27"/>
  <c r="T135" i="27"/>
  <c r="R135" i="27"/>
  <c r="T134" i="27"/>
  <c r="R134" i="27"/>
  <c r="T133" i="27"/>
  <c r="R133" i="27"/>
  <c r="T132" i="27"/>
  <c r="R132" i="27"/>
  <c r="T131" i="27"/>
  <c r="R131" i="27"/>
  <c r="B111" i="27"/>
  <c r="O108" i="27"/>
  <c r="N108" i="27"/>
  <c r="L108" i="27"/>
  <c r="K108" i="27"/>
  <c r="I108" i="27"/>
  <c r="H108" i="27"/>
  <c r="C108" i="27"/>
  <c r="D108" i="27" s="1"/>
  <c r="O107" i="27"/>
  <c r="N107" i="27"/>
  <c r="L107" i="27"/>
  <c r="K107" i="27"/>
  <c r="I107" i="27"/>
  <c r="H107" i="27"/>
  <c r="C107" i="27"/>
  <c r="D107" i="27" s="1"/>
  <c r="O106" i="27"/>
  <c r="N106" i="27"/>
  <c r="L106" i="27"/>
  <c r="K106" i="27"/>
  <c r="I106" i="27"/>
  <c r="H106" i="27"/>
  <c r="C106" i="27"/>
  <c r="O105" i="27"/>
  <c r="N105" i="27"/>
  <c r="L105" i="27"/>
  <c r="K105" i="27"/>
  <c r="I105" i="27"/>
  <c r="H105" i="27"/>
  <c r="C105" i="27"/>
  <c r="O104" i="27"/>
  <c r="N104" i="27"/>
  <c r="L104" i="27"/>
  <c r="K104" i="27"/>
  <c r="I104" i="27"/>
  <c r="H104" i="27"/>
  <c r="C104" i="27"/>
  <c r="O103" i="27"/>
  <c r="N103" i="27"/>
  <c r="L103" i="27"/>
  <c r="K103" i="27"/>
  <c r="I103" i="27"/>
  <c r="H103" i="27"/>
  <c r="C103" i="27"/>
  <c r="B81" i="27"/>
  <c r="R66" i="27"/>
  <c r="R65" i="27"/>
  <c r="R64" i="27"/>
  <c r="R63" i="27"/>
  <c r="R62" i="27"/>
  <c r="R61" i="27"/>
  <c r="R60" i="27"/>
  <c r="R59" i="27"/>
  <c r="T59" i="27"/>
  <c r="T60" i="27"/>
  <c r="T61" i="27"/>
  <c r="T62" i="27"/>
  <c r="T63" i="27"/>
  <c r="T64" i="27"/>
  <c r="T65" i="27"/>
  <c r="T66" i="27"/>
  <c r="H31" i="27"/>
  <c r="I31" i="27"/>
  <c r="H32" i="27"/>
  <c r="I32" i="27"/>
  <c r="H33" i="27"/>
  <c r="I33" i="27"/>
  <c r="H34" i="27"/>
  <c r="I34" i="27"/>
  <c r="H35" i="27"/>
  <c r="I35" i="27"/>
  <c r="H36" i="27"/>
  <c r="I36" i="27"/>
  <c r="N31" i="27"/>
  <c r="O31" i="27"/>
  <c r="N32" i="27"/>
  <c r="O32" i="27"/>
  <c r="N33" i="27"/>
  <c r="O33" i="27"/>
  <c r="N34" i="27"/>
  <c r="O34" i="27"/>
  <c r="N35" i="27"/>
  <c r="O35" i="27"/>
  <c r="N36" i="27"/>
  <c r="O36" i="27"/>
  <c r="K31" i="27"/>
  <c r="L31" i="27"/>
  <c r="K32" i="27"/>
  <c r="L32" i="27"/>
  <c r="K33" i="27"/>
  <c r="L33" i="27"/>
  <c r="K34" i="27"/>
  <c r="L34" i="27"/>
  <c r="K35" i="27"/>
  <c r="L35" i="27"/>
  <c r="K36" i="27"/>
  <c r="L36" i="27"/>
  <c r="C31" i="27"/>
  <c r="C32" i="27"/>
  <c r="C33" i="27"/>
  <c r="C34" i="27"/>
  <c r="C35" i="27"/>
  <c r="D35" i="27" s="1"/>
  <c r="X35" i="27" s="1"/>
  <c r="C36" i="27"/>
  <c r="D36" i="27" s="1"/>
  <c r="X36" i="27" s="1"/>
  <c r="AE2" i="17"/>
  <c r="AE3" i="17"/>
  <c r="AE4" i="17"/>
  <c r="AE5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AE70" i="17"/>
  <c r="AE71" i="17"/>
  <c r="AE72" i="17"/>
  <c r="AE73" i="17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AE89" i="17"/>
  <c r="AE90" i="17"/>
  <c r="AE91" i="17"/>
  <c r="AE92" i="17"/>
  <c r="AE93" i="17"/>
  <c r="AE94" i="17"/>
  <c r="AE95" i="17"/>
  <c r="AE96" i="17"/>
  <c r="AE97" i="17"/>
  <c r="AE98" i="17"/>
  <c r="AE99" i="17"/>
  <c r="AE100" i="17"/>
  <c r="AE101" i="17"/>
  <c r="AE102" i="17"/>
  <c r="AE103" i="17"/>
  <c r="AE104" i="17"/>
  <c r="AE105" i="17"/>
  <c r="AE106" i="17"/>
  <c r="AE107" i="17"/>
  <c r="AE108" i="17"/>
  <c r="AE109" i="17"/>
  <c r="AE110" i="17"/>
  <c r="AE111" i="17"/>
  <c r="AE112" i="17"/>
  <c r="AE113" i="17"/>
  <c r="AE114" i="17"/>
  <c r="AE115" i="17"/>
  <c r="AE116" i="17"/>
  <c r="AE117" i="17"/>
  <c r="AE118" i="17"/>
  <c r="AE119" i="17"/>
  <c r="AE120" i="17"/>
  <c r="AE121" i="17"/>
  <c r="AE122" i="17"/>
  <c r="AE123" i="17"/>
  <c r="AE124" i="17"/>
  <c r="AE125" i="17"/>
  <c r="AE126" i="17"/>
  <c r="AE127" i="17"/>
  <c r="AE128" i="17"/>
  <c r="AE129" i="17"/>
  <c r="AE130" i="17"/>
  <c r="AE131" i="17"/>
  <c r="AE132" i="17"/>
  <c r="AE133" i="17"/>
  <c r="AE134" i="17"/>
  <c r="AE135" i="17"/>
  <c r="AE136" i="17"/>
  <c r="AE137" i="17"/>
  <c r="AE138" i="17"/>
  <c r="AE139" i="17"/>
  <c r="AE140" i="17"/>
  <c r="AE141" i="17"/>
  <c r="AE142" i="17"/>
  <c r="AE143" i="17"/>
  <c r="AE144" i="17"/>
  <c r="AE145" i="17"/>
  <c r="AE146" i="17"/>
  <c r="AE147" i="17"/>
  <c r="AE148" i="17"/>
  <c r="AE149" i="17"/>
  <c r="AE150" i="17"/>
  <c r="AE151" i="17"/>
  <c r="AE152" i="17"/>
  <c r="AE153" i="17"/>
  <c r="AE154" i="17"/>
  <c r="AE155" i="17"/>
  <c r="AE156" i="17"/>
  <c r="AE157" i="17"/>
  <c r="AE158" i="17"/>
  <c r="AE159" i="17"/>
  <c r="AE160" i="17"/>
  <c r="AE161" i="17"/>
  <c r="AE162" i="17"/>
  <c r="AE163" i="17"/>
  <c r="AE164" i="17"/>
  <c r="AE165" i="17"/>
  <c r="AE166" i="17"/>
  <c r="AE167" i="17"/>
  <c r="AE168" i="17"/>
  <c r="AE169" i="17"/>
  <c r="AE170" i="17"/>
  <c r="AE171" i="17"/>
  <c r="AE172" i="17"/>
  <c r="AE173" i="17"/>
  <c r="AE174" i="17"/>
  <c r="AE175" i="17"/>
  <c r="AE176" i="17"/>
  <c r="AE177" i="17"/>
  <c r="AE178" i="17"/>
  <c r="AE179" i="17"/>
  <c r="AE180" i="17"/>
  <c r="AE181" i="17"/>
  <c r="AE182" i="17"/>
  <c r="AE183" i="17"/>
  <c r="AE184" i="17"/>
  <c r="AE185" i="17"/>
  <c r="AE186" i="17"/>
  <c r="AE187" i="17"/>
  <c r="AE188" i="17"/>
  <c r="AE189" i="17"/>
  <c r="AE190" i="17"/>
  <c r="AE191" i="17"/>
  <c r="AE192" i="17"/>
  <c r="AE193" i="17"/>
  <c r="AE194" i="17"/>
  <c r="AE195" i="17"/>
  <c r="AE196" i="17"/>
  <c r="AE197" i="17"/>
  <c r="AE198" i="17"/>
  <c r="AE199" i="17"/>
  <c r="AE200" i="17"/>
  <c r="AE201" i="17"/>
  <c r="AE202" i="17"/>
  <c r="AE203" i="17"/>
  <c r="AE204" i="17"/>
  <c r="AE205" i="17"/>
  <c r="AE206" i="17"/>
  <c r="AE207" i="17"/>
  <c r="AE208" i="17"/>
  <c r="AE209" i="17"/>
  <c r="AE210" i="17"/>
  <c r="AE211" i="17"/>
  <c r="B39" i="27"/>
  <c r="M6" i="28" a="1"/>
  <c r="M6" i="28" s="1"/>
  <c r="P6" i="28" s="1"/>
  <c r="M7" i="28" a="1"/>
  <c r="M7" i="28" s="1"/>
  <c r="P7" i="28" s="1"/>
  <c r="M8" i="28" a="1"/>
  <c r="M8" i="28" s="1"/>
  <c r="P8" i="28" s="1"/>
  <c r="M9" i="28" a="1"/>
  <c r="M9" i="28" s="1"/>
  <c r="P9" i="28" s="1"/>
  <c r="M10" i="28" a="1"/>
  <c r="M10" i="28" s="1"/>
  <c r="P10" i="28" s="1"/>
  <c r="M11" i="28" a="1"/>
  <c r="M11" i="28" s="1"/>
  <c r="P11" i="28" s="1"/>
  <c r="M12" i="28" a="1"/>
  <c r="M12" i="28" s="1"/>
  <c r="P12" i="28" s="1"/>
  <c r="M13" i="28" a="1"/>
  <c r="M13" i="28" s="1"/>
  <c r="P13" i="28" s="1"/>
  <c r="M14" i="28" a="1"/>
  <c r="M14" i="28" s="1"/>
  <c r="P14" i="28" s="1"/>
  <c r="M15" i="28" a="1"/>
  <c r="M15" i="28" s="1"/>
  <c r="P15" i="28" s="1"/>
  <c r="M16" i="28" a="1"/>
  <c r="M16" i="28" s="1"/>
  <c r="P16" i="28" s="1"/>
  <c r="M17" i="28" a="1"/>
  <c r="M17" i="28" s="1"/>
  <c r="M18" i="28" a="1"/>
  <c r="M18" i="28" s="1"/>
  <c r="P18" i="28" s="1"/>
  <c r="M19" i="28" a="1"/>
  <c r="M19" i="28" s="1"/>
  <c r="P19" i="28" s="1"/>
  <c r="M20" i="28" a="1"/>
  <c r="M20" i="28" s="1"/>
  <c r="P20" i="28" s="1"/>
  <c r="M21" i="28" a="1"/>
  <c r="M21" i="28" s="1"/>
  <c r="P21" i="28" s="1"/>
  <c r="M22" i="28" a="1"/>
  <c r="M22" i="28" s="1"/>
  <c r="P22" i="28" s="1"/>
  <c r="M23" i="28" a="1"/>
  <c r="M23" i="28" s="1"/>
  <c r="P23" i="28" s="1"/>
  <c r="M24" i="28" a="1"/>
  <c r="M24" i="28" s="1"/>
  <c r="P24" i="28" s="1"/>
  <c r="M25" i="28" a="1"/>
  <c r="M25" i="28" s="1"/>
  <c r="N25" i="28" s="1"/>
  <c r="M26" i="28" a="1"/>
  <c r="M26" i="28" s="1"/>
  <c r="N26" i="28" s="1"/>
  <c r="M27" i="28" a="1"/>
  <c r="M27" i="28" s="1"/>
  <c r="N27" i="28" s="1"/>
  <c r="M28" i="28" a="1"/>
  <c r="M28" i="28" s="1"/>
  <c r="N28" i="28" s="1"/>
  <c r="M29" i="28" a="1"/>
  <c r="M29" i="28" s="1"/>
  <c r="N29" i="28" s="1"/>
  <c r="M30" i="28" a="1"/>
  <c r="M30" i="28" s="1"/>
  <c r="N30" i="28" s="1"/>
  <c r="M31" i="28" a="1"/>
  <c r="M31" i="28" s="1"/>
  <c r="N31" i="28" s="1"/>
  <c r="M5" i="28" a="1"/>
  <c r="M5" i="28" s="1"/>
  <c r="N5" i="28" s="1"/>
  <c r="A5" i="28" a="1"/>
  <c r="A5" i="28" s="1"/>
  <c r="B5" i="28" s="1"/>
  <c r="A55" i="28" a="1"/>
  <c r="A55" i="28" s="1"/>
  <c r="K55" i="28"/>
  <c r="A56" i="28" a="1"/>
  <c r="A56" i="28" s="1"/>
  <c r="K56" i="28"/>
  <c r="A57" i="28" a="1"/>
  <c r="A57" i="28" s="1"/>
  <c r="K57" i="28"/>
  <c r="A58" i="28" a="1"/>
  <c r="A58" i="28" s="1"/>
  <c r="K58" i="28"/>
  <c r="B9" i="27"/>
  <c r="M2" i="28"/>
  <c r="A59" i="28" a="1"/>
  <c r="A59" i="28" s="1"/>
  <c r="A60" i="28" a="1"/>
  <c r="A60" i="28" s="1"/>
  <c r="K59" i="28"/>
  <c r="K28" i="28"/>
  <c r="K29" i="28"/>
  <c r="K30" i="28"/>
  <c r="A27" i="28" a="1"/>
  <c r="A27" i="28" s="1"/>
  <c r="B27" i="28" s="1"/>
  <c r="A28" i="28" a="1"/>
  <c r="A28" i="28" s="1"/>
  <c r="B28" i="28" s="1"/>
  <c r="A29" i="28" a="1"/>
  <c r="A29" i="28" s="1"/>
  <c r="B29" i="28" s="1"/>
  <c r="A30" i="28" a="1"/>
  <c r="A30" i="28" s="1"/>
  <c r="B30" i="28" s="1"/>
  <c r="A31" i="28" a="1"/>
  <c r="A31" i="28" s="1"/>
  <c r="B31" i="28" s="1"/>
  <c r="A2" i="28"/>
  <c r="A6" i="28" a="1"/>
  <c r="A6" i="28" s="1"/>
  <c r="B6" i="28" s="1"/>
  <c r="A7" i="28" a="1"/>
  <c r="A7" i="28" s="1"/>
  <c r="B7" i="28" s="1"/>
  <c r="A8" i="28" a="1"/>
  <c r="A8" i="28" s="1"/>
  <c r="B8" i="28" s="1"/>
  <c r="A9" i="28" a="1"/>
  <c r="A9" i="28" s="1"/>
  <c r="D9" i="28" s="1"/>
  <c r="A10" i="28" a="1"/>
  <c r="A10" i="28" s="1"/>
  <c r="D10" i="28" s="1"/>
  <c r="A11" i="28" a="1"/>
  <c r="A11" i="28" s="1"/>
  <c r="D11" i="28" s="1"/>
  <c r="A12" i="28" a="1"/>
  <c r="A12" i="28" s="1"/>
  <c r="D12" i="28" s="1"/>
  <c r="A13" i="28" a="1"/>
  <c r="A13" i="28" s="1"/>
  <c r="D13" i="28" s="1"/>
  <c r="A14" i="28" a="1"/>
  <c r="A14" i="28" s="1"/>
  <c r="D14" i="28" s="1"/>
  <c r="A15" i="28" a="1"/>
  <c r="A15" i="28" s="1"/>
  <c r="D15" i="28" s="1"/>
  <c r="A16" i="28" a="1"/>
  <c r="A16" i="28" s="1"/>
  <c r="D16" i="28" s="1"/>
  <c r="A17" i="28" a="1"/>
  <c r="A17" i="28" s="1"/>
  <c r="D17" i="28" s="1"/>
  <c r="A18" i="28" a="1"/>
  <c r="A18" i="28" s="1"/>
  <c r="D18" i="28" s="1"/>
  <c r="A19" i="28" a="1"/>
  <c r="A19" i="28" s="1"/>
  <c r="D19" i="28" s="1"/>
  <c r="A20" i="28" a="1"/>
  <c r="A20" i="28" s="1"/>
  <c r="D20" i="28" s="1"/>
  <c r="A21" i="28" a="1"/>
  <c r="A21" i="28" s="1"/>
  <c r="D21" i="28" s="1"/>
  <c r="A22" i="28" a="1"/>
  <c r="A22" i="28" s="1"/>
  <c r="B22" i="28" s="1"/>
  <c r="A23" i="28" a="1"/>
  <c r="A23" i="28" s="1"/>
  <c r="B23" i="28" s="1"/>
  <c r="A24" i="28" a="1"/>
  <c r="A24" i="28" s="1"/>
  <c r="B24" i="28" s="1"/>
  <c r="A25" i="28" a="1"/>
  <c r="A25" i="28" s="1"/>
  <c r="B25" i="28" s="1"/>
  <c r="A26" i="28" a="1"/>
  <c r="A26" i="28" s="1"/>
  <c r="B26" i="28" s="1"/>
  <c r="F2" i="24" a="1"/>
  <c r="F2" i="24" s="1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2" i="2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1" i="3"/>
  <c r="B2" i="3"/>
  <c r="B3" i="3"/>
  <c r="AF4" i="21"/>
  <c r="AG4" i="21"/>
  <c r="AF5" i="21"/>
  <c r="AG5" i="21"/>
  <c r="AF6" i="21"/>
  <c r="AG6" i="21"/>
  <c r="AF7" i="21"/>
  <c r="AG7" i="21"/>
  <c r="AF8" i="21"/>
  <c r="AG8" i="21"/>
  <c r="AF9" i="21"/>
  <c r="AG9" i="21"/>
  <c r="AF10" i="21"/>
  <c r="AG10" i="21"/>
  <c r="AF11" i="21"/>
  <c r="AG11" i="21"/>
  <c r="AF12" i="21"/>
  <c r="AG12" i="21"/>
  <c r="AF13" i="21"/>
  <c r="AG13" i="21"/>
  <c r="AF14" i="21"/>
  <c r="AG14" i="21"/>
  <c r="AF15" i="21"/>
  <c r="AG15" i="21"/>
  <c r="AF16" i="21"/>
  <c r="AG16" i="21"/>
  <c r="AF17" i="21"/>
  <c r="AG17" i="21"/>
  <c r="AF18" i="21"/>
  <c r="AG18" i="21"/>
  <c r="AF19" i="21"/>
  <c r="AG19" i="21"/>
  <c r="AF20" i="21"/>
  <c r="AG20" i="21"/>
  <c r="AF21" i="21"/>
  <c r="AG21" i="21"/>
  <c r="AF22" i="21"/>
  <c r="AG22" i="21"/>
  <c r="AF23" i="21"/>
  <c r="AG23" i="21"/>
  <c r="AF24" i="21"/>
  <c r="AG24" i="21"/>
  <c r="AF25" i="21"/>
  <c r="AG25" i="21"/>
  <c r="AF26" i="21"/>
  <c r="AG26" i="21"/>
  <c r="AF27" i="21"/>
  <c r="AG27" i="21"/>
  <c r="AF28" i="21"/>
  <c r="AG28" i="21"/>
  <c r="AF29" i="21"/>
  <c r="AG29" i="21"/>
  <c r="AF30" i="21"/>
  <c r="AG30" i="21"/>
  <c r="AF31" i="21"/>
  <c r="AG31" i="21"/>
  <c r="AF32" i="21"/>
  <c r="AG32" i="21"/>
  <c r="AF33" i="21"/>
  <c r="AG33" i="21"/>
  <c r="AF34" i="21"/>
  <c r="AG34" i="21"/>
  <c r="AF35" i="21"/>
  <c r="AG35" i="21"/>
  <c r="AF36" i="21"/>
  <c r="AG36" i="21"/>
  <c r="AF37" i="21"/>
  <c r="AG37" i="21"/>
  <c r="AF38" i="21"/>
  <c r="AG38" i="21"/>
  <c r="AF39" i="21"/>
  <c r="AG39" i="21"/>
  <c r="AF40" i="21"/>
  <c r="AG40" i="21"/>
  <c r="AF41" i="21"/>
  <c r="AG41" i="21"/>
  <c r="AF42" i="21"/>
  <c r="AG42" i="21"/>
  <c r="AF43" i="21"/>
  <c r="AG43" i="21"/>
  <c r="AF44" i="21"/>
  <c r="AG44" i="21"/>
  <c r="AF45" i="21"/>
  <c r="AG45" i="21"/>
  <c r="AF46" i="21"/>
  <c r="AG46" i="21"/>
  <c r="AF47" i="21"/>
  <c r="AG47" i="21"/>
  <c r="AF48" i="21"/>
  <c r="AG48" i="21"/>
  <c r="AF49" i="21"/>
  <c r="AG49" i="21"/>
  <c r="AF50" i="21"/>
  <c r="AG50" i="21"/>
  <c r="AF51" i="21"/>
  <c r="AG51" i="21"/>
  <c r="AF52" i="21"/>
  <c r="AG52" i="21"/>
  <c r="AF53" i="21"/>
  <c r="AG53" i="21"/>
  <c r="AF54" i="21"/>
  <c r="AG54" i="21"/>
  <c r="AF55" i="21"/>
  <c r="AG55" i="21"/>
  <c r="AF56" i="21"/>
  <c r="AG56" i="21"/>
  <c r="AF57" i="21"/>
  <c r="AG57" i="21"/>
  <c r="AF58" i="21"/>
  <c r="AG58" i="21"/>
  <c r="AF59" i="21"/>
  <c r="AG59" i="21"/>
  <c r="AF60" i="21"/>
  <c r="AG60" i="21"/>
  <c r="AF61" i="21"/>
  <c r="AG61" i="21"/>
  <c r="AF62" i="21"/>
  <c r="AG62" i="21"/>
  <c r="AF63" i="21"/>
  <c r="AG63" i="21"/>
  <c r="AF64" i="21"/>
  <c r="AG64" i="21"/>
  <c r="AF65" i="21"/>
  <c r="AG65" i="21"/>
  <c r="AF66" i="21"/>
  <c r="AG66" i="21"/>
  <c r="AF67" i="21"/>
  <c r="AG67" i="21"/>
  <c r="AF68" i="21"/>
  <c r="AG68" i="21"/>
  <c r="AF69" i="21"/>
  <c r="AG69" i="21"/>
  <c r="AF70" i="21"/>
  <c r="AG70" i="21"/>
  <c r="AF71" i="21"/>
  <c r="AG71" i="21"/>
  <c r="AF72" i="21"/>
  <c r="AG72" i="21"/>
  <c r="AF73" i="21"/>
  <c r="AG73" i="21"/>
  <c r="AF74" i="21"/>
  <c r="AG74" i="21"/>
  <c r="AF75" i="21"/>
  <c r="AG75" i="21"/>
  <c r="AF76" i="21"/>
  <c r="AG76" i="21"/>
  <c r="AF77" i="21"/>
  <c r="AG77" i="21"/>
  <c r="AF78" i="21"/>
  <c r="AG78" i="21"/>
  <c r="AF79" i="21"/>
  <c r="AG79" i="21"/>
  <c r="AF80" i="21"/>
  <c r="AG80" i="21"/>
  <c r="AF81" i="21"/>
  <c r="AG81" i="21"/>
  <c r="AF82" i="21"/>
  <c r="AG82" i="21"/>
  <c r="AF83" i="21"/>
  <c r="AG83" i="21"/>
  <c r="AF84" i="21"/>
  <c r="AG84" i="21"/>
  <c r="AF85" i="21"/>
  <c r="AG85" i="21"/>
  <c r="AF86" i="21"/>
  <c r="AG86" i="21"/>
  <c r="AF87" i="21"/>
  <c r="AG87" i="21"/>
  <c r="AF88" i="21"/>
  <c r="AG88" i="21"/>
  <c r="AF89" i="21"/>
  <c r="AG89" i="21"/>
  <c r="AF90" i="21"/>
  <c r="AG90" i="21"/>
  <c r="AF91" i="21"/>
  <c r="AG91" i="21"/>
  <c r="AF92" i="21"/>
  <c r="AG92" i="21"/>
  <c r="AF93" i="21"/>
  <c r="AG93" i="21"/>
  <c r="AF94" i="21"/>
  <c r="AG94" i="21"/>
  <c r="AF95" i="21"/>
  <c r="AG95" i="21"/>
  <c r="AF96" i="21"/>
  <c r="AG96" i="21"/>
  <c r="AF97" i="21"/>
  <c r="AG97" i="21"/>
  <c r="AF98" i="21"/>
  <c r="AG98" i="21"/>
  <c r="AF99" i="21"/>
  <c r="AG99" i="21"/>
  <c r="AF100" i="21"/>
  <c r="AG100" i="21"/>
  <c r="AF101" i="21"/>
  <c r="AG101" i="21"/>
  <c r="AF102" i="21"/>
  <c r="AG102" i="21"/>
  <c r="AF103" i="21"/>
  <c r="AG103" i="21"/>
  <c r="AF104" i="21"/>
  <c r="AG104" i="21"/>
  <c r="AF105" i="21"/>
  <c r="AG105" i="21"/>
  <c r="AF106" i="21"/>
  <c r="AG106" i="21"/>
  <c r="AF107" i="21"/>
  <c r="AG107" i="21"/>
  <c r="AF108" i="21"/>
  <c r="AG108" i="21"/>
  <c r="AF109" i="21"/>
  <c r="AG109" i="21"/>
  <c r="AF110" i="21"/>
  <c r="AG110" i="21"/>
  <c r="AF111" i="21"/>
  <c r="AG111" i="21"/>
  <c r="AF112" i="21"/>
  <c r="AG112" i="21"/>
  <c r="AF113" i="21"/>
  <c r="AG113" i="21"/>
  <c r="AF114" i="21"/>
  <c r="AG114" i="21"/>
  <c r="AF115" i="21"/>
  <c r="AG115" i="21"/>
  <c r="AF116" i="21"/>
  <c r="AG116" i="21"/>
  <c r="AF117" i="21"/>
  <c r="AG117" i="21"/>
  <c r="AF118" i="21"/>
  <c r="AG118" i="21"/>
  <c r="AF119" i="21"/>
  <c r="AG119" i="21"/>
  <c r="AF120" i="21"/>
  <c r="AG120" i="21"/>
  <c r="AF121" i="21"/>
  <c r="AG121" i="21"/>
  <c r="AF122" i="21"/>
  <c r="AG122" i="21"/>
  <c r="AF123" i="21"/>
  <c r="AG123" i="21"/>
  <c r="AF124" i="21"/>
  <c r="AG124" i="21"/>
  <c r="AF125" i="21"/>
  <c r="AG125" i="21"/>
  <c r="AF126" i="21"/>
  <c r="AG126" i="21"/>
  <c r="AF127" i="21"/>
  <c r="AG127" i="21"/>
  <c r="AF128" i="21"/>
  <c r="AG128" i="21"/>
  <c r="AF129" i="21"/>
  <c r="AG129" i="21"/>
  <c r="AF130" i="21"/>
  <c r="AG130" i="21"/>
  <c r="AF131" i="21"/>
  <c r="AG131" i="21"/>
  <c r="AF132" i="21"/>
  <c r="AG132" i="21"/>
  <c r="AF133" i="21"/>
  <c r="AG133" i="21"/>
  <c r="AF134" i="21"/>
  <c r="AG134" i="21"/>
  <c r="AF135" i="21"/>
  <c r="AG135" i="21"/>
  <c r="AF136" i="21"/>
  <c r="AG136" i="21"/>
  <c r="AF137" i="21"/>
  <c r="AG137" i="21"/>
  <c r="AF138" i="21"/>
  <c r="AG138" i="21"/>
  <c r="AF139" i="21"/>
  <c r="AG139" i="21"/>
  <c r="AF140" i="21"/>
  <c r="AG140" i="21"/>
  <c r="AF141" i="21"/>
  <c r="AG141" i="21"/>
  <c r="AF142" i="21"/>
  <c r="AG142" i="21"/>
  <c r="AF143" i="21"/>
  <c r="AG143" i="21"/>
  <c r="AF144" i="21"/>
  <c r="AG144" i="21"/>
  <c r="AF145" i="21"/>
  <c r="AG145" i="21"/>
  <c r="AF146" i="21"/>
  <c r="AG146" i="21"/>
  <c r="AF147" i="21"/>
  <c r="AG147" i="21"/>
  <c r="AF148" i="21"/>
  <c r="AG148" i="21"/>
  <c r="AF149" i="21"/>
  <c r="AG149" i="21"/>
  <c r="AF150" i="21"/>
  <c r="AG150" i="21"/>
  <c r="AF151" i="21"/>
  <c r="AG151" i="21"/>
  <c r="AF152" i="21"/>
  <c r="AG152" i="21"/>
  <c r="AF153" i="21"/>
  <c r="AG153" i="21"/>
  <c r="AF154" i="21"/>
  <c r="AG154" i="21"/>
  <c r="AF155" i="21"/>
  <c r="AG155" i="21"/>
  <c r="AF156" i="21"/>
  <c r="AG156" i="21"/>
  <c r="AF157" i="21"/>
  <c r="AG157" i="21"/>
  <c r="AF158" i="21"/>
  <c r="AG158" i="21"/>
  <c r="AF159" i="21"/>
  <c r="AG159" i="21"/>
  <c r="AF160" i="21"/>
  <c r="AG160" i="21"/>
  <c r="AF161" i="21"/>
  <c r="AG161" i="21"/>
  <c r="AF162" i="21"/>
  <c r="AG162" i="21"/>
  <c r="AF163" i="21"/>
  <c r="AG163" i="21"/>
  <c r="AF164" i="21"/>
  <c r="AG164" i="21"/>
  <c r="AF165" i="21"/>
  <c r="AG165" i="21"/>
  <c r="AF166" i="21"/>
  <c r="AG166" i="21"/>
  <c r="AF167" i="21"/>
  <c r="AG167" i="21"/>
  <c r="AF168" i="21"/>
  <c r="AG168" i="21"/>
  <c r="AF169" i="21"/>
  <c r="AG169" i="21"/>
  <c r="AF170" i="21"/>
  <c r="AG170" i="21"/>
  <c r="AF171" i="21"/>
  <c r="AG171" i="21"/>
  <c r="AF172" i="21"/>
  <c r="AG172" i="21"/>
  <c r="AF173" i="21"/>
  <c r="AG173" i="21"/>
  <c r="AF174" i="21"/>
  <c r="AG174" i="21"/>
  <c r="AF175" i="21"/>
  <c r="AG175" i="21"/>
  <c r="AF176" i="21"/>
  <c r="AG176" i="21"/>
  <c r="AF177" i="21"/>
  <c r="AG177" i="21"/>
  <c r="AF178" i="21"/>
  <c r="AG178" i="21"/>
  <c r="AF179" i="21"/>
  <c r="AG179" i="21"/>
  <c r="AF180" i="21"/>
  <c r="AG180" i="21"/>
  <c r="AF181" i="21"/>
  <c r="AG181" i="21"/>
  <c r="AF182" i="21"/>
  <c r="AG182" i="21"/>
  <c r="AF183" i="21"/>
  <c r="AG183" i="21"/>
  <c r="AF184" i="21"/>
  <c r="AG184" i="21"/>
  <c r="AF185" i="21"/>
  <c r="AG185" i="21"/>
  <c r="AF186" i="21"/>
  <c r="AG186" i="21"/>
  <c r="AF187" i="21"/>
  <c r="AG187" i="21"/>
  <c r="AF188" i="21"/>
  <c r="AG188" i="21"/>
  <c r="AF189" i="21"/>
  <c r="AG189" i="21"/>
  <c r="AF190" i="21"/>
  <c r="AG190" i="21"/>
  <c r="AF191" i="21"/>
  <c r="AG191" i="21"/>
  <c r="AF192" i="21"/>
  <c r="AG192" i="21"/>
  <c r="AF193" i="21"/>
  <c r="AG193" i="21"/>
  <c r="AF194" i="21"/>
  <c r="AG194" i="21"/>
  <c r="AF195" i="21"/>
  <c r="AG195" i="21"/>
  <c r="AF196" i="21"/>
  <c r="AG196" i="21"/>
  <c r="AF197" i="21"/>
  <c r="AG197" i="21"/>
  <c r="AF198" i="21"/>
  <c r="AG198" i="21"/>
  <c r="AF199" i="21"/>
  <c r="AG199" i="21"/>
  <c r="AF200" i="21"/>
  <c r="AG200" i="21"/>
  <c r="AF201" i="21"/>
  <c r="AG201" i="21"/>
  <c r="AF202" i="21"/>
  <c r="AG202" i="21"/>
  <c r="AF203" i="21"/>
  <c r="AG203" i="21"/>
  <c r="AF204" i="21"/>
  <c r="AG204" i="21"/>
  <c r="AF205" i="21"/>
  <c r="AG205" i="21"/>
  <c r="AF206" i="21"/>
  <c r="AG206" i="21"/>
  <c r="AF207" i="21"/>
  <c r="AG207" i="21"/>
  <c r="AF208" i="21"/>
  <c r="AG208" i="21"/>
  <c r="AF209" i="21"/>
  <c r="AG209" i="21"/>
  <c r="AF210" i="21"/>
  <c r="AG210" i="21"/>
  <c r="AF211" i="21"/>
  <c r="AG211" i="21"/>
  <c r="AF212" i="21"/>
  <c r="AG212" i="21"/>
  <c r="AF213" i="21"/>
  <c r="AG213" i="21"/>
  <c r="AF214" i="21"/>
  <c r="AG214" i="21"/>
  <c r="AF215" i="21"/>
  <c r="AG215" i="21"/>
  <c r="AF216" i="21"/>
  <c r="AG216" i="21"/>
  <c r="AF217" i="21"/>
  <c r="AG217" i="21"/>
  <c r="AF218" i="21"/>
  <c r="AG218" i="21"/>
  <c r="AF219" i="21"/>
  <c r="AG219" i="21"/>
  <c r="AF220" i="21"/>
  <c r="AG220" i="21"/>
  <c r="AF221" i="21"/>
  <c r="AG221" i="21"/>
  <c r="AF222" i="21"/>
  <c r="AG222" i="21"/>
  <c r="AF223" i="21"/>
  <c r="AG223" i="21"/>
  <c r="AF224" i="21"/>
  <c r="AG224" i="21"/>
  <c r="AF225" i="21"/>
  <c r="AG225" i="21"/>
  <c r="AF226" i="21"/>
  <c r="AG226" i="21"/>
  <c r="AF227" i="21"/>
  <c r="AG227" i="21"/>
  <c r="AF228" i="21"/>
  <c r="AG228" i="21"/>
  <c r="AF229" i="21"/>
  <c r="AG229" i="21"/>
  <c r="AF230" i="21"/>
  <c r="AG230" i="21"/>
  <c r="AF231" i="21"/>
  <c r="AG231" i="21"/>
  <c r="AF232" i="21"/>
  <c r="AG232" i="21"/>
  <c r="AF233" i="21"/>
  <c r="AG233" i="21"/>
  <c r="AF234" i="21"/>
  <c r="AG234" i="21"/>
  <c r="AF235" i="21"/>
  <c r="AG235" i="21"/>
  <c r="AF236" i="21"/>
  <c r="AG236" i="21"/>
  <c r="AF237" i="21"/>
  <c r="AG237" i="21"/>
  <c r="AF238" i="21"/>
  <c r="AG238" i="21"/>
  <c r="AF239" i="21"/>
  <c r="AG239" i="21"/>
  <c r="AF240" i="21"/>
  <c r="AG240" i="21"/>
  <c r="AF241" i="21"/>
  <c r="AG241" i="21"/>
  <c r="AF242" i="21"/>
  <c r="AG242" i="21"/>
  <c r="AF243" i="21"/>
  <c r="AG243" i="21"/>
  <c r="AF244" i="21"/>
  <c r="AG244" i="21"/>
  <c r="AF245" i="21"/>
  <c r="AG245" i="21"/>
  <c r="AF246" i="21"/>
  <c r="AG246" i="21"/>
  <c r="AF247" i="21"/>
  <c r="AG247" i="21"/>
  <c r="AF248" i="21"/>
  <c r="AG248" i="21"/>
  <c r="AF249" i="21"/>
  <c r="AG249" i="21"/>
  <c r="AF250" i="21"/>
  <c r="AG250" i="21"/>
  <c r="AF251" i="21"/>
  <c r="AG251" i="21"/>
  <c r="AF252" i="21"/>
  <c r="AG252" i="21"/>
  <c r="AF253" i="21"/>
  <c r="AG253" i="21"/>
  <c r="AF254" i="21"/>
  <c r="AG254" i="21"/>
  <c r="AF255" i="21"/>
  <c r="AG255" i="21"/>
  <c r="AF256" i="21"/>
  <c r="AG256" i="21"/>
  <c r="AF257" i="21"/>
  <c r="AG257" i="21"/>
  <c r="AF258" i="21"/>
  <c r="AG258" i="21"/>
  <c r="AF259" i="21"/>
  <c r="AG259" i="21"/>
  <c r="AF260" i="21"/>
  <c r="AG260" i="21"/>
  <c r="AF261" i="21"/>
  <c r="AG261" i="21"/>
  <c r="AF262" i="21"/>
  <c r="AG262" i="21"/>
  <c r="AF263" i="21"/>
  <c r="AG263" i="21"/>
  <c r="AF264" i="21"/>
  <c r="AG264" i="21"/>
  <c r="AF265" i="21"/>
  <c r="AG265" i="21"/>
  <c r="AF266" i="21"/>
  <c r="AG266" i="21"/>
  <c r="AF267" i="21"/>
  <c r="AG267" i="21"/>
  <c r="AF268" i="21"/>
  <c r="AG268" i="21"/>
  <c r="AF269" i="21"/>
  <c r="AG269" i="21"/>
  <c r="AF270" i="21"/>
  <c r="AG270" i="21"/>
  <c r="AF271" i="21"/>
  <c r="AG271" i="21"/>
  <c r="AF272" i="21"/>
  <c r="AG272" i="21"/>
  <c r="AF273" i="21"/>
  <c r="AG273" i="21"/>
  <c r="AF274" i="21"/>
  <c r="AG274" i="21"/>
  <c r="AF275" i="21"/>
  <c r="AG275" i="21"/>
  <c r="AF276" i="21"/>
  <c r="AG276" i="21"/>
  <c r="AF277" i="21"/>
  <c r="AG277" i="21"/>
  <c r="AF278" i="21"/>
  <c r="AG278" i="21"/>
  <c r="AF279" i="21"/>
  <c r="AG279" i="21"/>
  <c r="AF280" i="21"/>
  <c r="AG280" i="21"/>
  <c r="AF281" i="21"/>
  <c r="AG281" i="21"/>
  <c r="AF282" i="21"/>
  <c r="AG282" i="21"/>
  <c r="AF283" i="21"/>
  <c r="AG283" i="21"/>
  <c r="AF284" i="21"/>
  <c r="AG284" i="21"/>
  <c r="AF285" i="21"/>
  <c r="AG285" i="21"/>
  <c r="AF286" i="21"/>
  <c r="AG286" i="21"/>
  <c r="AF287" i="21"/>
  <c r="AG287" i="21"/>
  <c r="AF288" i="21"/>
  <c r="AG288" i="21"/>
  <c r="AF289" i="21"/>
  <c r="AG289" i="21"/>
  <c r="AF290" i="21"/>
  <c r="AG290" i="21"/>
  <c r="AF291" i="21"/>
  <c r="AG291" i="21"/>
  <c r="AF292" i="21"/>
  <c r="AG292" i="21"/>
  <c r="AF293" i="21"/>
  <c r="AG293" i="21"/>
  <c r="AF294" i="21"/>
  <c r="AG294" i="21"/>
  <c r="AF295" i="21"/>
  <c r="AG295" i="21"/>
  <c r="AF296" i="21"/>
  <c r="AG296" i="21"/>
  <c r="AF297" i="21"/>
  <c r="AG297" i="21"/>
  <c r="AF298" i="21"/>
  <c r="AG298" i="21"/>
  <c r="AF299" i="21"/>
  <c r="AG299" i="21"/>
  <c r="AF300" i="21"/>
  <c r="AG300" i="21"/>
  <c r="AF301" i="21"/>
  <c r="AG301" i="21"/>
  <c r="AF302" i="21"/>
  <c r="AG302" i="21"/>
  <c r="AF303" i="21"/>
  <c r="AG303" i="21"/>
  <c r="AF304" i="21"/>
  <c r="AG304" i="21"/>
  <c r="AF305" i="21"/>
  <c r="AG305" i="21"/>
  <c r="AF306" i="21"/>
  <c r="AG306" i="21"/>
  <c r="AF307" i="21"/>
  <c r="AG307" i="21"/>
  <c r="AF308" i="21"/>
  <c r="AG308" i="21"/>
  <c r="AF309" i="21"/>
  <c r="AG309" i="21"/>
  <c r="AF310" i="21"/>
  <c r="AG310" i="21"/>
  <c r="AF311" i="21"/>
  <c r="AG311" i="21"/>
  <c r="AF312" i="21"/>
  <c r="AG312" i="21"/>
  <c r="AF313" i="21"/>
  <c r="AG313" i="21"/>
  <c r="AF314" i="21"/>
  <c r="AG314" i="21"/>
  <c r="AF315" i="21"/>
  <c r="AG315" i="21"/>
  <c r="AF316" i="21"/>
  <c r="AG316" i="21"/>
  <c r="AF317" i="21"/>
  <c r="AG317" i="21"/>
  <c r="AF318" i="21"/>
  <c r="AG318" i="21"/>
  <c r="AF319" i="21"/>
  <c r="AG319" i="21"/>
  <c r="AF320" i="21"/>
  <c r="AG320" i="21"/>
  <c r="AF321" i="21"/>
  <c r="AG321" i="21"/>
  <c r="AF322" i="21"/>
  <c r="AG322" i="21"/>
  <c r="AF323" i="21"/>
  <c r="AG323" i="21"/>
  <c r="AF324" i="21"/>
  <c r="AG324" i="21"/>
  <c r="AF325" i="21"/>
  <c r="AG325" i="21"/>
  <c r="AF326" i="21"/>
  <c r="AG326" i="21"/>
  <c r="AF327" i="21"/>
  <c r="AG327" i="21"/>
  <c r="AF328" i="21"/>
  <c r="AG328" i="21"/>
  <c r="AF329" i="21"/>
  <c r="AG329" i="21"/>
  <c r="AF330" i="21"/>
  <c r="AG330" i="21"/>
  <c r="AF331" i="21"/>
  <c r="AG331" i="21"/>
  <c r="AF332" i="21"/>
  <c r="AG332" i="21"/>
  <c r="AF333" i="21"/>
  <c r="AG333" i="21"/>
  <c r="AF334" i="21"/>
  <c r="AG334" i="21"/>
  <c r="AF335" i="21"/>
  <c r="AG335" i="21"/>
  <c r="AF336" i="21"/>
  <c r="AG336" i="21"/>
  <c r="AF337" i="21"/>
  <c r="AG337" i="21"/>
  <c r="AF338" i="21"/>
  <c r="AG338" i="21"/>
  <c r="AF339" i="21"/>
  <c r="AG339" i="21"/>
  <c r="AF340" i="21"/>
  <c r="AG340" i="21"/>
  <c r="AF341" i="21"/>
  <c r="AG341" i="21"/>
  <c r="AF342" i="21"/>
  <c r="AG342" i="21"/>
  <c r="AF343" i="21"/>
  <c r="AG343" i="21"/>
  <c r="AF344" i="21"/>
  <c r="AG344" i="21"/>
  <c r="AF345" i="21"/>
  <c r="AG345" i="21"/>
  <c r="AF346" i="21"/>
  <c r="AG346" i="21"/>
  <c r="AF347" i="21"/>
  <c r="AG347" i="21"/>
  <c r="AF348" i="21"/>
  <c r="AG348" i="21"/>
  <c r="AF349" i="21"/>
  <c r="AG349" i="21"/>
  <c r="AF350" i="21"/>
  <c r="AG350" i="21"/>
  <c r="AF351" i="21"/>
  <c r="AG351" i="21"/>
  <c r="AF352" i="21"/>
  <c r="AG352" i="21"/>
  <c r="AF353" i="21"/>
  <c r="AG353" i="21"/>
  <c r="AF354" i="21"/>
  <c r="AG354" i="21"/>
  <c r="AF355" i="21"/>
  <c r="AG355" i="21"/>
  <c r="AF356" i="21"/>
  <c r="AG356" i="21"/>
  <c r="AF357" i="21"/>
  <c r="AG357" i="21"/>
  <c r="AF358" i="21"/>
  <c r="AG358" i="21"/>
  <c r="AF359" i="21"/>
  <c r="AG359" i="21"/>
  <c r="AF360" i="21"/>
  <c r="AG360" i="21"/>
  <c r="AF361" i="21"/>
  <c r="AG361" i="21"/>
  <c r="AF362" i="21"/>
  <c r="AG362" i="21"/>
  <c r="AF363" i="21"/>
  <c r="AG363" i="21"/>
  <c r="AF364" i="21"/>
  <c r="AG364" i="21"/>
  <c r="AF365" i="21"/>
  <c r="AG365" i="21"/>
  <c r="AF366" i="21"/>
  <c r="AG366" i="21"/>
  <c r="AF367" i="21"/>
  <c r="AG367" i="21"/>
  <c r="AF368" i="21"/>
  <c r="AG368" i="21"/>
  <c r="AF369" i="21"/>
  <c r="AG369" i="21"/>
  <c r="AF370" i="21"/>
  <c r="AG370" i="21"/>
  <c r="AF371" i="21"/>
  <c r="AG371" i="21"/>
  <c r="AF372" i="21"/>
  <c r="AG372" i="21"/>
  <c r="AF373" i="21"/>
  <c r="AG373" i="21"/>
  <c r="AF374" i="21"/>
  <c r="AG374" i="21"/>
  <c r="AF375" i="21"/>
  <c r="AG375" i="21"/>
  <c r="AF376" i="21"/>
  <c r="AG376" i="21"/>
  <c r="AF377" i="21"/>
  <c r="AG377" i="21"/>
  <c r="AF378" i="21"/>
  <c r="AG378" i="21"/>
  <c r="AF379" i="21"/>
  <c r="AG379" i="21"/>
  <c r="AF380" i="21"/>
  <c r="AG380" i="21"/>
  <c r="AF381" i="21"/>
  <c r="AG381" i="21"/>
  <c r="AF382" i="21"/>
  <c r="AG382" i="21"/>
  <c r="AF383" i="21"/>
  <c r="AG383" i="21"/>
  <c r="AF384" i="21"/>
  <c r="AG384" i="21"/>
  <c r="AF385" i="21"/>
  <c r="AG385" i="21"/>
  <c r="AF386" i="21"/>
  <c r="AG386" i="21"/>
  <c r="AF387" i="21"/>
  <c r="AG387" i="21"/>
  <c r="AF388" i="21"/>
  <c r="AG388" i="21"/>
  <c r="AF389" i="21"/>
  <c r="AG389" i="21"/>
  <c r="AF390" i="21"/>
  <c r="AG390" i="21"/>
  <c r="AF391" i="21"/>
  <c r="AG391" i="21"/>
  <c r="AF392" i="21"/>
  <c r="AG392" i="21"/>
  <c r="AF393" i="21"/>
  <c r="AG393" i="21"/>
  <c r="AF394" i="21"/>
  <c r="AG394" i="21"/>
  <c r="AF395" i="21"/>
  <c r="AG395" i="21"/>
  <c r="AF396" i="21"/>
  <c r="AG396" i="21"/>
  <c r="AF397" i="21"/>
  <c r="AG397" i="21"/>
  <c r="AF398" i="21"/>
  <c r="AG398" i="21"/>
  <c r="AF399" i="21"/>
  <c r="AG399" i="21"/>
  <c r="AF400" i="21"/>
  <c r="AG400" i="21"/>
  <c r="AF401" i="21"/>
  <c r="AG401" i="21"/>
  <c r="AF402" i="21"/>
  <c r="AG402" i="21"/>
  <c r="AF403" i="21"/>
  <c r="AG403" i="21"/>
  <c r="AF404" i="21"/>
  <c r="AG404" i="21"/>
  <c r="AF405" i="21"/>
  <c r="AG405" i="21"/>
  <c r="AF406" i="21"/>
  <c r="AG406" i="21"/>
  <c r="AF407" i="21"/>
  <c r="AG407" i="21"/>
  <c r="AF408" i="21"/>
  <c r="AG408" i="21"/>
  <c r="AF409" i="21"/>
  <c r="AG409" i="21"/>
  <c r="AF410" i="21"/>
  <c r="AG410" i="21"/>
  <c r="AF411" i="21"/>
  <c r="AG411" i="21"/>
  <c r="AF412" i="21"/>
  <c r="AG412" i="21"/>
  <c r="AF413" i="21"/>
  <c r="AG413" i="21"/>
  <c r="AF414" i="21"/>
  <c r="AG414" i="21"/>
  <c r="AF415" i="21"/>
  <c r="AG415" i="21"/>
  <c r="AF416" i="21"/>
  <c r="AG416" i="21"/>
  <c r="AF417" i="21"/>
  <c r="AG417" i="21"/>
  <c r="AF418" i="21"/>
  <c r="AG418" i="21"/>
  <c r="AF419" i="21"/>
  <c r="AG419" i="21"/>
  <c r="AF420" i="21"/>
  <c r="AG420" i="21"/>
  <c r="AF421" i="21"/>
  <c r="AG421" i="21"/>
  <c r="AF422" i="21"/>
  <c r="AG422" i="21"/>
  <c r="AF423" i="21"/>
  <c r="AG423" i="21"/>
  <c r="AF424" i="21"/>
  <c r="AG424" i="21"/>
  <c r="AF425" i="21"/>
  <c r="AG425" i="21"/>
  <c r="AF426" i="21"/>
  <c r="AG426" i="21"/>
  <c r="AF427" i="21"/>
  <c r="AG427" i="21"/>
  <c r="AF428" i="21"/>
  <c r="AG428" i="21"/>
  <c r="AF429" i="21"/>
  <c r="AG429" i="21"/>
  <c r="AF430" i="21"/>
  <c r="AG430" i="21"/>
  <c r="AF431" i="21"/>
  <c r="AG431" i="21"/>
  <c r="AF432" i="21"/>
  <c r="AG432" i="21"/>
  <c r="AF433" i="21"/>
  <c r="AG433" i="21"/>
  <c r="AF434" i="21"/>
  <c r="AG434" i="21"/>
  <c r="AF435" i="21"/>
  <c r="AG435" i="21"/>
  <c r="AF436" i="21"/>
  <c r="AG436" i="21"/>
  <c r="AF437" i="21"/>
  <c r="AG437" i="21"/>
  <c r="AF438" i="21"/>
  <c r="AG438" i="21"/>
  <c r="AF439" i="21"/>
  <c r="AG439" i="21"/>
  <c r="AF440" i="21"/>
  <c r="AG440" i="21"/>
  <c r="AF441" i="21"/>
  <c r="AG441" i="21"/>
  <c r="AF442" i="21"/>
  <c r="AG442" i="21"/>
  <c r="AF443" i="21"/>
  <c r="AG443" i="21"/>
  <c r="AF444" i="21"/>
  <c r="AG444" i="21"/>
  <c r="AF445" i="21"/>
  <c r="AG445" i="21"/>
  <c r="AF446" i="21"/>
  <c r="AG446" i="21"/>
  <c r="AF447" i="21"/>
  <c r="AG447" i="21"/>
  <c r="AF448" i="21"/>
  <c r="AG448" i="21"/>
  <c r="AF449" i="21"/>
  <c r="AG449" i="21"/>
  <c r="AF450" i="21"/>
  <c r="AG450" i="21"/>
  <c r="AF451" i="21"/>
  <c r="AG451" i="21"/>
  <c r="AF452" i="21"/>
  <c r="AG452" i="21"/>
  <c r="AF453" i="21"/>
  <c r="AG453" i="21"/>
  <c r="AF454" i="21"/>
  <c r="AG454" i="21"/>
  <c r="AF455" i="21"/>
  <c r="AG455" i="21"/>
  <c r="AF456" i="21"/>
  <c r="AG456" i="21"/>
  <c r="AF457" i="21"/>
  <c r="AG457" i="21"/>
  <c r="AF458" i="21"/>
  <c r="AG458" i="21"/>
  <c r="AF459" i="21"/>
  <c r="AG459" i="21"/>
  <c r="AF460" i="21"/>
  <c r="AG460" i="21"/>
  <c r="AF461" i="21"/>
  <c r="AG461" i="21"/>
  <c r="AF462" i="21"/>
  <c r="AG462" i="21"/>
  <c r="AF463" i="21"/>
  <c r="AG463" i="21"/>
  <c r="AF464" i="21"/>
  <c r="AG464" i="21"/>
  <c r="AF465" i="21"/>
  <c r="AG465" i="21"/>
  <c r="AF466" i="21"/>
  <c r="AG466" i="21"/>
  <c r="AF467" i="21"/>
  <c r="AG467" i="21"/>
  <c r="AF468" i="21"/>
  <c r="AG468" i="21"/>
  <c r="AF469" i="21"/>
  <c r="AG469" i="21"/>
  <c r="AF470" i="21"/>
  <c r="AG470" i="21"/>
  <c r="AF471" i="21"/>
  <c r="AG471" i="21"/>
  <c r="AF472" i="21"/>
  <c r="AG472" i="21"/>
  <c r="AF473" i="21"/>
  <c r="AG473" i="21"/>
  <c r="AF474" i="21"/>
  <c r="AG474" i="21"/>
  <c r="AF475" i="21"/>
  <c r="AG475" i="21"/>
  <c r="AF476" i="21"/>
  <c r="AG476" i="21"/>
  <c r="AF477" i="21"/>
  <c r="AG477" i="21"/>
  <c r="AF478" i="21"/>
  <c r="AG478" i="21"/>
  <c r="AF479" i="21"/>
  <c r="AG479" i="21"/>
  <c r="AF480" i="21"/>
  <c r="AG480" i="21"/>
  <c r="AF481" i="21"/>
  <c r="AG481" i="21"/>
  <c r="AF482" i="21"/>
  <c r="AG482" i="21"/>
  <c r="AF483" i="21"/>
  <c r="AG483" i="21"/>
  <c r="AF484" i="21"/>
  <c r="AG484" i="21"/>
  <c r="AF485" i="21"/>
  <c r="AG485" i="21"/>
  <c r="AF486" i="21"/>
  <c r="AG486" i="21"/>
  <c r="AF487" i="21"/>
  <c r="AG487" i="21"/>
  <c r="AF488" i="21"/>
  <c r="AG488" i="21"/>
  <c r="AF489" i="21"/>
  <c r="AG489" i="21"/>
  <c r="AF490" i="21"/>
  <c r="AG490" i="21"/>
  <c r="AF491" i="21"/>
  <c r="AG491" i="21"/>
  <c r="AF492" i="21"/>
  <c r="AG492" i="21"/>
  <c r="AF493" i="21"/>
  <c r="AG493" i="21"/>
  <c r="AF494" i="21"/>
  <c r="AG494" i="21"/>
  <c r="AF495" i="21"/>
  <c r="AG495" i="21"/>
  <c r="AF496" i="21"/>
  <c r="AG496" i="21"/>
  <c r="AF497" i="21"/>
  <c r="AG497" i="21"/>
  <c r="AF498" i="21"/>
  <c r="AG498" i="21"/>
  <c r="AF499" i="21"/>
  <c r="AG499" i="21"/>
  <c r="AF500" i="21"/>
  <c r="AG500" i="21"/>
  <c r="AF501" i="21"/>
  <c r="AG501" i="21"/>
  <c r="AF502" i="21"/>
  <c r="AG502" i="21"/>
  <c r="AF503" i="21"/>
  <c r="AG503" i="21"/>
  <c r="AF504" i="21"/>
  <c r="AG504" i="21"/>
  <c r="AF505" i="21"/>
  <c r="AG505" i="21"/>
  <c r="AF506" i="21"/>
  <c r="AG506" i="21"/>
  <c r="AF507" i="21"/>
  <c r="AG507" i="21"/>
  <c r="AF508" i="21"/>
  <c r="AG508" i="21"/>
  <c r="AF509" i="21"/>
  <c r="AG509" i="21"/>
  <c r="AF510" i="21"/>
  <c r="AG510" i="21"/>
  <c r="AF511" i="21"/>
  <c r="AG511" i="21"/>
  <c r="AF512" i="21"/>
  <c r="AG512" i="21"/>
  <c r="AF513" i="21"/>
  <c r="AG513" i="21"/>
  <c r="AF514" i="21"/>
  <c r="AG514" i="21"/>
  <c r="AF515" i="21"/>
  <c r="AG515" i="21"/>
  <c r="AF516" i="21"/>
  <c r="AG516" i="21"/>
  <c r="AF517" i="21"/>
  <c r="AG517" i="21"/>
  <c r="AF518" i="21"/>
  <c r="AG518" i="21"/>
  <c r="AF519" i="21"/>
  <c r="AG519" i="21"/>
  <c r="AF520" i="21"/>
  <c r="AG520" i="21"/>
  <c r="AF521" i="21"/>
  <c r="AG521" i="21"/>
  <c r="AF522" i="21"/>
  <c r="AG522" i="21"/>
  <c r="AF523" i="21"/>
  <c r="AG523" i="21"/>
  <c r="AF524" i="21"/>
  <c r="AG524" i="21"/>
  <c r="AF525" i="21"/>
  <c r="AG525" i="21"/>
  <c r="AF526" i="21"/>
  <c r="AG526" i="21"/>
  <c r="AF527" i="21"/>
  <c r="AG527" i="21"/>
  <c r="AF528" i="21"/>
  <c r="AG528" i="21"/>
  <c r="AF529" i="21"/>
  <c r="AG529" i="21"/>
  <c r="AF530" i="21"/>
  <c r="AG530" i="21"/>
  <c r="AF531" i="21"/>
  <c r="AG531" i="21"/>
  <c r="AF532" i="21"/>
  <c r="AG532" i="21"/>
  <c r="AF533" i="21"/>
  <c r="AG533" i="21"/>
  <c r="AF534" i="21"/>
  <c r="AG534" i="21"/>
  <c r="AF535" i="21"/>
  <c r="AG535" i="21"/>
  <c r="AF536" i="21"/>
  <c r="AG536" i="21"/>
  <c r="AF537" i="21"/>
  <c r="AG537" i="21"/>
  <c r="AF538" i="21"/>
  <c r="AG538" i="21"/>
  <c r="AF539" i="21"/>
  <c r="AG539" i="21"/>
  <c r="AF540" i="21"/>
  <c r="AG540" i="21"/>
  <c r="AF541" i="21"/>
  <c r="AG541" i="21"/>
  <c r="AF542" i="21"/>
  <c r="AG542" i="21"/>
  <c r="AF543" i="21"/>
  <c r="AG543" i="21"/>
  <c r="AF544" i="21"/>
  <c r="AG544" i="21"/>
  <c r="AF545" i="21"/>
  <c r="AG545" i="21"/>
  <c r="AF546" i="21"/>
  <c r="AG546" i="21"/>
  <c r="AF547" i="21"/>
  <c r="AG547" i="21"/>
  <c r="AF548" i="21"/>
  <c r="AG548" i="21"/>
  <c r="AF549" i="21"/>
  <c r="AG549" i="21"/>
  <c r="AF550" i="21"/>
  <c r="AG550" i="21"/>
  <c r="AF551" i="21"/>
  <c r="AG551" i="21"/>
  <c r="AF552" i="21"/>
  <c r="AG552" i="21"/>
  <c r="AF553" i="21"/>
  <c r="AG553" i="21"/>
  <c r="AF554" i="21"/>
  <c r="AG554" i="21"/>
  <c r="AF555" i="21"/>
  <c r="AG555" i="21"/>
  <c r="AF556" i="21"/>
  <c r="AG556" i="21"/>
  <c r="AF557" i="21"/>
  <c r="AG557" i="21"/>
  <c r="AF558" i="21"/>
  <c r="AG558" i="21"/>
  <c r="AF559" i="21"/>
  <c r="AG559" i="21"/>
  <c r="AF560" i="21"/>
  <c r="AG560" i="21"/>
  <c r="AF561" i="21"/>
  <c r="AG561" i="21"/>
  <c r="AF562" i="21"/>
  <c r="AG562" i="21"/>
  <c r="AF563" i="21"/>
  <c r="AG563" i="21"/>
  <c r="AF564" i="21"/>
  <c r="AG564" i="21"/>
  <c r="AF565" i="21"/>
  <c r="AG565" i="21"/>
  <c r="AF566" i="21"/>
  <c r="AG566" i="21"/>
  <c r="AF567" i="21"/>
  <c r="AG567" i="21"/>
  <c r="AF568" i="21"/>
  <c r="AG568" i="21"/>
  <c r="AF569" i="21"/>
  <c r="AG569" i="21"/>
  <c r="AF570" i="21"/>
  <c r="AG570" i="21"/>
  <c r="AF571" i="21"/>
  <c r="AG571" i="21"/>
  <c r="AF572" i="21"/>
  <c r="AG572" i="21"/>
  <c r="AF573" i="21"/>
  <c r="AG573" i="21"/>
  <c r="AF574" i="21"/>
  <c r="AG574" i="21"/>
  <c r="AF575" i="21"/>
  <c r="AG575" i="21"/>
  <c r="AF576" i="21"/>
  <c r="AG576" i="21"/>
  <c r="AF577" i="21"/>
  <c r="AG577" i="21"/>
  <c r="AF578" i="21"/>
  <c r="AG578" i="21"/>
  <c r="AF579" i="21"/>
  <c r="AG579" i="21"/>
  <c r="AF580" i="21"/>
  <c r="AG580" i="21"/>
  <c r="AF581" i="21"/>
  <c r="AG581" i="21"/>
  <c r="AF582" i="21"/>
  <c r="AG582" i="21"/>
  <c r="AF583" i="21"/>
  <c r="AG583" i="21"/>
  <c r="AF584" i="21"/>
  <c r="AG584" i="21"/>
  <c r="AF585" i="21"/>
  <c r="AG585" i="21"/>
  <c r="AF586" i="21"/>
  <c r="AG586" i="21"/>
  <c r="AF587" i="21"/>
  <c r="AG587" i="21"/>
  <c r="AF588" i="21"/>
  <c r="AG588" i="21"/>
  <c r="AF589" i="21"/>
  <c r="AG589" i="21"/>
  <c r="AF590" i="21"/>
  <c r="AG590" i="21"/>
  <c r="AF591" i="21"/>
  <c r="AG591" i="21"/>
  <c r="AF592" i="21"/>
  <c r="AG592" i="21"/>
  <c r="AF593" i="21"/>
  <c r="AG593" i="21"/>
  <c r="AF594" i="21"/>
  <c r="AG594" i="21"/>
  <c r="AF595" i="21"/>
  <c r="AG595" i="21"/>
  <c r="AF596" i="21"/>
  <c r="AG596" i="21"/>
  <c r="AF597" i="21"/>
  <c r="AG597" i="21"/>
  <c r="AF598" i="21"/>
  <c r="AG598" i="21"/>
  <c r="AF599" i="21"/>
  <c r="AG599" i="21"/>
  <c r="AF600" i="21"/>
  <c r="AG600" i="21"/>
  <c r="AF601" i="21"/>
  <c r="AG601" i="21"/>
  <c r="AF602" i="21"/>
  <c r="AG602" i="21"/>
  <c r="AF603" i="21"/>
  <c r="AG603" i="21"/>
  <c r="AF604" i="21"/>
  <c r="AG604" i="21"/>
  <c r="AF605" i="21"/>
  <c r="AG605" i="21"/>
  <c r="AF606" i="21"/>
  <c r="AG606" i="21"/>
  <c r="AF607" i="21"/>
  <c r="AG607" i="21"/>
  <c r="AF608" i="21"/>
  <c r="AG608" i="21"/>
  <c r="AF609" i="21"/>
  <c r="AG609" i="21"/>
  <c r="AF610" i="21"/>
  <c r="AG610" i="21"/>
  <c r="AF611" i="21"/>
  <c r="AG611" i="21"/>
  <c r="AF612" i="21"/>
  <c r="AG612" i="21"/>
  <c r="AF613" i="21"/>
  <c r="AG613" i="21"/>
  <c r="AF614" i="21"/>
  <c r="AG614" i="21"/>
  <c r="AF615" i="21"/>
  <c r="AG615" i="21"/>
  <c r="AF616" i="21"/>
  <c r="AG616" i="21"/>
  <c r="AF617" i="21"/>
  <c r="AG617" i="21"/>
  <c r="AF618" i="21"/>
  <c r="AG618" i="21"/>
  <c r="AF619" i="21"/>
  <c r="AG619" i="21"/>
  <c r="AF620" i="21"/>
  <c r="AG620" i="21"/>
  <c r="AF621" i="21"/>
  <c r="AG621" i="21"/>
  <c r="AF622" i="21"/>
  <c r="AG622" i="21"/>
  <c r="AF623" i="21"/>
  <c r="AG623" i="21"/>
  <c r="AF624" i="21"/>
  <c r="AG624" i="21"/>
  <c r="AF625" i="21"/>
  <c r="AG625" i="21"/>
  <c r="AF626" i="21"/>
  <c r="AG626" i="21"/>
  <c r="AF627" i="21"/>
  <c r="AG627" i="21"/>
  <c r="AF628" i="21"/>
  <c r="AG628" i="21"/>
  <c r="AF629" i="21"/>
  <c r="AG629" i="21"/>
  <c r="AF630" i="21"/>
  <c r="AG630" i="21"/>
  <c r="AF631" i="21"/>
  <c r="AG631" i="21"/>
  <c r="AF632" i="21"/>
  <c r="AG632" i="21"/>
  <c r="AF633" i="21"/>
  <c r="AG633" i="21"/>
  <c r="AF634" i="21"/>
  <c r="AG634" i="21"/>
  <c r="AF635" i="21"/>
  <c r="AG635" i="21"/>
  <c r="AF636" i="21"/>
  <c r="AG636" i="21"/>
  <c r="AF637" i="21"/>
  <c r="AG637" i="21"/>
  <c r="AF638" i="21"/>
  <c r="AG638" i="21"/>
  <c r="AF639" i="21"/>
  <c r="AG639" i="21"/>
  <c r="AF640" i="21"/>
  <c r="AG640" i="21"/>
  <c r="AF641" i="21"/>
  <c r="AG641" i="21"/>
  <c r="AF642" i="21"/>
  <c r="AG642" i="21"/>
  <c r="AF643" i="21"/>
  <c r="AG643" i="21"/>
  <c r="AF644" i="21"/>
  <c r="AG644" i="21"/>
  <c r="AF645" i="21"/>
  <c r="AG645" i="21"/>
  <c r="AF646" i="21"/>
  <c r="AG646" i="21"/>
  <c r="AF647" i="21"/>
  <c r="AG647" i="21"/>
  <c r="AF648" i="21"/>
  <c r="AG648" i="21"/>
  <c r="AF649" i="21"/>
  <c r="AG649" i="21"/>
  <c r="AF650" i="21"/>
  <c r="AG650" i="21"/>
  <c r="AF651" i="21"/>
  <c r="AG651" i="21"/>
  <c r="AF652" i="21"/>
  <c r="AG652" i="21"/>
  <c r="AF653" i="21"/>
  <c r="AG653" i="21"/>
  <c r="AF654" i="21"/>
  <c r="AG654" i="21"/>
  <c r="AF655" i="21"/>
  <c r="AG655" i="21"/>
  <c r="AF656" i="21"/>
  <c r="AG656" i="21"/>
  <c r="AF657" i="21"/>
  <c r="AG657" i="21"/>
  <c r="AF658" i="21"/>
  <c r="AG658" i="21"/>
  <c r="AF659" i="21"/>
  <c r="AG659" i="21"/>
  <c r="AF660" i="21"/>
  <c r="AG660" i="21"/>
  <c r="AF661" i="21"/>
  <c r="AG661" i="21"/>
  <c r="AF662" i="21"/>
  <c r="AG662" i="21"/>
  <c r="AF663" i="21"/>
  <c r="AG663" i="21"/>
  <c r="AF664" i="21"/>
  <c r="AG664" i="21"/>
  <c r="AF665" i="21"/>
  <c r="AG665" i="21"/>
  <c r="AF666" i="21"/>
  <c r="AG666" i="21"/>
  <c r="AF667" i="21"/>
  <c r="AG667" i="21"/>
  <c r="AF668" i="21"/>
  <c r="AG668" i="21"/>
  <c r="AF669" i="21"/>
  <c r="AG669" i="21"/>
  <c r="AF670" i="21"/>
  <c r="AG670" i="21"/>
  <c r="AF671" i="21"/>
  <c r="AG671" i="21"/>
  <c r="AF672" i="21"/>
  <c r="AG672" i="21"/>
  <c r="AF673" i="21"/>
  <c r="AG673" i="21"/>
  <c r="AF674" i="21"/>
  <c r="AG674" i="21"/>
  <c r="AF675" i="21"/>
  <c r="AG675" i="21"/>
  <c r="AF676" i="21"/>
  <c r="AG676" i="21"/>
  <c r="AF677" i="21"/>
  <c r="AG677" i="21"/>
  <c r="AF678" i="21"/>
  <c r="AG678" i="21"/>
  <c r="AF679" i="21"/>
  <c r="AG679" i="21"/>
  <c r="AF680" i="21"/>
  <c r="AG680" i="21"/>
  <c r="AF681" i="21"/>
  <c r="AG681" i="21"/>
  <c r="AF682" i="21"/>
  <c r="AG682" i="21"/>
  <c r="AF683" i="21"/>
  <c r="AG683" i="21"/>
  <c r="AF684" i="21"/>
  <c r="AG684" i="21"/>
  <c r="AF685" i="21"/>
  <c r="AG685" i="21"/>
  <c r="AF686" i="21"/>
  <c r="AG686" i="21"/>
  <c r="AF687" i="21"/>
  <c r="AG687" i="21"/>
  <c r="AF688" i="21"/>
  <c r="AG688" i="21"/>
  <c r="AF689" i="21"/>
  <c r="AG689" i="21"/>
  <c r="AF690" i="21"/>
  <c r="AG690" i="21"/>
  <c r="AF691" i="21"/>
  <c r="AG691" i="21"/>
  <c r="AF692" i="21"/>
  <c r="AG692" i="21"/>
  <c r="AF693" i="21"/>
  <c r="AG693" i="21"/>
  <c r="AF694" i="21"/>
  <c r="AG694" i="21"/>
  <c r="AF695" i="21"/>
  <c r="AG695" i="21"/>
  <c r="AF696" i="21"/>
  <c r="AG696" i="21"/>
  <c r="AF697" i="21"/>
  <c r="AG697" i="21"/>
  <c r="AF698" i="21"/>
  <c r="AG698" i="21"/>
  <c r="AF699" i="21"/>
  <c r="AG699" i="21"/>
  <c r="AF700" i="21"/>
  <c r="AG700" i="21"/>
  <c r="AF701" i="21"/>
  <c r="AG701" i="21"/>
  <c r="AF702" i="21"/>
  <c r="AG702" i="21"/>
  <c r="AF703" i="21"/>
  <c r="AG703" i="21"/>
  <c r="AF704" i="21"/>
  <c r="AG704" i="21"/>
  <c r="AF705" i="21"/>
  <c r="AG705" i="21"/>
  <c r="AF706" i="21"/>
  <c r="AG706" i="21"/>
  <c r="AF707" i="21"/>
  <c r="AG707" i="21"/>
  <c r="AF708" i="21"/>
  <c r="AG708" i="21"/>
  <c r="AF709" i="21"/>
  <c r="AG709" i="21"/>
  <c r="AF710" i="21"/>
  <c r="AG710" i="21"/>
  <c r="AF711" i="21"/>
  <c r="AG711" i="21"/>
  <c r="AF712" i="21"/>
  <c r="AG712" i="21"/>
  <c r="AF713" i="21"/>
  <c r="AG713" i="21"/>
  <c r="AF714" i="21"/>
  <c r="AG714" i="21"/>
  <c r="AF715" i="21"/>
  <c r="AG715" i="21"/>
  <c r="AF716" i="21"/>
  <c r="AG716" i="21"/>
  <c r="AF717" i="21"/>
  <c r="AG717" i="21"/>
  <c r="AF718" i="21"/>
  <c r="AG718" i="21"/>
  <c r="AF719" i="21"/>
  <c r="AG719" i="21"/>
  <c r="AF720" i="21"/>
  <c r="AG720" i="21"/>
  <c r="AF721" i="21"/>
  <c r="AG721" i="21"/>
  <c r="AF722" i="21"/>
  <c r="AG722" i="21"/>
  <c r="AF723" i="21"/>
  <c r="AG723" i="21"/>
  <c r="AF724" i="21"/>
  <c r="AG724" i="21"/>
  <c r="AF725" i="21"/>
  <c r="AG725" i="21"/>
  <c r="AF726" i="21"/>
  <c r="AG726" i="21"/>
  <c r="AF727" i="21"/>
  <c r="AG727" i="21"/>
  <c r="AF728" i="21"/>
  <c r="AG728" i="21"/>
  <c r="AF729" i="21"/>
  <c r="AG729" i="21"/>
  <c r="AF730" i="21"/>
  <c r="AG730" i="21"/>
  <c r="AF731" i="21"/>
  <c r="AG731" i="21"/>
  <c r="AF732" i="21"/>
  <c r="AG732" i="21"/>
  <c r="AF733" i="21"/>
  <c r="AG733" i="21"/>
  <c r="AF734" i="21"/>
  <c r="AG734" i="21"/>
  <c r="AF735" i="21"/>
  <c r="AG735" i="21"/>
  <c r="AF736" i="21"/>
  <c r="AG736" i="21"/>
  <c r="AF737" i="21"/>
  <c r="AG737" i="21"/>
  <c r="AF738" i="21"/>
  <c r="AG738" i="21"/>
  <c r="AF739" i="21"/>
  <c r="AG739" i="21"/>
  <c r="AF740" i="21"/>
  <c r="AG740" i="21"/>
  <c r="AF741" i="21"/>
  <c r="AG741" i="21"/>
  <c r="AF742" i="21"/>
  <c r="AG742" i="21"/>
  <c r="AF743" i="21"/>
  <c r="AG743" i="21"/>
  <c r="AF744" i="21"/>
  <c r="AG744" i="21"/>
  <c r="AF745" i="21"/>
  <c r="AG745" i="21"/>
  <c r="AF746" i="21"/>
  <c r="AG746" i="21"/>
  <c r="AF747" i="21"/>
  <c r="AG747" i="21"/>
  <c r="AF748" i="21"/>
  <c r="AG748" i="21"/>
  <c r="AF749" i="21"/>
  <c r="AG749" i="21"/>
  <c r="AF750" i="21"/>
  <c r="AG750" i="21"/>
  <c r="AG3" i="21"/>
  <c r="AF3" i="21"/>
  <c r="I63" i="1"/>
  <c r="I109" i="1"/>
  <c r="I130" i="1"/>
  <c r="I99" i="1"/>
  <c r="I132" i="1"/>
  <c r="I89" i="1"/>
  <c r="I134" i="1"/>
  <c r="I80" i="1"/>
  <c r="I117" i="1"/>
  <c r="I86" i="1"/>
  <c r="I60" i="1"/>
  <c r="I114" i="1"/>
  <c r="I166" i="1"/>
  <c r="I133" i="1"/>
  <c r="I142" i="1"/>
  <c r="I68" i="1"/>
  <c r="I77" i="1"/>
  <c r="I72" i="1"/>
  <c r="I49" i="1"/>
  <c r="I46" i="1"/>
  <c r="I105" i="1"/>
  <c r="I128" i="1"/>
  <c r="I157" i="1"/>
  <c r="I61" i="1"/>
  <c r="I66" i="1"/>
  <c r="I95" i="1"/>
  <c r="I120" i="1"/>
  <c r="I143" i="1"/>
  <c r="I159" i="1"/>
  <c r="I161" i="1"/>
  <c r="I118" i="1"/>
  <c r="I91" i="1"/>
  <c r="I103" i="1"/>
  <c r="I144" i="1"/>
  <c r="I140" i="1"/>
  <c r="I147" i="1"/>
  <c r="I93" i="1"/>
  <c r="I104" i="1"/>
  <c r="I127" i="1"/>
  <c r="I123" i="1"/>
  <c r="I69" i="1"/>
  <c r="I102" i="1"/>
  <c r="I87" i="1"/>
  <c r="I138" i="1"/>
  <c r="I119" i="1"/>
  <c r="I96" i="1"/>
  <c r="I167" i="1"/>
  <c r="I121" i="1"/>
  <c r="I164" i="1"/>
  <c r="I149" i="1"/>
  <c r="I125" i="1"/>
  <c r="I122" i="1"/>
  <c r="I55" i="1"/>
  <c r="I39" i="1"/>
  <c r="I168" i="1"/>
  <c r="I47" i="1"/>
  <c r="I106" i="1"/>
  <c r="I126" i="1"/>
  <c r="I79" i="1"/>
  <c r="I54" i="1"/>
  <c r="I78" i="1"/>
  <c r="I113" i="1"/>
  <c r="I41" i="1"/>
  <c r="I92" i="1"/>
  <c r="I88" i="1"/>
  <c r="I124" i="1"/>
  <c r="I42" i="1"/>
  <c r="I111" i="1"/>
  <c r="I94" i="1"/>
  <c r="I145" i="1"/>
  <c r="I162" i="1"/>
  <c r="I101" i="1"/>
  <c r="I59" i="1"/>
  <c r="I107" i="1"/>
  <c r="I40" i="1"/>
  <c r="I110" i="1"/>
  <c r="I50" i="1"/>
  <c r="I165" i="1"/>
  <c r="I70" i="1"/>
  <c r="I85" i="1"/>
  <c r="I148" i="1"/>
  <c r="I37" i="1"/>
  <c r="I71" i="1"/>
  <c r="I64" i="1"/>
  <c r="I155" i="1"/>
  <c r="I116" i="1"/>
  <c r="I98" i="1"/>
  <c r="I108" i="1"/>
  <c r="I51" i="1"/>
  <c r="I75" i="1"/>
  <c r="I83" i="1"/>
  <c r="I158" i="1"/>
  <c r="I163" i="1"/>
  <c r="I136" i="1"/>
  <c r="I160" i="1"/>
  <c r="I74" i="1"/>
  <c r="I81" i="1"/>
  <c r="I56" i="1"/>
  <c r="I84" i="1"/>
  <c r="I53" i="1"/>
  <c r="I58" i="1"/>
  <c r="I131" i="1"/>
  <c r="I52" i="1"/>
  <c r="I141" i="1"/>
  <c r="I154" i="1"/>
  <c r="I137" i="1"/>
  <c r="I73" i="1"/>
  <c r="I156" i="1"/>
  <c r="I129" i="1"/>
  <c r="I150" i="1"/>
  <c r="I139" i="1"/>
  <c r="I97" i="1"/>
  <c r="I76" i="1"/>
  <c r="I48" i="1"/>
  <c r="I90" i="1"/>
  <c r="I151" i="1"/>
  <c r="I135" i="1"/>
  <c r="I62" i="1"/>
  <c r="I57" i="1"/>
  <c r="I169" i="1"/>
  <c r="I100" i="1"/>
  <c r="I45" i="1"/>
  <c r="I82" i="1"/>
  <c r="I38" i="1"/>
  <c r="I65" i="1"/>
  <c r="I152" i="1"/>
  <c r="I153" i="1"/>
  <c r="I43" i="1"/>
  <c r="I44" i="1"/>
  <c r="I67" i="1"/>
  <c r="I170" i="1"/>
  <c r="I112" i="1"/>
  <c r="I146" i="1"/>
  <c r="I115" i="1"/>
  <c r="F63" i="1"/>
  <c r="F109" i="1"/>
  <c r="F130" i="1"/>
  <c r="F99" i="1"/>
  <c r="F132" i="1"/>
  <c r="F89" i="1"/>
  <c r="F134" i="1"/>
  <c r="F80" i="1"/>
  <c r="F117" i="1"/>
  <c r="F86" i="1"/>
  <c r="F60" i="1"/>
  <c r="F114" i="1"/>
  <c r="F166" i="1"/>
  <c r="F133" i="1"/>
  <c r="F142" i="1"/>
  <c r="F68" i="1"/>
  <c r="F77" i="1"/>
  <c r="F72" i="1"/>
  <c r="F49" i="1"/>
  <c r="F46" i="1"/>
  <c r="F105" i="1"/>
  <c r="F128" i="1"/>
  <c r="F157" i="1"/>
  <c r="F61" i="1"/>
  <c r="F66" i="1"/>
  <c r="F95" i="1"/>
  <c r="F120" i="1"/>
  <c r="F143" i="1"/>
  <c r="F159" i="1"/>
  <c r="F161" i="1"/>
  <c r="F118" i="1"/>
  <c r="F91" i="1"/>
  <c r="F103" i="1"/>
  <c r="F144" i="1"/>
  <c r="F140" i="1"/>
  <c r="F147" i="1"/>
  <c r="F93" i="1"/>
  <c r="F104" i="1"/>
  <c r="F127" i="1"/>
  <c r="F123" i="1"/>
  <c r="F69" i="1"/>
  <c r="F102" i="1"/>
  <c r="F87" i="1"/>
  <c r="F138" i="1"/>
  <c r="F119" i="1"/>
  <c r="F96" i="1"/>
  <c r="F167" i="1"/>
  <c r="F121" i="1"/>
  <c r="F164" i="1"/>
  <c r="F149" i="1"/>
  <c r="F125" i="1"/>
  <c r="F122" i="1"/>
  <c r="F55" i="1"/>
  <c r="F39" i="1"/>
  <c r="F168" i="1"/>
  <c r="F47" i="1"/>
  <c r="F106" i="1"/>
  <c r="F126" i="1"/>
  <c r="F79" i="1"/>
  <c r="F54" i="1"/>
  <c r="F78" i="1"/>
  <c r="F113" i="1"/>
  <c r="F41" i="1"/>
  <c r="F92" i="1"/>
  <c r="F88" i="1"/>
  <c r="F124" i="1"/>
  <c r="F42" i="1"/>
  <c r="F111" i="1"/>
  <c r="F94" i="1"/>
  <c r="F145" i="1"/>
  <c r="F162" i="1"/>
  <c r="F101" i="1"/>
  <c r="F59" i="1"/>
  <c r="F107" i="1"/>
  <c r="F40" i="1"/>
  <c r="F110" i="1"/>
  <c r="F50" i="1"/>
  <c r="F165" i="1"/>
  <c r="F70" i="1"/>
  <c r="F85" i="1"/>
  <c r="F148" i="1"/>
  <c r="F37" i="1"/>
  <c r="F71" i="1"/>
  <c r="F64" i="1"/>
  <c r="F155" i="1"/>
  <c r="F116" i="1"/>
  <c r="F98" i="1"/>
  <c r="F108" i="1"/>
  <c r="F51" i="1"/>
  <c r="F75" i="1"/>
  <c r="F83" i="1"/>
  <c r="F158" i="1"/>
  <c r="F163" i="1"/>
  <c r="F136" i="1"/>
  <c r="F160" i="1"/>
  <c r="F74" i="1"/>
  <c r="F81" i="1"/>
  <c r="F56" i="1"/>
  <c r="F84" i="1"/>
  <c r="F53" i="1"/>
  <c r="F58" i="1"/>
  <c r="F131" i="1"/>
  <c r="F52" i="1"/>
  <c r="F141" i="1"/>
  <c r="F154" i="1"/>
  <c r="F137" i="1"/>
  <c r="F73" i="1"/>
  <c r="F156" i="1"/>
  <c r="F129" i="1"/>
  <c r="F150" i="1"/>
  <c r="F139" i="1"/>
  <c r="F97" i="1"/>
  <c r="F76" i="1"/>
  <c r="F48" i="1"/>
  <c r="F90" i="1"/>
  <c r="F151" i="1"/>
  <c r="F135" i="1"/>
  <c r="F62" i="1"/>
  <c r="F57" i="1"/>
  <c r="F169" i="1"/>
  <c r="F100" i="1"/>
  <c r="F45" i="1"/>
  <c r="F82" i="1"/>
  <c r="F38" i="1"/>
  <c r="F65" i="1"/>
  <c r="F152" i="1"/>
  <c r="F153" i="1"/>
  <c r="F43" i="1"/>
  <c r="F44" i="1"/>
  <c r="F67" i="1"/>
  <c r="F170" i="1"/>
  <c r="F112" i="1"/>
  <c r="F146" i="1"/>
  <c r="F115" i="1"/>
  <c r="M4" i="7"/>
  <c r="V105" i="5"/>
  <c r="T105" i="5"/>
  <c r="V104" i="5"/>
  <c r="T104" i="5"/>
  <c r="W103" i="5"/>
  <c r="V103" i="5"/>
  <c r="T103" i="5"/>
  <c r="W102" i="5"/>
  <c r="V102" i="5"/>
  <c r="T102" i="5"/>
  <c r="W101" i="5"/>
  <c r="V101" i="5"/>
  <c r="T101" i="5"/>
  <c r="W100" i="5"/>
  <c r="V100" i="5"/>
  <c r="T100" i="5"/>
  <c r="W99" i="5"/>
  <c r="V99" i="5"/>
  <c r="T99" i="5"/>
  <c r="W98" i="5"/>
  <c r="V98" i="5"/>
  <c r="T98" i="5"/>
  <c r="W97" i="5"/>
  <c r="V97" i="5"/>
  <c r="T97" i="5"/>
  <c r="W96" i="5"/>
  <c r="V96" i="5"/>
  <c r="T96" i="5"/>
  <c r="W95" i="5"/>
  <c r="V95" i="5"/>
  <c r="T95" i="5"/>
  <c r="W94" i="5"/>
  <c r="V94" i="5"/>
  <c r="T94" i="5"/>
  <c r="W93" i="5"/>
  <c r="V93" i="5"/>
  <c r="T93" i="5"/>
  <c r="W92" i="5"/>
  <c r="V92" i="5"/>
  <c r="T92" i="5"/>
  <c r="W91" i="5"/>
  <c r="V91" i="5"/>
  <c r="T91" i="5"/>
  <c r="W90" i="5"/>
  <c r="V90" i="5"/>
  <c r="T90" i="5"/>
  <c r="W89" i="5"/>
  <c r="V89" i="5"/>
  <c r="T89" i="5"/>
  <c r="W88" i="5"/>
  <c r="V88" i="5"/>
  <c r="T88" i="5"/>
  <c r="W87" i="5"/>
  <c r="V87" i="5"/>
  <c r="T87" i="5"/>
  <c r="W86" i="5"/>
  <c r="V86" i="5"/>
  <c r="T86" i="5"/>
  <c r="W85" i="5"/>
  <c r="V85" i="5"/>
  <c r="T85" i="5"/>
  <c r="W84" i="5"/>
  <c r="V84" i="5"/>
  <c r="T84" i="5"/>
  <c r="W83" i="5"/>
  <c r="V83" i="5"/>
  <c r="T83" i="5"/>
  <c r="W82" i="5"/>
  <c r="V82" i="5"/>
  <c r="T82" i="5"/>
  <c r="W81" i="5"/>
  <c r="V81" i="5"/>
  <c r="T81" i="5"/>
  <c r="W80" i="5"/>
  <c r="V80" i="5"/>
  <c r="T80" i="5"/>
  <c r="W79" i="5"/>
  <c r="V79" i="5"/>
  <c r="W78" i="5"/>
  <c r="V78" i="5"/>
  <c r="T78" i="5"/>
  <c r="W77" i="5"/>
  <c r="V77" i="5"/>
  <c r="T77" i="5"/>
  <c r="W76" i="5"/>
  <c r="V76" i="5"/>
  <c r="T76" i="5"/>
  <c r="W75" i="5"/>
  <c r="V75" i="5"/>
  <c r="T75" i="5"/>
  <c r="W74" i="5"/>
  <c r="V74" i="5"/>
  <c r="T74" i="5"/>
  <c r="W73" i="5"/>
  <c r="V73" i="5"/>
  <c r="T73" i="5"/>
  <c r="W72" i="5"/>
  <c r="V72" i="5"/>
  <c r="T72" i="5"/>
  <c r="W71" i="5"/>
  <c r="V71" i="5"/>
  <c r="T71" i="5"/>
  <c r="W70" i="5"/>
  <c r="V70" i="5"/>
  <c r="T70" i="5"/>
  <c r="W69" i="5"/>
  <c r="V69" i="5"/>
  <c r="T69" i="5"/>
  <c r="W68" i="5"/>
  <c r="V68" i="5"/>
  <c r="T68" i="5"/>
  <c r="W67" i="5"/>
  <c r="V67" i="5"/>
  <c r="T67" i="5"/>
  <c r="W66" i="5"/>
  <c r="V66" i="5"/>
  <c r="T66" i="5"/>
  <c r="W65" i="5"/>
  <c r="V65" i="5"/>
  <c r="T65" i="5"/>
  <c r="W64" i="5"/>
  <c r="V64" i="5"/>
  <c r="T64" i="5"/>
  <c r="W63" i="5"/>
  <c r="V63" i="5"/>
  <c r="T63" i="5"/>
  <c r="W62" i="5"/>
  <c r="V62" i="5"/>
  <c r="T62" i="5"/>
  <c r="W61" i="5"/>
  <c r="V61" i="5"/>
  <c r="T61" i="5"/>
  <c r="W60" i="5"/>
  <c r="V60" i="5"/>
  <c r="T60" i="5"/>
  <c r="W59" i="5"/>
  <c r="V59" i="5"/>
  <c r="T59" i="5"/>
  <c r="W58" i="5"/>
  <c r="V58" i="5"/>
  <c r="T58" i="5"/>
  <c r="W57" i="5"/>
  <c r="V57" i="5"/>
  <c r="T57" i="5"/>
  <c r="W56" i="5"/>
  <c r="V56" i="5"/>
  <c r="T56" i="5"/>
  <c r="W55" i="5"/>
  <c r="V55" i="5"/>
  <c r="T55" i="5"/>
  <c r="W54" i="5"/>
  <c r="V54" i="5"/>
  <c r="T54" i="5"/>
  <c r="W53" i="5"/>
  <c r="V53" i="5"/>
  <c r="T53" i="5"/>
  <c r="W52" i="5"/>
  <c r="V52" i="5"/>
  <c r="T52" i="5"/>
  <c r="W51" i="5"/>
  <c r="V51" i="5"/>
  <c r="T51" i="5"/>
  <c r="W50" i="5"/>
  <c r="V50" i="5"/>
  <c r="T50" i="5"/>
  <c r="W49" i="5"/>
  <c r="V49" i="5"/>
  <c r="T49" i="5"/>
  <c r="W48" i="5"/>
  <c r="V48" i="5"/>
  <c r="T48" i="5"/>
  <c r="W47" i="5"/>
  <c r="V47" i="5"/>
  <c r="T47" i="5"/>
  <c r="W46" i="5"/>
  <c r="V46" i="5"/>
  <c r="T46" i="5"/>
  <c r="W45" i="5"/>
  <c r="V45" i="5"/>
  <c r="T45" i="5"/>
  <c r="W44" i="5"/>
  <c r="V44" i="5"/>
  <c r="T44" i="5"/>
  <c r="W43" i="5"/>
  <c r="V43" i="5"/>
  <c r="T43" i="5"/>
  <c r="F43" i="5"/>
  <c r="N131" i="5"/>
  <c r="L131" i="5"/>
  <c r="H43" i="5"/>
  <c r="F44" i="5"/>
  <c r="H44" i="5"/>
  <c r="F45" i="5"/>
  <c r="H45" i="5"/>
  <c r="F46" i="5"/>
  <c r="H46" i="5"/>
  <c r="F47" i="5"/>
  <c r="H47" i="5"/>
  <c r="F48" i="5"/>
  <c r="H48" i="5"/>
  <c r="F49" i="5"/>
  <c r="H49" i="5"/>
  <c r="F50" i="5"/>
  <c r="H50" i="5"/>
  <c r="F51" i="5"/>
  <c r="H51" i="5"/>
  <c r="F52" i="5"/>
  <c r="H52" i="5"/>
  <c r="F53" i="5"/>
  <c r="H53" i="5"/>
  <c r="F54" i="5"/>
  <c r="H54" i="5"/>
  <c r="F55" i="5"/>
  <c r="H55" i="5"/>
  <c r="F56" i="5"/>
  <c r="H56" i="5"/>
  <c r="F57" i="5"/>
  <c r="H57" i="5"/>
  <c r="F58" i="5"/>
  <c r="H58" i="5"/>
  <c r="F59" i="5"/>
  <c r="H59" i="5"/>
  <c r="F60" i="5"/>
  <c r="H60" i="5"/>
  <c r="F61" i="5"/>
  <c r="H61" i="5"/>
  <c r="F62" i="5"/>
  <c r="H62" i="5"/>
  <c r="F63" i="5"/>
  <c r="H63" i="5"/>
  <c r="F64" i="5"/>
  <c r="H64" i="5"/>
  <c r="F65" i="5"/>
  <c r="H65" i="5"/>
  <c r="F66" i="5"/>
  <c r="H66" i="5"/>
  <c r="F67" i="5"/>
  <c r="H67" i="5"/>
  <c r="F68" i="5"/>
  <c r="H68" i="5"/>
  <c r="F69" i="5"/>
  <c r="H69" i="5"/>
  <c r="F70" i="5"/>
  <c r="H70" i="5"/>
  <c r="F71" i="5"/>
  <c r="H71" i="5"/>
  <c r="F72" i="5"/>
  <c r="H72" i="5"/>
  <c r="F73" i="5"/>
  <c r="H73" i="5"/>
  <c r="F74" i="5"/>
  <c r="H74" i="5"/>
  <c r="F75" i="5"/>
  <c r="H75" i="5"/>
  <c r="F76" i="5"/>
  <c r="H76" i="5"/>
  <c r="F77" i="5"/>
  <c r="H77" i="5"/>
  <c r="F78" i="5"/>
  <c r="H78" i="5"/>
  <c r="F79" i="5"/>
  <c r="H79" i="5"/>
  <c r="F80" i="5"/>
  <c r="H80" i="5"/>
  <c r="F81" i="5"/>
  <c r="H81" i="5"/>
  <c r="F82" i="5"/>
  <c r="H82" i="5"/>
  <c r="F83" i="5"/>
  <c r="H83" i="5"/>
  <c r="F84" i="5"/>
  <c r="H84" i="5"/>
  <c r="F85" i="5"/>
  <c r="H85" i="5"/>
  <c r="F86" i="5"/>
  <c r="H86" i="5"/>
  <c r="F87" i="5"/>
  <c r="H87" i="5"/>
  <c r="F88" i="5"/>
  <c r="H88" i="5"/>
  <c r="F89" i="5"/>
  <c r="H89" i="5"/>
  <c r="F90" i="5"/>
  <c r="H90" i="5"/>
  <c r="F91" i="5"/>
  <c r="H91" i="5"/>
  <c r="F92" i="5"/>
  <c r="H92" i="5"/>
  <c r="F93" i="5"/>
  <c r="H93" i="5"/>
  <c r="F94" i="5"/>
  <c r="H94" i="5"/>
  <c r="F95" i="5"/>
  <c r="H95" i="5"/>
  <c r="F96" i="5"/>
  <c r="H96" i="5"/>
  <c r="F97" i="5"/>
  <c r="H97" i="5"/>
  <c r="F98" i="5"/>
  <c r="H98" i="5"/>
  <c r="F99" i="5"/>
  <c r="H99" i="5"/>
  <c r="F100" i="5"/>
  <c r="H100" i="5"/>
  <c r="F101" i="5"/>
  <c r="H101" i="5"/>
  <c r="F102" i="5"/>
  <c r="H102" i="5"/>
  <c r="F103" i="5"/>
  <c r="H103" i="5"/>
  <c r="F104" i="5"/>
  <c r="H104" i="5"/>
  <c r="F105" i="5"/>
  <c r="H105" i="5"/>
  <c r="F106" i="5"/>
  <c r="H106" i="5"/>
  <c r="F107" i="5"/>
  <c r="H107" i="5"/>
  <c r="F108" i="5"/>
  <c r="H108" i="5"/>
  <c r="F109" i="5"/>
  <c r="H109" i="5"/>
  <c r="F110" i="5"/>
  <c r="H110" i="5"/>
  <c r="F111" i="5"/>
  <c r="H111" i="5"/>
  <c r="F112" i="5"/>
  <c r="H112" i="5"/>
  <c r="F113" i="5"/>
  <c r="H113" i="5"/>
  <c r="F114" i="5"/>
  <c r="H114" i="5"/>
  <c r="F115" i="5"/>
  <c r="H115" i="5"/>
  <c r="F116" i="5"/>
  <c r="H116" i="5"/>
  <c r="F117" i="5"/>
  <c r="H117" i="5"/>
  <c r="F118" i="5"/>
  <c r="H118" i="5"/>
  <c r="F119" i="5"/>
  <c r="H119" i="5"/>
  <c r="F120" i="5"/>
  <c r="H120" i="5"/>
  <c r="F121" i="5"/>
  <c r="H121" i="5"/>
  <c r="F122" i="5"/>
  <c r="H122" i="5"/>
  <c r="F123" i="5"/>
  <c r="H123" i="5"/>
  <c r="F124" i="5"/>
  <c r="H124" i="5"/>
  <c r="F125" i="5"/>
  <c r="H125" i="5"/>
  <c r="F126" i="5"/>
  <c r="H126" i="5"/>
  <c r="F127" i="5"/>
  <c r="H127" i="5"/>
  <c r="F128" i="5"/>
  <c r="H128" i="5"/>
  <c r="F129" i="5"/>
  <c r="H129" i="5"/>
  <c r="F130" i="5"/>
  <c r="H130" i="5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4" i="7"/>
  <c r="D4" i="7"/>
  <c r="D19" i="7"/>
  <c r="D9" i="7"/>
  <c r="D34" i="7"/>
  <c r="D11" i="7"/>
  <c r="D16" i="7"/>
  <c r="D7" i="7"/>
  <c r="D12" i="7"/>
  <c r="D28" i="7"/>
  <c r="D26" i="7"/>
  <c r="D25" i="7"/>
  <c r="D24" i="7"/>
  <c r="D23" i="7"/>
  <c r="D20" i="7"/>
  <c r="D18" i="7"/>
  <c r="D15" i="7"/>
  <c r="D10" i="7"/>
  <c r="D8" i="7"/>
  <c r="D33" i="7"/>
  <c r="D32" i="7"/>
  <c r="D31" i="7"/>
  <c r="D30" i="7"/>
  <c r="D29" i="7"/>
  <c r="D27" i="7"/>
  <c r="D22" i="7"/>
  <c r="D21" i="7"/>
  <c r="D17" i="7"/>
  <c r="D14" i="7"/>
  <c r="D13" i="7"/>
  <c r="D6" i="7"/>
  <c r="D5" i="7"/>
  <c r="AY4" i="7"/>
  <c r="AY5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W20" i="7"/>
  <c r="AW19" i="7"/>
  <c r="AW18" i="7"/>
  <c r="AW17" i="7"/>
  <c r="AW16" i="7"/>
  <c r="AW15" i="7"/>
  <c r="AW14" i="7"/>
  <c r="AW13" i="7"/>
  <c r="AW12" i="7"/>
  <c r="AW11" i="7"/>
  <c r="AW10" i="7"/>
  <c r="AW9" i="7"/>
  <c r="AW8" i="7"/>
  <c r="AW7" i="7"/>
  <c r="AW6" i="7"/>
  <c r="AW5" i="7"/>
  <c r="AW4" i="7"/>
  <c r="AP6" i="7"/>
  <c r="AN6" i="7"/>
  <c r="AP5" i="7"/>
  <c r="AN5" i="7"/>
  <c r="AN4" i="7"/>
  <c r="AG7" i="7"/>
  <c r="AE7" i="7"/>
  <c r="AG6" i="7"/>
  <c r="AE6" i="7"/>
  <c r="AG5" i="7"/>
  <c r="AE5" i="7"/>
  <c r="AG4" i="7"/>
  <c r="AE4" i="7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V8" i="7"/>
  <c r="V12" i="7"/>
  <c r="V7" i="7"/>
  <c r="V19" i="7"/>
  <c r="V6" i="7"/>
  <c r="V4" i="7"/>
  <c r="V10" i="7"/>
  <c r="V11" i="7"/>
  <c r="V20" i="7"/>
  <c r="V17" i="7"/>
  <c r="V18" i="7"/>
  <c r="V16" i="7"/>
  <c r="V15" i="7"/>
  <c r="V14" i="7"/>
  <c r="V5" i="7"/>
  <c r="V9" i="7"/>
  <c r="O16" i="7"/>
  <c r="O9" i="7"/>
  <c r="O12" i="7"/>
  <c r="O8" i="7"/>
  <c r="O4" i="7"/>
  <c r="O14" i="7"/>
  <c r="O6" i="7"/>
  <c r="O13" i="7"/>
  <c r="O5" i="7"/>
  <c r="O10" i="7"/>
  <c r="O11" i="7"/>
  <c r="O15" i="7"/>
  <c r="X9" i="7"/>
  <c r="X8" i="7"/>
  <c r="X12" i="7"/>
  <c r="X7" i="7"/>
  <c r="X19" i="7"/>
  <c r="X6" i="7"/>
  <c r="X4" i="7"/>
  <c r="X10" i="7"/>
  <c r="X11" i="7"/>
  <c r="X20" i="7"/>
  <c r="X17" i="7"/>
  <c r="X18" i="7"/>
  <c r="X16" i="7"/>
  <c r="X15" i="7"/>
  <c r="X14" i="7"/>
  <c r="X5" i="7"/>
  <c r="X25" i="7"/>
  <c r="X13" i="7"/>
  <c r="V13" i="7"/>
  <c r="M15" i="7"/>
  <c r="M11" i="7"/>
  <c r="M10" i="7"/>
  <c r="M5" i="7"/>
  <c r="M13" i="7"/>
  <c r="M6" i="7"/>
  <c r="M14" i="7"/>
  <c r="M8" i="7"/>
  <c r="M12" i="7"/>
  <c r="M9" i="7"/>
  <c r="M16" i="7"/>
  <c r="O7" i="7"/>
  <c r="M7" i="7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R17" i="6"/>
  <c r="R4" i="6"/>
  <c r="R20" i="6"/>
  <c r="R6" i="6"/>
  <c r="R14" i="6"/>
  <c r="R2" i="6"/>
  <c r="R5" i="6"/>
  <c r="R16" i="6"/>
  <c r="R11" i="6"/>
  <c r="R3" i="6"/>
  <c r="R19" i="6"/>
  <c r="R10" i="6"/>
  <c r="R9" i="6"/>
  <c r="R18" i="6"/>
  <c r="R8" i="6"/>
  <c r="R23" i="6"/>
  <c r="R12" i="6"/>
  <c r="R22" i="6"/>
  <c r="R15" i="6"/>
  <c r="R13" i="6"/>
  <c r="R21" i="6"/>
  <c r="R7" i="6"/>
  <c r="G40" i="5"/>
  <c r="F40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B3" i="4"/>
  <c r="B6" i="4" s="1"/>
  <c r="H3" i="4"/>
  <c r="H5" i="4" s="1"/>
  <c r="B5" i="4"/>
  <c r="B8" i="4" s="1"/>
  <c r="E8" i="4" s="1"/>
  <c r="B17" i="4"/>
  <c r="B20" i="4" s="1"/>
  <c r="B25" i="4" s="1"/>
  <c r="E25" i="4" s="1"/>
  <c r="H17" i="4"/>
  <c r="H20" i="4" s="1"/>
  <c r="D29" i="4"/>
  <c r="D30" i="4"/>
  <c r="T107" i="27" l="1"/>
  <c r="R107" i="27"/>
  <c r="E107" i="27"/>
  <c r="F107" i="27" s="1"/>
  <c r="T108" i="27"/>
  <c r="R108" i="27"/>
  <c r="E108" i="27"/>
  <c r="F108" i="27" s="1"/>
  <c r="T36" i="27"/>
  <c r="R36" i="27"/>
  <c r="T35" i="27"/>
  <c r="R35" i="27"/>
  <c r="E36" i="27"/>
  <c r="F36" i="27" s="1"/>
  <c r="E35" i="27"/>
  <c r="F35" i="27" s="1"/>
  <c r="P17" i="28"/>
  <c r="N17" i="28"/>
  <c r="N24" i="28"/>
  <c r="N23" i="28"/>
  <c r="N22" i="28"/>
  <c r="N21" i="28"/>
  <c r="N20" i="28"/>
  <c r="N19" i="28"/>
  <c r="N18" i="28"/>
  <c r="N16" i="28"/>
  <c r="N15" i="28"/>
  <c r="N14" i="28"/>
  <c r="N13" i="28"/>
  <c r="N12" i="28"/>
  <c r="N11" i="28"/>
  <c r="N10" i="28"/>
  <c r="N9" i="28"/>
  <c r="N8" i="28"/>
  <c r="N7" i="28"/>
  <c r="N6" i="28"/>
  <c r="B55" i="28"/>
  <c r="D55" i="28"/>
  <c r="D56" i="28"/>
  <c r="B56" i="28"/>
  <c r="B58" i="28"/>
  <c r="D58" i="28"/>
  <c r="B57" i="28"/>
  <c r="D57" i="28"/>
  <c r="W28" i="28"/>
  <c r="W29" i="28"/>
  <c r="W30" i="28"/>
  <c r="P5" i="28"/>
  <c r="P25" i="28"/>
  <c r="P27" i="28"/>
  <c r="P28" i="28"/>
  <c r="P29" i="28"/>
  <c r="P30" i="28"/>
  <c r="P26" i="28"/>
  <c r="D59" i="28"/>
  <c r="B59" i="28"/>
  <c r="D60" i="28"/>
  <c r="B60" i="28"/>
  <c r="B20" i="28"/>
  <c r="B18" i="28"/>
  <c r="B17" i="28"/>
  <c r="B16" i="28"/>
  <c r="B21" i="28"/>
  <c r="B19" i="28"/>
  <c r="B15" i="28"/>
  <c r="B14" i="28"/>
  <c r="B13" i="28"/>
  <c r="B12" i="28"/>
  <c r="B11" i="28"/>
  <c r="B10" i="28"/>
  <c r="B9" i="28"/>
  <c r="D8" i="28"/>
  <c r="D7" i="28"/>
  <c r="D6" i="28"/>
  <c r="D5" i="28"/>
  <c r="D26" i="28"/>
  <c r="D25" i="28"/>
  <c r="D24" i="28"/>
  <c r="D23" i="28"/>
  <c r="D22" i="28"/>
  <c r="D27" i="28"/>
  <c r="D31" i="28"/>
  <c r="D30" i="28"/>
  <c r="D29" i="28"/>
  <c r="D28" i="28"/>
  <c r="D33" i="24" a="1"/>
  <c r="D33" i="24" s="1"/>
  <c r="H19" i="4"/>
  <c r="H22" i="4" s="1"/>
  <c r="K22" i="4" s="1"/>
  <c r="B19" i="4"/>
  <c r="B22" i="4" s="1"/>
  <c r="E22" i="4" s="1"/>
  <c r="H25" i="4"/>
  <c r="K25" i="4" s="1"/>
  <c r="H26" i="4"/>
  <c r="K26" i="4" s="1"/>
  <c r="H8" i="4"/>
  <c r="K8" i="4" s="1"/>
  <c r="H9" i="4"/>
  <c r="K9" i="4" s="1"/>
  <c r="B11" i="4"/>
  <c r="E11" i="4" s="1"/>
  <c r="B12" i="4"/>
  <c r="E12" i="4" s="1"/>
  <c r="B26" i="4"/>
  <c r="E26" i="4" s="1"/>
  <c r="H23" i="4"/>
  <c r="K23" i="4" s="1"/>
  <c r="B9" i="4"/>
  <c r="E9" i="4" s="1"/>
  <c r="B23" i="4"/>
  <c r="E23" i="4" s="1"/>
  <c r="H6" i="4"/>
  <c r="O5" i="28" l="1"/>
  <c r="C5" i="28"/>
  <c r="E3" i="24"/>
  <c r="E27" i="24"/>
  <c r="E4" i="24"/>
  <c r="E28" i="24"/>
  <c r="E5" i="24"/>
  <c r="E29" i="24"/>
  <c r="E30" i="24"/>
  <c r="E6" i="24"/>
  <c r="E7" i="24"/>
  <c r="E31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" i="24"/>
  <c r="H11" i="4"/>
  <c r="K11" i="4" s="1"/>
  <c r="H12" i="4"/>
  <c r="K12" i="4" s="1"/>
  <c r="T5" i="28" l="1" a="1"/>
  <c r="T5" i="28" s="1"/>
  <c r="U5" i="28" a="1"/>
  <c r="W27" i="28" s="1"/>
  <c r="H5" i="28" a="1"/>
  <c r="H5" i="28" s="1"/>
  <c r="I5" i="28" a="1"/>
  <c r="U5" i="28" l="1"/>
  <c r="W25" i="28"/>
  <c r="W26" i="28"/>
  <c r="W12" i="28"/>
  <c r="W14" i="28"/>
  <c r="W7" i="28"/>
  <c r="W18" i="28"/>
  <c r="W20" i="28"/>
  <c r="W6" i="28"/>
  <c r="W19" i="28"/>
  <c r="W21" i="28"/>
  <c r="W11" i="28"/>
  <c r="W17" i="28"/>
  <c r="W8" i="28"/>
  <c r="W15" i="28"/>
  <c r="W16" i="28"/>
  <c r="W23" i="28"/>
  <c r="W24" i="28"/>
  <c r="W10" i="28"/>
  <c r="W22" i="28"/>
  <c r="W13" i="28"/>
  <c r="W9" i="28"/>
  <c r="K18" i="28"/>
  <c r="K8" i="28"/>
  <c r="K27" i="28"/>
  <c r="K21" i="28"/>
  <c r="K24" i="28"/>
  <c r="K23" i="28"/>
  <c r="K25" i="28"/>
  <c r="K26" i="28"/>
  <c r="K22" i="28"/>
  <c r="K6" i="28"/>
  <c r="K10" i="28"/>
  <c r="K11" i="28"/>
  <c r="K12" i="28"/>
  <c r="K13" i="28"/>
  <c r="K14" i="28"/>
  <c r="K15" i="28"/>
  <c r="K16" i="28"/>
  <c r="K7" i="28"/>
  <c r="K9" i="28"/>
  <c r="K19" i="28"/>
  <c r="K20" i="28"/>
  <c r="I5" i="28"/>
  <c r="K17" i="28"/>
  <c r="K5" i="28" l="1"/>
  <c r="B12" i="27" l="1"/>
  <c r="P12" i="27" s="1" a="1"/>
  <c r="P12" i="27" s="1"/>
  <c r="B88" i="27"/>
  <c r="B87" i="27"/>
  <c r="B86" i="27"/>
  <c r="B85" i="27"/>
  <c r="B84" i="27"/>
  <c r="H12" i="27"/>
  <c r="I12" i="27"/>
  <c r="M31" i="27"/>
  <c r="M32" i="27"/>
  <c r="M35" i="27"/>
  <c r="M36" i="27"/>
  <c r="M33" i="27"/>
  <c r="M34" i="27"/>
  <c r="J31" i="27"/>
  <c r="J32" i="27"/>
  <c r="J33" i="27"/>
  <c r="J34" i="27"/>
  <c r="J35" i="27"/>
  <c r="J36" i="27"/>
  <c r="G34" i="27"/>
  <c r="G35" i="27"/>
  <c r="G31" i="27"/>
  <c r="G32" i="27"/>
  <c r="G33" i="27"/>
  <c r="G36" i="27"/>
  <c r="M12" i="27"/>
  <c r="J12" i="27"/>
  <c r="G12" i="27"/>
  <c r="Q12" i="27"/>
  <c r="O12" i="27"/>
  <c r="K12" i="27"/>
  <c r="N12" i="27"/>
  <c r="B16" i="27"/>
  <c r="B14" i="27"/>
  <c r="C10" i="27" s="1"/>
  <c r="B15" i="27"/>
  <c r="K15" i="27" s="1"/>
  <c r="B13" i="27"/>
  <c r="K13" i="27" s="1"/>
  <c r="K14" i="27" l="1"/>
  <c r="L13" i="27" a="1"/>
  <c r="L13" i="27" s="1"/>
  <c r="P13" i="27" a="1"/>
  <c r="P13" i="27" s="1"/>
  <c r="L15" i="27" a="1"/>
  <c r="L15" i="27" s="1"/>
  <c r="P15" i="27" a="1"/>
  <c r="P15" i="27" s="1"/>
  <c r="L14" i="27" a="1"/>
  <c r="L14" i="27" s="1"/>
  <c r="P14" i="27" a="1"/>
  <c r="P14" i="27" s="1"/>
  <c r="L16" i="27" a="1"/>
  <c r="L16" i="27" s="1"/>
  <c r="P16" i="27" a="1"/>
  <c r="P16" i="27" s="1"/>
  <c r="Q84" i="27"/>
  <c r="O84" i="27"/>
  <c r="N84" i="27"/>
  <c r="M84" i="27"/>
  <c r="L84" i="27" a="1"/>
  <c r="L84" i="27" s="1"/>
  <c r="K84" i="27"/>
  <c r="J84" i="27"/>
  <c r="I84" i="27"/>
  <c r="H84" i="27"/>
  <c r="G84" i="27"/>
  <c r="C84" i="27"/>
  <c r="Q85" i="27"/>
  <c r="O85" i="27"/>
  <c r="N85" i="27"/>
  <c r="M85" i="27"/>
  <c r="L85" i="27" a="1"/>
  <c r="L85" i="27" s="1"/>
  <c r="K85" i="27"/>
  <c r="J85" i="27"/>
  <c r="I85" i="27"/>
  <c r="H85" i="27"/>
  <c r="G85" i="27"/>
  <c r="C85" i="27"/>
  <c r="Q86" i="27"/>
  <c r="O86" i="27"/>
  <c r="N86" i="27"/>
  <c r="M86" i="27"/>
  <c r="L86" i="27" a="1"/>
  <c r="L86" i="27" s="1"/>
  <c r="K86" i="27"/>
  <c r="J86" i="27"/>
  <c r="I86" i="27"/>
  <c r="H86" i="27"/>
  <c r="G86" i="27"/>
  <c r="C86" i="27"/>
  <c r="Q87" i="27"/>
  <c r="O87" i="27"/>
  <c r="N87" i="27"/>
  <c r="M87" i="27"/>
  <c r="L87" i="27" a="1"/>
  <c r="L87" i="27" s="1"/>
  <c r="K87" i="27"/>
  <c r="J87" i="27"/>
  <c r="I87" i="27"/>
  <c r="H87" i="27"/>
  <c r="G87" i="27"/>
  <c r="C87" i="27"/>
  <c r="Q88" i="27"/>
  <c r="O88" i="27"/>
  <c r="N88" i="27"/>
  <c r="M88" i="27"/>
  <c r="L88" i="27" a="1"/>
  <c r="L88" i="27" s="1"/>
  <c r="K88" i="27"/>
  <c r="J88" i="27"/>
  <c r="I88" i="27"/>
  <c r="H88" i="27"/>
  <c r="G88" i="27"/>
  <c r="C88" i="27"/>
  <c r="L12" i="27" a="1"/>
  <c r="L12" i="27" s="1"/>
  <c r="M108" i="27"/>
  <c r="J108" i="27"/>
  <c r="G108" i="27"/>
  <c r="M107" i="27"/>
  <c r="J107" i="27"/>
  <c r="G107" i="27"/>
  <c r="M106" i="27"/>
  <c r="J106" i="27"/>
  <c r="G106" i="27"/>
  <c r="M105" i="27"/>
  <c r="J105" i="27"/>
  <c r="G105" i="27"/>
  <c r="M104" i="27"/>
  <c r="J104" i="27"/>
  <c r="G104" i="27"/>
  <c r="M103" i="27"/>
  <c r="J103" i="27"/>
  <c r="G103" i="27"/>
  <c r="H14" i="27"/>
  <c r="I14" i="27"/>
  <c r="H16" i="27"/>
  <c r="I16" i="27"/>
  <c r="H15" i="27"/>
  <c r="I15" i="27"/>
  <c r="H13" i="27"/>
  <c r="I13" i="27"/>
  <c r="N14" i="27"/>
  <c r="O14" i="27"/>
  <c r="N15" i="27"/>
  <c r="O15" i="27"/>
  <c r="N16" i="27"/>
  <c r="O16" i="27"/>
  <c r="N13" i="27"/>
  <c r="O13" i="27"/>
  <c r="J13" i="27"/>
  <c r="M13" i="27"/>
  <c r="J15" i="27"/>
  <c r="M15" i="27"/>
  <c r="J14" i="27"/>
  <c r="M14" i="27"/>
  <c r="J16" i="27"/>
  <c r="M16" i="27"/>
  <c r="G13" i="27"/>
  <c r="G14" i="27"/>
  <c r="G15" i="27"/>
  <c r="G16" i="27"/>
  <c r="D12" i="27"/>
  <c r="Q14" i="27"/>
  <c r="Q16" i="27"/>
  <c r="Q13" i="27"/>
  <c r="Q15" i="27"/>
  <c r="W5" i="28"/>
  <c r="Y12" i="27" l="1"/>
  <c r="R12" i="27"/>
  <c r="X12" i="27"/>
  <c r="B118" i="27"/>
  <c r="B117" i="27"/>
  <c r="B116" i="27"/>
  <c r="B115" i="27"/>
  <c r="B114" i="27"/>
  <c r="D88" i="27"/>
  <c r="D87" i="27"/>
  <c r="D86" i="27"/>
  <c r="D85" i="27"/>
  <c r="D84" i="27"/>
  <c r="V12" i="27"/>
  <c r="D14" i="27"/>
  <c r="Y14" i="27" s="1"/>
  <c r="D16" i="27"/>
  <c r="Y16" i="27" s="1"/>
  <c r="D13" i="27"/>
  <c r="Y13" i="27" s="1"/>
  <c r="D15" i="27"/>
  <c r="Y15" i="27" s="1"/>
  <c r="Q17" i="27" a="1"/>
  <c r="Q17" i="27" s="1"/>
  <c r="B17" i="27" s="1"/>
  <c r="B43" i="27"/>
  <c r="K43" i="27" s="1"/>
  <c r="B44" i="27"/>
  <c r="K44" i="27" s="1"/>
  <c r="B45" i="27"/>
  <c r="K45" i="27" s="1"/>
  <c r="B46" i="27"/>
  <c r="K46" i="27" s="1"/>
  <c r="B42" i="27"/>
  <c r="E12" i="27"/>
  <c r="P17" i="27" l="1" a="1"/>
  <c r="P17" i="27" s="1"/>
  <c r="K17" i="27"/>
  <c r="X13" i="27"/>
  <c r="X14" i="27"/>
  <c r="R15" i="27"/>
  <c r="V15" i="27" s="1"/>
  <c r="X15" i="27"/>
  <c r="R16" i="27"/>
  <c r="V16" i="27" s="1"/>
  <c r="X16" i="27"/>
  <c r="R84" i="27"/>
  <c r="V84" i="27" s="1"/>
  <c r="E84" i="27"/>
  <c r="F84" i="27" s="1"/>
  <c r="R85" i="27"/>
  <c r="V85" i="27" s="1"/>
  <c r="E85" i="27"/>
  <c r="F85" i="27" s="1"/>
  <c r="T85" i="27" s="1"/>
  <c r="W85" i="27" s="1"/>
  <c r="R86" i="27"/>
  <c r="V86" i="27" s="1"/>
  <c r="E86" i="27"/>
  <c r="F86" i="27" s="1"/>
  <c r="T86" i="27" s="1"/>
  <c r="W86" i="27" s="1"/>
  <c r="R87" i="27"/>
  <c r="V87" i="27" s="1"/>
  <c r="E87" i="27"/>
  <c r="F87" i="27" s="1"/>
  <c r="T87" i="27" s="1"/>
  <c r="W87" i="27" s="1"/>
  <c r="R88" i="27"/>
  <c r="V88" i="27" s="1"/>
  <c r="E88" i="27"/>
  <c r="F88" i="27" s="1"/>
  <c r="T88" i="27" s="1"/>
  <c r="W88" i="27" s="1"/>
  <c r="Q114" i="27"/>
  <c r="O114" i="27"/>
  <c r="N114" i="27"/>
  <c r="M114" i="27"/>
  <c r="L114" i="27" a="1"/>
  <c r="L114" i="27" s="1"/>
  <c r="K114" i="27"/>
  <c r="J114" i="27"/>
  <c r="I114" i="27"/>
  <c r="H114" i="27"/>
  <c r="G114" i="27"/>
  <c r="C114" i="27"/>
  <c r="Q115" i="27"/>
  <c r="O115" i="27"/>
  <c r="N115" i="27"/>
  <c r="M115" i="27"/>
  <c r="L115" i="27" a="1"/>
  <c r="L115" i="27" s="1"/>
  <c r="K115" i="27"/>
  <c r="J115" i="27"/>
  <c r="I115" i="27"/>
  <c r="H115" i="27"/>
  <c r="G115" i="27"/>
  <c r="C115" i="27"/>
  <c r="Q116" i="27"/>
  <c r="O116" i="27"/>
  <c r="N116" i="27"/>
  <c r="M116" i="27"/>
  <c r="L116" i="27" a="1"/>
  <c r="L116" i="27" s="1"/>
  <c r="K116" i="27"/>
  <c r="J116" i="27"/>
  <c r="I116" i="27"/>
  <c r="H116" i="27"/>
  <c r="G116" i="27"/>
  <c r="C116" i="27"/>
  <c r="Q117" i="27"/>
  <c r="O117" i="27"/>
  <c r="N117" i="27"/>
  <c r="M117" i="27"/>
  <c r="L117" i="27" a="1"/>
  <c r="L117" i="27" s="1"/>
  <c r="K117" i="27"/>
  <c r="J117" i="27"/>
  <c r="I117" i="27"/>
  <c r="H117" i="27"/>
  <c r="G117" i="27"/>
  <c r="C117" i="27"/>
  <c r="Q118" i="27"/>
  <c r="O118" i="27"/>
  <c r="N118" i="27"/>
  <c r="M118" i="27"/>
  <c r="L118" i="27" a="1"/>
  <c r="L118" i="27" s="1"/>
  <c r="K118" i="27"/>
  <c r="J118" i="27"/>
  <c r="I118" i="27"/>
  <c r="H118" i="27"/>
  <c r="G118" i="27"/>
  <c r="C118" i="27"/>
  <c r="N46" i="27"/>
  <c r="L46" i="27" a="1"/>
  <c r="L46" i="27" s="1"/>
  <c r="N45" i="27"/>
  <c r="L45" i="27" a="1"/>
  <c r="L45" i="27" s="1"/>
  <c r="N44" i="27"/>
  <c r="L44" i="27" a="1"/>
  <c r="L44" i="27" s="1"/>
  <c r="N43" i="27"/>
  <c r="L43" i="27" a="1"/>
  <c r="L43" i="27" s="1"/>
  <c r="N42" i="27"/>
  <c r="L42" i="27" a="1"/>
  <c r="L42" i="27" s="1"/>
  <c r="E13" i="27"/>
  <c r="F13" i="27" s="1"/>
  <c r="T13" i="27" s="1"/>
  <c r="W13" i="27" s="1"/>
  <c r="R13" i="27"/>
  <c r="V13" i="27" s="1"/>
  <c r="E14" i="27"/>
  <c r="F14" i="27" s="1"/>
  <c r="R14" i="27"/>
  <c r="V14" i="27" s="1"/>
  <c r="E16" i="27"/>
  <c r="F16" i="27" s="1"/>
  <c r="T16" i="27" s="1"/>
  <c r="W16" i="27" s="1"/>
  <c r="T14" i="27"/>
  <c r="W14" i="27" s="1"/>
  <c r="F12" i="27"/>
  <c r="T12" i="27" s="1"/>
  <c r="O44" i="27"/>
  <c r="C44" i="27"/>
  <c r="G44" i="27"/>
  <c r="H44" i="27"/>
  <c r="I44" i="27"/>
  <c r="J44" i="27"/>
  <c r="M44" i="27"/>
  <c r="C45" i="27"/>
  <c r="G45" i="27"/>
  <c r="H45" i="27"/>
  <c r="I45" i="27"/>
  <c r="J45" i="27"/>
  <c r="M45" i="27"/>
  <c r="O45" i="27"/>
  <c r="C43" i="27"/>
  <c r="G43" i="27"/>
  <c r="H43" i="27"/>
  <c r="I43" i="27"/>
  <c r="J43" i="27"/>
  <c r="M43" i="27"/>
  <c r="O43" i="27"/>
  <c r="M46" i="27"/>
  <c r="O46" i="27"/>
  <c r="C46" i="27"/>
  <c r="I46" i="27"/>
  <c r="G46" i="27"/>
  <c r="H46" i="27"/>
  <c r="J46" i="27"/>
  <c r="E15" i="27"/>
  <c r="F15" i="27" s="1"/>
  <c r="T15" i="27" s="1"/>
  <c r="W15" i="27" s="1"/>
  <c r="L17" i="27" a="1"/>
  <c r="L17" i="27" s="1"/>
  <c r="Q18" i="27" a="1"/>
  <c r="Q18" i="27" s="1"/>
  <c r="I42" i="27"/>
  <c r="O42" i="27"/>
  <c r="K42" i="27"/>
  <c r="Q46" i="27"/>
  <c r="Q44" i="27"/>
  <c r="Q45" i="27"/>
  <c r="Q43" i="27"/>
  <c r="C42" i="27"/>
  <c r="Q42" i="27"/>
  <c r="M42" i="27"/>
  <c r="H42" i="27"/>
  <c r="G42" i="27"/>
  <c r="J42" i="27"/>
  <c r="S12" i="27" l="1"/>
  <c r="B18" i="27"/>
  <c r="K18" i="27" s="1"/>
  <c r="D118" i="27"/>
  <c r="D117" i="27"/>
  <c r="D116" i="27"/>
  <c r="D115" i="27"/>
  <c r="D114" i="27"/>
  <c r="S84" i="27"/>
  <c r="T84" i="27"/>
  <c r="W12" i="27"/>
  <c r="H17" i="27"/>
  <c r="I17" i="27"/>
  <c r="N17" i="27"/>
  <c r="O17" i="27"/>
  <c r="J17" i="27"/>
  <c r="M17" i="27"/>
  <c r="G17" i="27"/>
  <c r="D44" i="27"/>
  <c r="R44" i="27" s="1"/>
  <c r="V44" i="27" s="1"/>
  <c r="D46" i="27"/>
  <c r="R46" i="27" s="1"/>
  <c r="V46" i="27" s="1"/>
  <c r="D43" i="27"/>
  <c r="R43" i="27" s="1"/>
  <c r="V43" i="27" s="1"/>
  <c r="D45" i="27"/>
  <c r="R45" i="27" s="1"/>
  <c r="V45" i="27" s="1"/>
  <c r="D17" i="27"/>
  <c r="Q19" i="27" a="1"/>
  <c r="Q19" i="27" s="1"/>
  <c r="D42" i="27"/>
  <c r="R42" i="27" s="1"/>
  <c r="V42" i="27" s="1"/>
  <c r="Q47" i="27" a="1"/>
  <c r="Q47" i="27" s="1"/>
  <c r="Y17" i="27" l="1"/>
  <c r="R17" i="27"/>
  <c r="V17" i="27" s="1"/>
  <c r="X17" i="27"/>
  <c r="L18" i="27" a="1"/>
  <c r="L18" i="27" s="1"/>
  <c r="P18" i="27" a="1"/>
  <c r="P18" i="27" s="1"/>
  <c r="B19" i="27"/>
  <c r="K19" i="27" s="1"/>
  <c r="W84" i="27"/>
  <c r="R114" i="27"/>
  <c r="V114" i="27" s="1"/>
  <c r="E114" i="27"/>
  <c r="F114" i="27" s="1"/>
  <c r="T114" i="27" s="1"/>
  <c r="R115" i="27"/>
  <c r="V115" i="27" s="1"/>
  <c r="E115" i="27"/>
  <c r="F115" i="27" s="1"/>
  <c r="T115" i="27" s="1"/>
  <c r="W115" i="27" s="1"/>
  <c r="R116" i="27"/>
  <c r="V116" i="27" s="1"/>
  <c r="E116" i="27"/>
  <c r="F116" i="27" s="1"/>
  <c r="T116" i="27" s="1"/>
  <c r="W116" i="27" s="1"/>
  <c r="R117" i="27"/>
  <c r="V117" i="27" s="1"/>
  <c r="E117" i="27"/>
  <c r="F117" i="27" s="1"/>
  <c r="T117" i="27" s="1"/>
  <c r="W117" i="27" s="1"/>
  <c r="R118" i="27"/>
  <c r="V118" i="27" s="1"/>
  <c r="E118" i="27"/>
  <c r="F118" i="27" s="1"/>
  <c r="T118" i="27" s="1"/>
  <c r="W118" i="27" s="1"/>
  <c r="E46" i="27"/>
  <c r="F46" i="27" s="1"/>
  <c r="T46" i="27" s="1"/>
  <c r="W46" i="27" s="1"/>
  <c r="E44" i="27"/>
  <c r="F44" i="27" s="1"/>
  <c r="T44" i="27" s="1"/>
  <c r="W44" i="27" s="1"/>
  <c r="E42" i="27"/>
  <c r="F42" i="27" s="1"/>
  <c r="T42" i="27" s="1"/>
  <c r="W42" i="27" s="1"/>
  <c r="H18" i="27"/>
  <c r="I18" i="27"/>
  <c r="N18" i="27"/>
  <c r="O18" i="27"/>
  <c r="J18" i="27"/>
  <c r="M18" i="27"/>
  <c r="G18" i="27"/>
  <c r="B47" i="27"/>
  <c r="K47" i="27" s="1"/>
  <c r="E45" i="27"/>
  <c r="F45" i="27" s="1"/>
  <c r="T45" i="27" s="1"/>
  <c r="W45" i="27" s="1"/>
  <c r="E43" i="27"/>
  <c r="F43" i="27" s="1"/>
  <c r="T43" i="27" s="1"/>
  <c r="W43" i="27" s="1"/>
  <c r="D18" i="27"/>
  <c r="E17" i="27"/>
  <c r="F17" i="27" s="1"/>
  <c r="T17" i="27" s="1"/>
  <c r="W17" i="27" s="1"/>
  <c r="Q20" i="27" a="1"/>
  <c r="Q20" i="27" s="1"/>
  <c r="Q48" i="27" a="1"/>
  <c r="Q48" i="27" s="1"/>
  <c r="Y18" i="27" l="1"/>
  <c r="R18" i="27"/>
  <c r="X18" i="27"/>
  <c r="L19" i="27" a="1"/>
  <c r="L19" i="27" s="1"/>
  <c r="P19" i="27" a="1"/>
  <c r="P19" i="27" s="1"/>
  <c r="B20" i="27"/>
  <c r="W114" i="27"/>
  <c r="N47" i="27"/>
  <c r="L47" i="27" a="1"/>
  <c r="L47" i="27" s="1"/>
  <c r="H19" i="27"/>
  <c r="I19" i="27"/>
  <c r="N19" i="27"/>
  <c r="O19" i="27"/>
  <c r="J19" i="27"/>
  <c r="M19" i="27"/>
  <c r="G19" i="27"/>
  <c r="B48" i="27"/>
  <c r="K48" i="27" s="1"/>
  <c r="J47" i="27"/>
  <c r="M47" i="27"/>
  <c r="O47" i="27"/>
  <c r="C47" i="27"/>
  <c r="D47" i="27" s="1"/>
  <c r="G47" i="27"/>
  <c r="H47" i="27"/>
  <c r="I47" i="27"/>
  <c r="D19" i="27"/>
  <c r="Y19" i="27" s="1"/>
  <c r="E18" i="27"/>
  <c r="F18" i="27" s="1"/>
  <c r="T18" i="27" s="1"/>
  <c r="Q21" i="27" a="1"/>
  <c r="Q21" i="27" s="1"/>
  <c r="Q49" i="27" a="1"/>
  <c r="Q49" i="27" s="1"/>
  <c r="R19" i="27" l="1"/>
  <c r="X19" i="27"/>
  <c r="L20" i="27" a="1"/>
  <c r="L20" i="27" s="1"/>
  <c r="P20" i="27" a="1"/>
  <c r="P20" i="27" s="1"/>
  <c r="B21" i="27"/>
  <c r="K21" i="27" s="1"/>
  <c r="R47" i="27"/>
  <c r="V47" i="27" s="1"/>
  <c r="N48" i="27"/>
  <c r="L48" i="27" a="1"/>
  <c r="L48" i="27" s="1"/>
  <c r="H20" i="27"/>
  <c r="I20" i="27"/>
  <c r="N20" i="27"/>
  <c r="O20" i="27"/>
  <c r="J20" i="27"/>
  <c r="M20" i="27"/>
  <c r="G20" i="27"/>
  <c r="E47" i="27"/>
  <c r="F47" i="27" s="1"/>
  <c r="T47" i="27" s="1"/>
  <c r="W47" i="27" s="1"/>
  <c r="B49" i="27"/>
  <c r="K49" i="27" s="1"/>
  <c r="C48" i="27"/>
  <c r="D48" i="27" s="1"/>
  <c r="I48" i="27"/>
  <c r="J48" i="27"/>
  <c r="M48" i="27"/>
  <c r="O48" i="27"/>
  <c r="G48" i="27"/>
  <c r="H48" i="27"/>
  <c r="D20" i="27"/>
  <c r="E19" i="27"/>
  <c r="F19" i="27" s="1"/>
  <c r="T19" i="27" s="1"/>
  <c r="Q22" i="27" a="1"/>
  <c r="Q22" i="27" s="1"/>
  <c r="Q50" i="27" a="1"/>
  <c r="Q50" i="27" s="1"/>
  <c r="Y20" i="27" l="1"/>
  <c r="R20" i="27"/>
  <c r="X20" i="27"/>
  <c r="L21" i="27" a="1"/>
  <c r="L21" i="27" s="1"/>
  <c r="P21" i="27" a="1"/>
  <c r="P21" i="27" s="1"/>
  <c r="B22" i="27"/>
  <c r="K22" i="27" s="1"/>
  <c r="R48" i="27"/>
  <c r="V48" i="27" s="1"/>
  <c r="N49" i="27"/>
  <c r="L49" i="27" a="1"/>
  <c r="L49" i="27" s="1"/>
  <c r="H21" i="27"/>
  <c r="I21" i="27"/>
  <c r="N21" i="27"/>
  <c r="O21" i="27"/>
  <c r="J21" i="27"/>
  <c r="M21" i="27"/>
  <c r="G21" i="27"/>
  <c r="E48" i="27"/>
  <c r="F48" i="27" s="1"/>
  <c r="T48" i="27" s="1"/>
  <c r="W48" i="27" s="1"/>
  <c r="B50" i="27"/>
  <c r="K50" i="27" s="1"/>
  <c r="H49" i="27"/>
  <c r="I49" i="27"/>
  <c r="J49" i="27"/>
  <c r="M49" i="27"/>
  <c r="O49" i="27"/>
  <c r="C49" i="27"/>
  <c r="D49" i="27" s="1"/>
  <c r="R49" i="27" s="1"/>
  <c r="G49" i="27"/>
  <c r="D21" i="27"/>
  <c r="Y21" i="27" s="1"/>
  <c r="E20" i="27"/>
  <c r="F20" i="27" s="1"/>
  <c r="T20" i="27" s="1"/>
  <c r="Q23" i="27" a="1"/>
  <c r="Q23" i="27" s="1"/>
  <c r="Q51" i="27" a="1"/>
  <c r="Q51" i="27" s="1"/>
  <c r="R21" i="27" l="1"/>
  <c r="X21" i="27"/>
  <c r="L22" i="27" a="1"/>
  <c r="L22" i="27" s="1"/>
  <c r="P22" i="27" a="1"/>
  <c r="P22" i="27" s="1"/>
  <c r="B23" i="27"/>
  <c r="K23" i="27" s="1"/>
  <c r="N50" i="27"/>
  <c r="L50" i="27" a="1"/>
  <c r="L50" i="27" s="1"/>
  <c r="H22" i="27"/>
  <c r="I22" i="27"/>
  <c r="O22" i="27"/>
  <c r="N22" i="27"/>
  <c r="J22" i="27"/>
  <c r="M22" i="27"/>
  <c r="G22" i="27"/>
  <c r="B51" i="27"/>
  <c r="K51" i="27" s="1"/>
  <c r="C50" i="27"/>
  <c r="D50" i="27" s="1"/>
  <c r="G50" i="27"/>
  <c r="H50" i="27"/>
  <c r="J50" i="27"/>
  <c r="M50" i="27"/>
  <c r="I50" i="27"/>
  <c r="O50" i="27"/>
  <c r="E49" i="27"/>
  <c r="F49" i="27" s="1"/>
  <c r="T49" i="27" s="1"/>
  <c r="D22" i="27"/>
  <c r="Y22" i="27" s="1"/>
  <c r="E21" i="27"/>
  <c r="F21" i="27" s="1"/>
  <c r="T21" i="27" s="1"/>
  <c r="Q24" i="27" a="1"/>
  <c r="Q24" i="27" s="1"/>
  <c r="Q52" i="27" a="1"/>
  <c r="Q52" i="27" s="1"/>
  <c r="R22" i="27" l="1"/>
  <c r="V22" i="27" s="1"/>
  <c r="X22" i="27"/>
  <c r="L23" i="27" a="1"/>
  <c r="L23" i="27" s="1"/>
  <c r="P23" i="27" a="1"/>
  <c r="P23" i="27" s="1"/>
  <c r="B24" i="27"/>
  <c r="K24" i="27" s="1"/>
  <c r="R50" i="27"/>
  <c r="V50" i="27" s="1"/>
  <c r="N51" i="27"/>
  <c r="L51" i="27" a="1"/>
  <c r="L51" i="27" s="1"/>
  <c r="H23" i="27"/>
  <c r="I23" i="27"/>
  <c r="N23" i="27"/>
  <c r="O23" i="27"/>
  <c r="J23" i="27"/>
  <c r="M23" i="27"/>
  <c r="G23" i="27"/>
  <c r="B52" i="27"/>
  <c r="E50" i="27"/>
  <c r="F50" i="27" s="1"/>
  <c r="T50" i="27" s="1"/>
  <c r="W50" i="27" s="1"/>
  <c r="O51" i="27"/>
  <c r="G51" i="27"/>
  <c r="H51" i="27"/>
  <c r="J51" i="27"/>
  <c r="I51" i="27"/>
  <c r="M51" i="27"/>
  <c r="C51" i="27"/>
  <c r="D51" i="27" s="1"/>
  <c r="D23" i="27"/>
  <c r="E22" i="27"/>
  <c r="F22" i="27" s="1"/>
  <c r="T22" i="27" s="1"/>
  <c r="W22" i="27" s="1"/>
  <c r="Q25" i="27" a="1"/>
  <c r="Q25" i="27" s="1"/>
  <c r="Q53" i="27" a="1"/>
  <c r="Q53" i="27" s="1"/>
  <c r="Y23" i="27" l="1"/>
  <c r="R51" i="27"/>
  <c r="R23" i="27"/>
  <c r="V23" i="27" s="1"/>
  <c r="X23" i="27"/>
  <c r="L24" i="27" a="1"/>
  <c r="L24" i="27" s="1"/>
  <c r="P24" i="27" a="1"/>
  <c r="P24" i="27" s="1"/>
  <c r="B25" i="27"/>
  <c r="K25" i="27" s="1"/>
  <c r="N52" i="27"/>
  <c r="L52" i="27" a="1"/>
  <c r="L52" i="27" s="1"/>
  <c r="H24" i="27"/>
  <c r="I24" i="27"/>
  <c r="N24" i="27"/>
  <c r="O24" i="27"/>
  <c r="J24" i="27"/>
  <c r="M24" i="27"/>
  <c r="G24" i="27"/>
  <c r="B53" i="27"/>
  <c r="K53" i="27" s="1"/>
  <c r="E51" i="27"/>
  <c r="F51" i="27" s="1"/>
  <c r="T51" i="27" s="1"/>
  <c r="C52" i="27"/>
  <c r="D52" i="27" s="1"/>
  <c r="G52" i="27"/>
  <c r="H52" i="27"/>
  <c r="I52" i="27"/>
  <c r="J52" i="27"/>
  <c r="M52" i="27"/>
  <c r="O52" i="27"/>
  <c r="Q54" i="27" a="1"/>
  <c r="Q54" i="27" s="1"/>
  <c r="D24" i="27"/>
  <c r="E23" i="27"/>
  <c r="F23" i="27" s="1"/>
  <c r="T23" i="27" s="1"/>
  <c r="W23" i="27" s="1"/>
  <c r="Q26" i="27" a="1"/>
  <c r="Q26" i="27" s="1"/>
  <c r="R24" i="27" l="1"/>
  <c r="X24" i="27"/>
  <c r="L25" i="27" a="1"/>
  <c r="L25" i="27" s="1"/>
  <c r="P25" i="27" a="1"/>
  <c r="P25" i="27" s="1"/>
  <c r="B26" i="27"/>
  <c r="K26" i="27" s="1"/>
  <c r="R52" i="27"/>
  <c r="V52" i="27" s="1"/>
  <c r="N53" i="27"/>
  <c r="L53" i="27" a="1"/>
  <c r="L53" i="27" s="1"/>
  <c r="H25" i="27"/>
  <c r="I25" i="27"/>
  <c r="O25" i="27"/>
  <c r="J25" i="27"/>
  <c r="M25" i="27"/>
  <c r="G25" i="27"/>
  <c r="E52" i="27"/>
  <c r="F52" i="27" s="1"/>
  <c r="T52" i="27" s="1"/>
  <c r="W52" i="27" s="1"/>
  <c r="B54" i="27"/>
  <c r="K54" i="27" s="1"/>
  <c r="Q55" i="27" a="1"/>
  <c r="Q55" i="27" s="1"/>
  <c r="G53" i="27"/>
  <c r="H53" i="27"/>
  <c r="I53" i="27"/>
  <c r="O53" i="27"/>
  <c r="J53" i="27"/>
  <c r="M53" i="27"/>
  <c r="C53" i="27"/>
  <c r="D53" i="27" s="1"/>
  <c r="R53" i="27" s="1"/>
  <c r="D25" i="27"/>
  <c r="E24" i="27"/>
  <c r="F24" i="27" s="1"/>
  <c r="T24" i="27" s="1"/>
  <c r="Q27" i="27" a="1"/>
  <c r="Q27" i="27" s="1"/>
  <c r="R25" i="27" l="1"/>
  <c r="X25" i="27"/>
  <c r="L26" i="27" a="1"/>
  <c r="L26" i="27" s="1"/>
  <c r="P26" i="27" a="1"/>
  <c r="P26" i="27" s="1"/>
  <c r="B27" i="27"/>
  <c r="K27" i="27" s="1"/>
  <c r="L54" i="27" a="1"/>
  <c r="L54" i="27" s="1"/>
  <c r="H26" i="27"/>
  <c r="I26" i="27"/>
  <c r="N26" i="27"/>
  <c r="O26" i="27"/>
  <c r="J26" i="27"/>
  <c r="M26" i="27"/>
  <c r="G26" i="27"/>
  <c r="E53" i="27"/>
  <c r="F53" i="27" s="1"/>
  <c r="T53" i="27" s="1"/>
  <c r="B55" i="27"/>
  <c r="K55" i="27" s="1"/>
  <c r="Q56" i="27" a="1"/>
  <c r="Q56" i="27" s="1"/>
  <c r="O54" i="27"/>
  <c r="C54" i="27"/>
  <c r="D54" i="27" s="1"/>
  <c r="G54" i="27"/>
  <c r="H54" i="27"/>
  <c r="I54" i="27"/>
  <c r="J54" i="27"/>
  <c r="M54" i="27"/>
  <c r="D26" i="27"/>
  <c r="Q28" i="27" a="1"/>
  <c r="Q28" i="27" s="1"/>
  <c r="E25" i="27"/>
  <c r="F25" i="27" s="1"/>
  <c r="T25" i="27" s="1"/>
  <c r="R26" i="27" l="1"/>
  <c r="X26" i="27"/>
  <c r="L27" i="27" a="1"/>
  <c r="L27" i="27" s="1"/>
  <c r="P27" i="27" a="1"/>
  <c r="P27" i="27" s="1"/>
  <c r="Q57" i="27" a="1"/>
  <c r="Q57" i="27" s="1"/>
  <c r="Q58" i="27" s="1" a="1"/>
  <c r="Q58" i="27" s="1"/>
  <c r="R54" i="27"/>
  <c r="N55" i="27"/>
  <c r="L55" i="27" a="1"/>
  <c r="L55" i="27" s="1"/>
  <c r="Q29" i="27" a="1"/>
  <c r="Q29" i="27" s="1"/>
  <c r="B28" i="27"/>
  <c r="K28" i="27" s="1"/>
  <c r="I27" i="27"/>
  <c r="N27" i="27"/>
  <c r="O27" i="27"/>
  <c r="J27" i="27"/>
  <c r="M27" i="27"/>
  <c r="G27" i="27"/>
  <c r="B57" i="27"/>
  <c r="K57" i="27" s="1"/>
  <c r="B56" i="27"/>
  <c r="K56" i="27" s="1"/>
  <c r="C55" i="27"/>
  <c r="D55" i="27" s="1"/>
  <c r="G55" i="27"/>
  <c r="H55" i="27"/>
  <c r="I55" i="27"/>
  <c r="J55" i="27"/>
  <c r="O55" i="27"/>
  <c r="M55" i="27"/>
  <c r="E54" i="27"/>
  <c r="F54" i="27" s="1"/>
  <c r="T54" i="27" s="1"/>
  <c r="E26" i="27"/>
  <c r="F26" i="27" s="1"/>
  <c r="T26" i="27" s="1"/>
  <c r="D27" i="27"/>
  <c r="R27" i="27" l="1"/>
  <c r="X27" i="27"/>
  <c r="L28" i="27" a="1"/>
  <c r="L28" i="27" s="1"/>
  <c r="P28" i="27" a="1"/>
  <c r="P28" i="27" s="1"/>
  <c r="B29" i="27"/>
  <c r="K29" i="27" s="1"/>
  <c r="R55" i="27"/>
  <c r="N56" i="27"/>
  <c r="L56" i="27" a="1"/>
  <c r="L56" i="27" s="1"/>
  <c r="N57" i="27"/>
  <c r="L57" i="27" a="1"/>
  <c r="L57" i="27" s="1"/>
  <c r="Q30" i="27" a="1"/>
  <c r="Q30" i="27" s="1"/>
  <c r="H29" i="27"/>
  <c r="I29" i="27"/>
  <c r="I28" i="27"/>
  <c r="N29" i="27"/>
  <c r="O29" i="27"/>
  <c r="N28" i="27"/>
  <c r="O28" i="27"/>
  <c r="J28" i="27"/>
  <c r="M28" i="27"/>
  <c r="J29" i="27"/>
  <c r="M29" i="27"/>
  <c r="G28" i="27"/>
  <c r="G29" i="27"/>
  <c r="B58" i="27"/>
  <c r="K58" i="27" s="1"/>
  <c r="C57" i="27"/>
  <c r="D57" i="27" s="1"/>
  <c r="G57" i="27"/>
  <c r="H57" i="27"/>
  <c r="I57" i="27"/>
  <c r="J57" i="27"/>
  <c r="M57" i="27"/>
  <c r="O57" i="27"/>
  <c r="Q59" i="27" a="1"/>
  <c r="Q59" i="27" s="1"/>
  <c r="Q60" i="27" s="1" a="1"/>
  <c r="Q60" i="27" s="1"/>
  <c r="E55" i="27"/>
  <c r="F55" i="27" s="1"/>
  <c r="T55" i="27" s="1"/>
  <c r="M56" i="27"/>
  <c r="O56" i="27"/>
  <c r="C56" i="27"/>
  <c r="D56" i="27" s="1"/>
  <c r="G56" i="27"/>
  <c r="H56" i="27"/>
  <c r="I56" i="27"/>
  <c r="J56" i="27"/>
  <c r="D28" i="27"/>
  <c r="E27" i="27"/>
  <c r="F27" i="27" s="1"/>
  <c r="T27" i="27" s="1"/>
  <c r="D29" i="27"/>
  <c r="Q61" i="27" l="1" a="1"/>
  <c r="Q61" i="27" s="1"/>
  <c r="X29" i="27"/>
  <c r="R28" i="27"/>
  <c r="X28" i="27"/>
  <c r="L29" i="27" a="1"/>
  <c r="L29" i="27" s="1"/>
  <c r="R29" i="27" s="1"/>
  <c r="P29" i="27" a="1"/>
  <c r="P29" i="27" s="1"/>
  <c r="B30" i="27"/>
  <c r="B61" i="27"/>
  <c r="Q62" i="27" a="1"/>
  <c r="Q62" i="27" s="1"/>
  <c r="B60" i="27"/>
  <c r="B59" i="27"/>
  <c r="R56" i="27"/>
  <c r="R57" i="27"/>
  <c r="N58" i="27"/>
  <c r="L58" i="27" a="1"/>
  <c r="L58" i="27" s="1"/>
  <c r="Q31" i="27" a="1"/>
  <c r="Q31" i="27" s="1"/>
  <c r="I30" i="27"/>
  <c r="O30" i="27"/>
  <c r="D30" i="27"/>
  <c r="M30" i="27"/>
  <c r="J30" i="27"/>
  <c r="G30" i="27"/>
  <c r="E57" i="27"/>
  <c r="F57" i="27" s="1"/>
  <c r="T57" i="27" s="1"/>
  <c r="O58" i="27"/>
  <c r="C58" i="27"/>
  <c r="D58" i="27" s="1"/>
  <c r="G58" i="27"/>
  <c r="H58" i="27"/>
  <c r="I58" i="27"/>
  <c r="J58" i="27"/>
  <c r="M58" i="27"/>
  <c r="E56" i="27"/>
  <c r="F56" i="27" s="1"/>
  <c r="T56" i="27" s="1"/>
  <c r="E30" i="27"/>
  <c r="F30" i="27" s="1"/>
  <c r="E28" i="27"/>
  <c r="F28" i="27" s="1"/>
  <c r="T28" i="27" s="1"/>
  <c r="E29" i="27"/>
  <c r="F29" i="27" s="1"/>
  <c r="T29" i="27" s="1"/>
  <c r="X30" i="27" l="1"/>
  <c r="L30" i="27" a="1"/>
  <c r="L30" i="27" s="1"/>
  <c r="P30" i="27" a="1"/>
  <c r="P30" i="27" s="1"/>
  <c r="Q63" i="27" a="1"/>
  <c r="Q63" i="27" s="1"/>
  <c r="D31" i="27"/>
  <c r="Q32" i="27" a="1"/>
  <c r="Q32" i="27" s="1"/>
  <c r="Q38" i="27" a="1"/>
  <c r="Q38" i="27" s="1"/>
  <c r="R58" i="27"/>
  <c r="R30" i="27"/>
  <c r="T31" i="27"/>
  <c r="R31" i="27"/>
  <c r="E31" i="27"/>
  <c r="F31" i="27" s="1"/>
  <c r="T30" i="27"/>
  <c r="E58" i="27"/>
  <c r="F58" i="27" s="1"/>
  <c r="T58" i="27" s="1"/>
  <c r="T67" i="27" s="1"/>
  <c r="X31" i="27" l="1"/>
  <c r="Q110" i="27" a="1"/>
  <c r="Q110" i="27" s="1"/>
  <c r="Q106" i="27" a="1"/>
  <c r="Q106" i="27" s="1"/>
  <c r="D106" i="27" s="1"/>
  <c r="Q105" i="27" a="1"/>
  <c r="Q105" i="27" s="1"/>
  <c r="D105" i="27" s="1"/>
  <c r="Q104" i="27" a="1"/>
  <c r="Q104" i="27" s="1"/>
  <c r="D104" i="27" s="1"/>
  <c r="Q103" i="27" a="1"/>
  <c r="Q103" i="27" s="1"/>
  <c r="D103" i="27" s="1"/>
  <c r="Q102" i="27" a="1"/>
  <c r="Q102" i="27" s="1"/>
  <c r="Q101" i="27" a="1"/>
  <c r="Q101" i="27" s="1"/>
  <c r="Q100" i="27" a="1"/>
  <c r="Q100" i="27" s="1"/>
  <c r="Q99" i="27" a="1"/>
  <c r="Q99" i="27" s="1"/>
  <c r="Q98" i="27" a="1"/>
  <c r="Q98" i="27" s="1"/>
  <c r="Q97" i="27" a="1"/>
  <c r="Q97" i="27" s="1"/>
  <c r="Q96" i="27" a="1"/>
  <c r="Q96" i="27" s="1"/>
  <c r="Q95" i="27" a="1"/>
  <c r="Q95" i="27" s="1"/>
  <c r="Q94" i="27" a="1"/>
  <c r="Q94" i="27" s="1"/>
  <c r="Q93" i="27" a="1"/>
  <c r="Q93" i="27" s="1"/>
  <c r="Q92" i="27" a="1"/>
  <c r="Q92" i="27" s="1"/>
  <c r="Q91" i="27" a="1"/>
  <c r="Q91" i="27" s="1"/>
  <c r="Q90" i="27" a="1"/>
  <c r="Q90" i="27" s="1"/>
  <c r="Q89" i="27" a="1"/>
  <c r="Q89" i="27" s="1"/>
  <c r="B89" i="27" s="1"/>
  <c r="Q64" i="27" a="1"/>
  <c r="Q64" i="27" s="1"/>
  <c r="D32" i="27"/>
  <c r="Q34" i="27" a="1"/>
  <c r="Q34" i="27" s="1"/>
  <c r="D34" i="27" s="1"/>
  <c r="Q33" i="27" a="1"/>
  <c r="Q33" i="27" s="1"/>
  <c r="D33" i="27" s="1"/>
  <c r="Q65" i="27" l="1" a="1"/>
  <c r="Q65" i="27" s="1"/>
  <c r="X33" i="27"/>
  <c r="X34" i="27"/>
  <c r="X32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T103" i="27"/>
  <c r="R103" i="27"/>
  <c r="E103" i="27"/>
  <c r="F103" i="27" s="1"/>
  <c r="T104" i="27"/>
  <c r="R104" i="27"/>
  <c r="E104" i="27"/>
  <c r="F104" i="27" s="1"/>
  <c r="T105" i="27"/>
  <c r="R105" i="27"/>
  <c r="E105" i="27"/>
  <c r="F105" i="27" s="1"/>
  <c r="T106" i="27"/>
  <c r="R106" i="27"/>
  <c r="E106" i="27"/>
  <c r="F106" i="27" s="1"/>
  <c r="T33" i="27"/>
  <c r="R33" i="27"/>
  <c r="E33" i="27"/>
  <c r="F33" i="27" s="1"/>
  <c r="T34" i="27"/>
  <c r="R34" i="27"/>
  <c r="E34" i="27"/>
  <c r="F34" i="27" s="1"/>
  <c r="T32" i="27"/>
  <c r="R32" i="27"/>
  <c r="E32" i="27"/>
  <c r="F32" i="27" s="1"/>
  <c r="Q66" i="27" l="1" a="1"/>
  <c r="Q66" i="27" s="1"/>
  <c r="Q128" i="27" s="1" a="1"/>
  <c r="Q128" i="27" s="1"/>
  <c r="O102" i="27"/>
  <c r="N102" i="27"/>
  <c r="M102" i="27"/>
  <c r="L102" i="27" a="1"/>
  <c r="L102" i="27" s="1"/>
  <c r="K102" i="27"/>
  <c r="J102" i="27"/>
  <c r="I102" i="27"/>
  <c r="H102" i="27"/>
  <c r="G102" i="27"/>
  <c r="C102" i="27"/>
  <c r="D102" i="27" s="1"/>
  <c r="O101" i="27"/>
  <c r="N101" i="27"/>
  <c r="M101" i="27"/>
  <c r="L101" i="27" a="1"/>
  <c r="L101" i="27" s="1"/>
  <c r="K101" i="27"/>
  <c r="J101" i="27"/>
  <c r="I101" i="27"/>
  <c r="H101" i="27"/>
  <c r="G101" i="27"/>
  <c r="C101" i="27"/>
  <c r="D101" i="27" s="1"/>
  <c r="O100" i="27"/>
  <c r="N100" i="27"/>
  <c r="M100" i="27"/>
  <c r="L100" i="27" a="1"/>
  <c r="L100" i="27" s="1"/>
  <c r="K100" i="27"/>
  <c r="J100" i="27"/>
  <c r="I100" i="27"/>
  <c r="H100" i="27"/>
  <c r="G100" i="27"/>
  <c r="C100" i="27"/>
  <c r="D100" i="27" s="1"/>
  <c r="O99" i="27"/>
  <c r="N99" i="27"/>
  <c r="M99" i="27"/>
  <c r="L99" i="27" a="1"/>
  <c r="L99" i="27" s="1"/>
  <c r="K99" i="27"/>
  <c r="J99" i="27"/>
  <c r="I99" i="27"/>
  <c r="H99" i="27"/>
  <c r="G99" i="27"/>
  <c r="C99" i="27"/>
  <c r="D99" i="27" s="1"/>
  <c r="O98" i="27"/>
  <c r="N98" i="27"/>
  <c r="M98" i="27"/>
  <c r="L98" i="27" a="1"/>
  <c r="L98" i="27" s="1"/>
  <c r="K98" i="27"/>
  <c r="J98" i="27"/>
  <c r="I98" i="27"/>
  <c r="H98" i="27"/>
  <c r="G98" i="27"/>
  <c r="C98" i="27"/>
  <c r="D98" i="27" s="1"/>
  <c r="O97" i="27"/>
  <c r="N97" i="27"/>
  <c r="M97" i="27"/>
  <c r="L97" i="27" a="1"/>
  <c r="L97" i="27" s="1"/>
  <c r="K97" i="27"/>
  <c r="J97" i="27"/>
  <c r="I97" i="27"/>
  <c r="H97" i="27"/>
  <c r="G97" i="27"/>
  <c r="C97" i="27"/>
  <c r="D97" i="27" s="1"/>
  <c r="O96" i="27"/>
  <c r="N96" i="27"/>
  <c r="M96" i="27"/>
  <c r="L96" i="27" a="1"/>
  <c r="L96" i="27" s="1"/>
  <c r="K96" i="27"/>
  <c r="J96" i="27"/>
  <c r="I96" i="27"/>
  <c r="H96" i="27"/>
  <c r="G96" i="27"/>
  <c r="C96" i="27"/>
  <c r="D96" i="27" s="1"/>
  <c r="O95" i="27"/>
  <c r="N95" i="27"/>
  <c r="M95" i="27"/>
  <c r="L95" i="27" a="1"/>
  <c r="L95" i="27" s="1"/>
  <c r="K95" i="27"/>
  <c r="J95" i="27"/>
  <c r="I95" i="27"/>
  <c r="H95" i="27"/>
  <c r="G95" i="27"/>
  <c r="C95" i="27"/>
  <c r="D95" i="27" s="1"/>
  <c r="O94" i="27"/>
  <c r="N94" i="27"/>
  <c r="M94" i="27"/>
  <c r="L94" i="27" a="1"/>
  <c r="L94" i="27" s="1"/>
  <c r="K94" i="27"/>
  <c r="J94" i="27"/>
  <c r="I94" i="27"/>
  <c r="H94" i="27"/>
  <c r="G94" i="27"/>
  <c r="C94" i="27"/>
  <c r="D94" i="27" s="1"/>
  <c r="O93" i="27"/>
  <c r="N93" i="27"/>
  <c r="M93" i="27"/>
  <c r="L93" i="27" a="1"/>
  <c r="L93" i="27" s="1"/>
  <c r="K93" i="27"/>
  <c r="J93" i="27"/>
  <c r="I93" i="27"/>
  <c r="H93" i="27"/>
  <c r="G93" i="27"/>
  <c r="C93" i="27"/>
  <c r="D93" i="27" s="1"/>
  <c r="O92" i="27"/>
  <c r="N92" i="27"/>
  <c r="M92" i="27"/>
  <c r="L92" i="27" a="1"/>
  <c r="L92" i="27" s="1"/>
  <c r="K92" i="27"/>
  <c r="J92" i="27"/>
  <c r="I92" i="27"/>
  <c r="H92" i="27"/>
  <c r="G92" i="27"/>
  <c r="C92" i="27"/>
  <c r="D92" i="27" s="1"/>
  <c r="O91" i="27"/>
  <c r="N91" i="27"/>
  <c r="M91" i="27"/>
  <c r="L91" i="27" a="1"/>
  <c r="L91" i="27" s="1"/>
  <c r="K91" i="27"/>
  <c r="J91" i="27"/>
  <c r="I91" i="27"/>
  <c r="H91" i="27"/>
  <c r="G91" i="27"/>
  <c r="C91" i="27"/>
  <c r="D91" i="27" s="1"/>
  <c r="O90" i="27"/>
  <c r="N90" i="27"/>
  <c r="M90" i="27"/>
  <c r="L90" i="27" a="1"/>
  <c r="L90" i="27" s="1"/>
  <c r="K90" i="27"/>
  <c r="J90" i="27"/>
  <c r="I90" i="27"/>
  <c r="H90" i="27"/>
  <c r="G90" i="27"/>
  <c r="C90" i="27"/>
  <c r="D90" i="27" s="1"/>
  <c r="O89" i="27"/>
  <c r="N89" i="27"/>
  <c r="M89" i="27"/>
  <c r="L89" i="27" a="1"/>
  <c r="L89" i="27" s="1"/>
  <c r="K89" i="27"/>
  <c r="J89" i="27"/>
  <c r="I89" i="27"/>
  <c r="H89" i="27"/>
  <c r="G89" i="27"/>
  <c r="C89" i="27"/>
  <c r="D89" i="27" s="1"/>
  <c r="O130" i="27"/>
  <c r="N130" i="27"/>
  <c r="M130" i="27"/>
  <c r="L130" i="27" a="1"/>
  <c r="L130" i="27" s="1"/>
  <c r="K130" i="27"/>
  <c r="J130" i="27"/>
  <c r="I130" i="27"/>
  <c r="H130" i="27"/>
  <c r="G130" i="27"/>
  <c r="C130" i="27"/>
  <c r="O129" i="27"/>
  <c r="N129" i="27"/>
  <c r="M129" i="27"/>
  <c r="L129" i="27" a="1"/>
  <c r="L129" i="27" s="1"/>
  <c r="K129" i="27"/>
  <c r="J129" i="27"/>
  <c r="I129" i="27"/>
  <c r="H129" i="27"/>
  <c r="G129" i="27"/>
  <c r="C129" i="27"/>
  <c r="O128" i="27"/>
  <c r="N128" i="27"/>
  <c r="M128" i="27"/>
  <c r="L128" i="27" a="1"/>
  <c r="L128" i="27" s="1"/>
  <c r="K128" i="27"/>
  <c r="J128" i="27"/>
  <c r="I128" i="27"/>
  <c r="H128" i="27"/>
  <c r="G128" i="27"/>
  <c r="C128" i="27"/>
  <c r="D128" i="27" s="1"/>
  <c r="O127" i="27"/>
  <c r="N127" i="27"/>
  <c r="M127" i="27"/>
  <c r="L127" i="27" a="1"/>
  <c r="L127" i="27" s="1"/>
  <c r="K127" i="27"/>
  <c r="J127" i="27"/>
  <c r="I127" i="27"/>
  <c r="H127" i="27"/>
  <c r="G127" i="27"/>
  <c r="C127" i="27"/>
  <c r="O126" i="27"/>
  <c r="M126" i="27"/>
  <c r="L126" i="27" a="1"/>
  <c r="L126" i="27" s="1"/>
  <c r="K126" i="27"/>
  <c r="J126" i="27"/>
  <c r="I126" i="27"/>
  <c r="H126" i="27"/>
  <c r="G126" i="27"/>
  <c r="C126" i="27"/>
  <c r="O125" i="27"/>
  <c r="N125" i="27"/>
  <c r="M125" i="27"/>
  <c r="L125" i="27" a="1"/>
  <c r="L125" i="27" s="1"/>
  <c r="K125" i="27"/>
  <c r="J125" i="27"/>
  <c r="I125" i="27"/>
  <c r="H125" i="27"/>
  <c r="G125" i="27"/>
  <c r="C125" i="27"/>
  <c r="O124" i="27"/>
  <c r="N124" i="27"/>
  <c r="M124" i="27"/>
  <c r="L124" i="27" a="1"/>
  <c r="L124" i="27" s="1"/>
  <c r="J124" i="27"/>
  <c r="I124" i="27"/>
  <c r="H124" i="27"/>
  <c r="G124" i="27"/>
  <c r="C124" i="27"/>
  <c r="O123" i="27"/>
  <c r="N123" i="27"/>
  <c r="M123" i="27"/>
  <c r="L123" i="27" a="1"/>
  <c r="L123" i="27" s="1"/>
  <c r="K123" i="27"/>
  <c r="J123" i="27"/>
  <c r="I123" i="27"/>
  <c r="H123" i="27"/>
  <c r="G123" i="27"/>
  <c r="C123" i="27"/>
  <c r="O122" i="27"/>
  <c r="N122" i="27"/>
  <c r="M122" i="27"/>
  <c r="L122" i="27" a="1"/>
  <c r="L122" i="27" s="1"/>
  <c r="K122" i="27"/>
  <c r="J122" i="27"/>
  <c r="I122" i="27"/>
  <c r="H122" i="27"/>
  <c r="G122" i="27"/>
  <c r="C122" i="27"/>
  <c r="O121" i="27"/>
  <c r="N121" i="27"/>
  <c r="M121" i="27"/>
  <c r="L121" i="27" a="1"/>
  <c r="L121" i="27" s="1"/>
  <c r="K121" i="27"/>
  <c r="J121" i="27"/>
  <c r="I121" i="27"/>
  <c r="H121" i="27"/>
  <c r="G121" i="27"/>
  <c r="C121" i="27"/>
  <c r="O120" i="27"/>
  <c r="N120" i="27"/>
  <c r="M120" i="27"/>
  <c r="L120" i="27" a="1"/>
  <c r="L120" i="27" s="1"/>
  <c r="K120" i="27"/>
  <c r="J120" i="27"/>
  <c r="I120" i="27"/>
  <c r="H120" i="27"/>
  <c r="G120" i="27"/>
  <c r="C120" i="27"/>
  <c r="O119" i="27"/>
  <c r="N119" i="27"/>
  <c r="M119" i="27"/>
  <c r="L119" i="27" a="1"/>
  <c r="L119" i="27" s="1"/>
  <c r="K119" i="27"/>
  <c r="J119" i="27"/>
  <c r="I119" i="27"/>
  <c r="H119" i="27"/>
  <c r="G119" i="27"/>
  <c r="C119" i="27"/>
  <c r="T37" i="27"/>
  <c r="Q135" i="27" l="1" a="1"/>
  <c r="Q135" i="27" s="1"/>
  <c r="Q123" i="27" a="1"/>
  <c r="Q123" i="27" s="1"/>
  <c r="D123" i="27" s="1"/>
  <c r="Q129" i="27" a="1"/>
  <c r="Q129" i="27" s="1"/>
  <c r="D129" i="27" s="1"/>
  <c r="Q134" i="27" a="1"/>
  <c r="Q134" i="27" s="1"/>
  <c r="Q126" i="27" a="1"/>
  <c r="Q126" i="27" s="1"/>
  <c r="D126" i="27" s="1"/>
  <c r="E126" i="27" s="1"/>
  <c r="F126" i="27" s="1"/>
  <c r="Q122" i="27" a="1"/>
  <c r="Q122" i="27" s="1"/>
  <c r="D122" i="27" s="1"/>
  <c r="Q119" i="27" a="1"/>
  <c r="Q119" i="27" s="1"/>
  <c r="D119" i="27" s="1"/>
  <c r="T119" i="27" s="1"/>
  <c r="Q137" i="27" a="1"/>
  <c r="Q137" i="27" s="1"/>
  <c r="Q133" i="27" a="1"/>
  <c r="Q133" i="27" s="1"/>
  <c r="B133" i="27" s="1"/>
  <c r="Q125" i="27" a="1"/>
  <c r="Q125" i="27" s="1"/>
  <c r="D125" i="27" s="1"/>
  <c r="Q132" i="27" a="1"/>
  <c r="Q132" i="27" s="1"/>
  <c r="B132" i="27" s="1"/>
  <c r="Q120" i="27" a="1"/>
  <c r="Q120" i="27" s="1"/>
  <c r="D120" i="27" s="1"/>
  <c r="R120" i="27" s="1"/>
  <c r="V120" i="27" s="1"/>
  <c r="Q131" i="27" a="1"/>
  <c r="Q131" i="27" s="1"/>
  <c r="B131" i="27" s="1"/>
  <c r="Q136" i="27" a="1"/>
  <c r="Q136" i="27" s="1"/>
  <c r="Q130" i="27" a="1"/>
  <c r="Q130" i="27" s="1"/>
  <c r="D130" i="27" s="1"/>
  <c r="Q124" i="27" a="1"/>
  <c r="Q124" i="27" s="1"/>
  <c r="D124" i="27" s="1"/>
  <c r="Q127" i="27" a="1"/>
  <c r="Q127" i="27" s="1"/>
  <c r="D127" i="27" s="1"/>
  <c r="Q121" i="27" a="1"/>
  <c r="Q121" i="27" s="1"/>
  <c r="D121" i="27" s="1"/>
  <c r="Q138" i="27" a="1"/>
  <c r="Q138" i="27" s="1"/>
  <c r="T128" i="27"/>
  <c r="R128" i="27"/>
  <c r="E128" i="27"/>
  <c r="F128" i="27" s="1"/>
  <c r="T89" i="27"/>
  <c r="R89" i="27"/>
  <c r="V89" i="27" s="1"/>
  <c r="E89" i="27"/>
  <c r="F89" i="27" s="1"/>
  <c r="T90" i="27"/>
  <c r="R90" i="27"/>
  <c r="E90" i="27"/>
  <c r="F90" i="27" s="1"/>
  <c r="T91" i="27"/>
  <c r="R91" i="27"/>
  <c r="E91" i="27"/>
  <c r="F91" i="27" s="1"/>
  <c r="T92" i="27"/>
  <c r="R92" i="27"/>
  <c r="E92" i="27"/>
  <c r="F92" i="27" s="1"/>
  <c r="T93" i="27"/>
  <c r="R93" i="27"/>
  <c r="E93" i="27"/>
  <c r="F93" i="27" s="1"/>
  <c r="T94" i="27"/>
  <c r="W94" i="27" s="1"/>
  <c r="R94" i="27"/>
  <c r="V94" i="27" s="1"/>
  <c r="E94" i="27"/>
  <c r="F94" i="27" s="1"/>
  <c r="T95" i="27"/>
  <c r="W95" i="27" s="1"/>
  <c r="R95" i="27"/>
  <c r="V95" i="27" s="1"/>
  <c r="E95" i="27"/>
  <c r="F95" i="27" s="1"/>
  <c r="T96" i="27"/>
  <c r="R96" i="27"/>
  <c r="E96" i="27"/>
  <c r="F96" i="27" s="1"/>
  <c r="T97" i="27"/>
  <c r="R97" i="27"/>
  <c r="E97" i="27"/>
  <c r="F97" i="27" s="1"/>
  <c r="T98" i="27"/>
  <c r="R98" i="27"/>
  <c r="E98" i="27"/>
  <c r="F98" i="27" s="1"/>
  <c r="T99" i="27"/>
  <c r="R99" i="27"/>
  <c r="E99" i="27"/>
  <c r="F99" i="27" s="1"/>
  <c r="T100" i="27"/>
  <c r="R100" i="27"/>
  <c r="E100" i="27"/>
  <c r="F100" i="27" s="1"/>
  <c r="T101" i="27"/>
  <c r="R101" i="27"/>
  <c r="E101" i="27"/>
  <c r="F101" i="27" s="1"/>
  <c r="T102" i="27"/>
  <c r="R102" i="27"/>
  <c r="E102" i="27"/>
  <c r="F102" i="27" s="1"/>
  <c r="R129" i="27" l="1"/>
  <c r="E129" i="27"/>
  <c r="F129" i="27" s="1"/>
  <c r="T129" i="27"/>
  <c r="T123" i="27"/>
  <c r="R123" i="27"/>
  <c r="E123" i="27"/>
  <c r="F123" i="27" s="1"/>
  <c r="R126" i="27"/>
  <c r="T126" i="27"/>
  <c r="E121" i="27"/>
  <c r="F121" i="27" s="1"/>
  <c r="T121" i="27"/>
  <c r="R121" i="27"/>
  <c r="T127" i="27"/>
  <c r="R127" i="27"/>
  <c r="E127" i="27"/>
  <c r="F127" i="27" s="1"/>
  <c r="T124" i="27"/>
  <c r="W124" i="27" s="1"/>
  <c r="E124" i="27"/>
  <c r="F124" i="27" s="1"/>
  <c r="R124" i="27"/>
  <c r="V124" i="27" s="1"/>
  <c r="E125" i="27"/>
  <c r="F125" i="27" s="1"/>
  <c r="T125" i="27"/>
  <c r="R125" i="27"/>
  <c r="E130" i="27"/>
  <c r="F130" i="27" s="1"/>
  <c r="T130" i="27"/>
  <c r="R130" i="27"/>
  <c r="E122" i="27"/>
  <c r="F122" i="27" s="1"/>
  <c r="T122" i="27"/>
  <c r="W122" i="27" s="1"/>
  <c r="R122" i="27"/>
  <c r="V122" i="27" s="1"/>
  <c r="E120" i="27"/>
  <c r="F120" i="27" s="1"/>
  <c r="T120" i="27"/>
  <c r="W120" i="27" s="1"/>
  <c r="E119" i="27"/>
  <c r="F119" i="27" s="1"/>
  <c r="R119" i="27"/>
  <c r="V119" i="27" s="1"/>
  <c r="W89" i="27"/>
  <c r="T109" i="27"/>
  <c r="W119" i="27"/>
  <c r="T139" i="27"/>
  <c r="V22" i="28"/>
  <c r="U22" i="28"/>
  <c r="V21" i="28"/>
  <c r="U21" i="28"/>
  <c r="V20" i="28"/>
  <c r="U20" i="28"/>
  <c r="V19" i="28"/>
  <c r="U19" i="28"/>
  <c r="V18" i="28"/>
  <c r="U18" i="28"/>
  <c r="V17" i="28"/>
  <c r="U17" i="28"/>
  <c r="V16" i="28"/>
  <c r="U16" i="28"/>
  <c r="V15" i="28"/>
  <c r="U15" i="28"/>
  <c r="V14" i="28"/>
  <c r="U14" i="28"/>
  <c r="V13" i="28"/>
  <c r="U13" i="28"/>
  <c r="V12" i="28"/>
  <c r="U12" i="28"/>
  <c r="V11" i="28"/>
  <c r="U11" i="28"/>
  <c r="V10" i="28"/>
  <c r="U10" i="28"/>
  <c r="V9" i="28"/>
  <c r="U9" i="28"/>
  <c r="V8" i="28"/>
  <c r="U8" i="28"/>
  <c r="V7" i="28"/>
  <c r="U7" i="28"/>
  <c r="V6" i="28"/>
  <c r="U6" i="28"/>
  <c r="V5" i="28"/>
  <c r="T22" i="28"/>
  <c r="T21" i="28"/>
  <c r="T20" i="28"/>
  <c r="T19" i="28"/>
  <c r="T18" i="28"/>
  <c r="T17" i="28"/>
  <c r="T16" i="28"/>
  <c r="T15" i="28"/>
  <c r="T14" i="28"/>
  <c r="T13" i="28"/>
  <c r="T12" i="28"/>
  <c r="T11" i="28"/>
  <c r="T10" i="28"/>
  <c r="T9" i="28"/>
  <c r="T8" i="28"/>
  <c r="T7" i="28"/>
  <c r="T6" i="28"/>
  <c r="J25" i="28"/>
  <c r="I25" i="28"/>
  <c r="J24" i="28"/>
  <c r="I24" i="28"/>
  <c r="J23" i="28"/>
  <c r="I23" i="28"/>
  <c r="J22" i="28"/>
  <c r="I22" i="28"/>
  <c r="J21" i="28"/>
  <c r="I21" i="28"/>
  <c r="J20" i="28"/>
  <c r="I20" i="28"/>
  <c r="J19" i="28"/>
  <c r="I19" i="28"/>
  <c r="J18" i="28"/>
  <c r="I18" i="28"/>
  <c r="J17" i="28"/>
  <c r="I17" i="28"/>
  <c r="J16" i="28"/>
  <c r="I16" i="28"/>
  <c r="J15" i="28"/>
  <c r="I15" i="28"/>
  <c r="J14" i="28"/>
  <c r="I14" i="28"/>
  <c r="J13" i="28"/>
  <c r="I13" i="28"/>
  <c r="J12" i="28"/>
  <c r="I12" i="28"/>
  <c r="J11" i="28"/>
  <c r="I11" i="28"/>
  <c r="J10" i="28"/>
  <c r="I10" i="28"/>
  <c r="J9" i="28"/>
  <c r="I9" i="28"/>
  <c r="J8" i="28"/>
  <c r="I8" i="28"/>
  <c r="J7" i="28"/>
  <c r="I7" i="28"/>
  <c r="J6" i="28"/>
  <c r="I6" i="28"/>
  <c r="J5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26E6D8-1833-4BB9-BDF3-C4E24BAA7102}" keepAlive="1" name="Query - May Schedule Table" description="Connection to the 'May Schedule Table' query in the workbook." type="5" refreshedVersion="8" background="1" saveData="1">
    <dbPr connection="Provider=Microsoft.Mashup.OleDb.1;Data Source=$Workbook$;Location=&quot;May Schedule Table&quot;;Extended Properties=&quot;&quot;" command="SELECT * FROM [May Schedule Table]"/>
  </connection>
  <connection id="2" xr16:uid="{B38CA31F-14A4-4410-873B-C21CF1F06934}" keepAlive="1" name="Query - Per Game Table" description="Connection to the 'Per Game Table' query in the workbook." type="5" refreshedVersion="8" background="1" saveData="1">
    <dbPr connection="Provider=Microsoft.Mashup.OleDb.1;Data Source=$Workbook$;Location=&quot;Per Game Table&quot;;Extended Properties=&quot;&quot;" command="SELECT * FROM [Per Game Table]"/>
  </connection>
  <connection id="3" xr16:uid="{1B33E7EC-2331-447B-B949-AC6357C8F080}" keepAlive="1" name="Query - Per Game Table (2)" description="Connection to the 'Per Game Table (2)' query in the workbook." type="5" refreshedVersion="8" background="1" saveData="1">
    <dbPr connection="Provider=Microsoft.Mashup.OleDb.1;Data Source=$Workbook$;Location=&quot;Per Game Table (2)&quot;;Extended Properties=&quot;&quot;" command="SELECT * FROM [Per Game Table (2)]"/>
  </connection>
  <connection id="4" xr16:uid="{04B05AB3-EF48-4962-8E72-3AB1260B10E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5" xr16:uid="{7F6B540F-739A-41C3-84F3-2225D0F7BF88}" keepAlive="1" name="Query - Table 11" description="Connection to the 'Table 11' query in the workbook." type="5" refreshedVersion="8" background="1" saveData="1">
    <dbPr connection="Provider=Microsoft.Mashup.OleDb.1;Data Source=$Workbook$;Location=&quot;Table 11&quot;;Extended Properties=&quot;&quot;" command="SELECT * FROM [Table 11]"/>
  </connection>
  <connection id="6" xr16:uid="{9B6C905C-C60F-4A5C-A763-0B1770B0E7C0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7" xr16:uid="{E129C963-0CED-4716-9855-D81289B8DBDC}" keepAlive="1" name="Query - Table 2 (2)" description="Connection to the 'Table 2 (2)' query in the workbook." type="5" refreshedVersion="8" background="1" saveData="1">
    <dbPr connection="Provider=Microsoft.Mashup.OleDb.1;Data Source=$Workbook$;Location=&quot;Table 2 (2)&quot;;Extended Properties=&quot;&quot;" command="SELECT * FROM [Table 2 (2)]"/>
  </connection>
  <connection id="8" xr16:uid="{14B8176C-B2C1-4B5D-8BCD-3EA72B875499}" keepAlive="1" name="Query - Team Ratings Table" description="Connection to the 'Team Ratings Table' query in the workbook." type="5" refreshedVersion="8" background="1" saveData="1">
    <dbPr connection="Provider=Microsoft.Mashup.OleDb.1;Data Source=$Workbook$;Location=&quot;Team Ratings Table&quot;;Extended Properties=&quot;&quot;" command="SELECT * FROM [Team Ratings Table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<sst xmlns="http://schemas.openxmlformats.org/spreadsheetml/2006/main" count="50756" uniqueCount="3667">
  <si>
    <t>README</t>
  </si>
  <si>
    <t>Prizepicks Spider</t>
  </si>
  <si>
    <t>capture</t>
  </si>
  <si>
    <t>https://app.prizepicks.com/board</t>
  </si>
  <si>
    <t>Need to figure out how to look for just points, rebs, 3pts made, free throws, dunks</t>
  </si>
  <si>
    <t>I want to capture Name, team, vs who, number and category (pts, rebs,… etc)</t>
  </si>
  <si>
    <t>NBA ESPN Spider (Pts Spider)</t>
  </si>
  <si>
    <t>Capture pts</t>
  </si>
  <si>
    <t>https://www.espn.com/nba/stats/player</t>
  </si>
  <si>
    <t>Capture all stats</t>
  </si>
  <si>
    <t>https://www.espn.com/nba/stats/player/_/season/2025/seasontype/2/table/offensive/sort/avgThreePointFieldGoalsMade/dir/desc</t>
  </si>
  <si>
    <t>&lt;div class="athleteCell__flag flex items-start mr7"&gt;&lt;img alt="" class="Image Logo Athlete__Flag dib mr2 Logo__sm" data-mptype="image" src="https://a.espncdn.com/combiner/i?img=/i/teamlogos/nba/500/okc.png&amp;amp;scale=crop&amp;amp;cquality=40&amp;amp;location=origin&amp;amp;w=40&amp;amp;h=40"&gt;&lt;a class="AnchorLink" tabindex="0" data-player-uid="s:40~l:46~a:4278073" href="https://www.espn.com/nba/player/_/id/4278073/shai-gilgeous-alexander"&gt;Shai Gilgeous-Alexander&lt;/a&gt;&lt;span class="pl2 ns10 athleteCell__teamAbbrev"&gt;OKC&lt;/span&gt;&lt;/div&gt;</t>
  </si>
  <si>
    <t>CBB ESPN Spider (Pts Spider)</t>
  </si>
  <si>
    <t>NFL ESPN Spider (Pts Spider)</t>
  </si>
  <si>
    <t>MLB ESPN Spider (Pts Spider)</t>
  </si>
  <si>
    <t>&lt;tr class="Table__TR Table__TR--sm Table__even" data-idx="0" style="height: auto;"&gt;&lt;td class="Table__TD"&gt;1&lt;/td&gt;&lt;td class="Table__TD"&gt;&lt;div class="athleteCell__flag flex items-start mr7"&gt;&lt;img alt="" class="Image Logo Athlete__Flag dib mr2 Logo__sm" data-mptype="image" src="https://a.espncdn.com/combiner/i?img=/i/teamlogos/nba/500/okc.png&amp;amp;scale=crop&amp;amp;cquality=40&amp;amp;location=origin&amp;amp;w=40&amp;amp;h=40"&gt;&lt;a class="AnchorLink" tabindex="0" data-player-uid="s:40~l:46~a:4278073" href="https://www.espn.com/nba/player/_/id/4278073/shai-gilgeous-alexander"&gt;Shai Gilgeous-Alexander&lt;/a&gt;&lt;span class="pl2 ns10 athleteCell__teamAbbrev"&gt;OKC&lt;/span&gt;&lt;/div&gt;&lt;/td&gt;&lt;/tr&gt;</t>
  </si>
  <si>
    <t>initial dposit</t>
  </si>
  <si>
    <t>Units</t>
  </si>
  <si>
    <t>Win % 33%</t>
  </si>
  <si>
    <t>3 Win Payout x6</t>
  </si>
  <si>
    <t>4 Win Payout x10</t>
  </si>
  <si>
    <t>3Win 20 day monthly goal 5day/wk</t>
  </si>
  <si>
    <t>yearly</t>
  </si>
  <si>
    <t>20 day monthly goal 5day/wk</t>
  </si>
  <si>
    <t>4 Win 20 day monthly goal 5day/wk</t>
  </si>
  <si>
    <t>3pick wins</t>
  </si>
  <si>
    <t>%</t>
  </si>
  <si>
    <t>4 pick wins</t>
  </si>
  <si>
    <t>total</t>
  </si>
  <si>
    <t>Todays Matchups</t>
  </si>
  <si>
    <t>Worst Defense</t>
  </si>
  <si>
    <t>Worst 3 Defense</t>
  </si>
  <si>
    <t>Worst Rebs</t>
  </si>
  <si>
    <t>Most Pts given up</t>
  </si>
  <si>
    <t>Worst DRTG</t>
  </si>
  <si>
    <t>NAME</t>
  </si>
  <si>
    <t>DRTG</t>
  </si>
  <si>
    <t>TM</t>
  </si>
  <si>
    <t>Best DRTG</t>
  </si>
  <si>
    <t>POS</t>
  </si>
  <si>
    <t>Bucks</t>
  </si>
  <si>
    <t>Pistons</t>
  </si>
  <si>
    <t>Jazz</t>
  </si>
  <si>
    <t>Wizards</t>
  </si>
  <si>
    <t>Keyonte George</t>
  </si>
  <si>
    <t>UTA</t>
  </si>
  <si>
    <t>Jalen Williams</t>
  </si>
  <si>
    <t>SF</t>
  </si>
  <si>
    <t>OKC</t>
  </si>
  <si>
    <t>Magic</t>
  </si>
  <si>
    <t>Pacers</t>
  </si>
  <si>
    <t>Kings</t>
  </si>
  <si>
    <t>Bulls</t>
  </si>
  <si>
    <t>Devin Booker</t>
  </si>
  <si>
    <t>PHX</t>
  </si>
  <si>
    <t>Shai Gilgeous-Alexander</t>
  </si>
  <si>
    <t>PG</t>
  </si>
  <si>
    <t>Hawks</t>
  </si>
  <si>
    <t>76ers</t>
  </si>
  <si>
    <t>Hornets</t>
  </si>
  <si>
    <t>Pelicans</t>
  </si>
  <si>
    <t>Mavericks</t>
  </si>
  <si>
    <t>Tyus Jones</t>
  </si>
  <si>
    <t>SG</t>
  </si>
  <si>
    <t>Amen Thompson</t>
  </si>
  <si>
    <t>HOU</t>
  </si>
  <si>
    <t>Celtics</t>
  </si>
  <si>
    <t>Grizzlies</t>
  </si>
  <si>
    <t xml:space="preserve">Bulls </t>
  </si>
  <si>
    <t>Harrison Barnes</t>
  </si>
  <si>
    <t>SAS</t>
  </si>
  <si>
    <t>Alperen Şengün</t>
  </si>
  <si>
    <t>C</t>
  </si>
  <si>
    <t>Cavaliers</t>
  </si>
  <si>
    <t>Knicks</t>
  </si>
  <si>
    <t>Spurs</t>
  </si>
  <si>
    <t>Carlton Carrington</t>
  </si>
  <si>
    <t>WAS</t>
  </si>
  <si>
    <t>Ivica Zubac</t>
  </si>
  <si>
    <t>LAC</t>
  </si>
  <si>
    <t>Ners</t>
  </si>
  <si>
    <t>Nuggs</t>
  </si>
  <si>
    <t>Trey Murphy III</t>
  </si>
  <si>
    <t>NOP</t>
  </si>
  <si>
    <t>Jarrett Allen</t>
  </si>
  <si>
    <t>CLE</t>
  </si>
  <si>
    <t>Heat</t>
  </si>
  <si>
    <t>Raptors</t>
  </si>
  <si>
    <t>Nuggets</t>
  </si>
  <si>
    <t>hornets</t>
  </si>
  <si>
    <t>Suns</t>
  </si>
  <si>
    <t>Jordan Poole</t>
  </si>
  <si>
    <t>Evan Mobley</t>
  </si>
  <si>
    <t>PF</t>
  </si>
  <si>
    <t>Anfernee Simons</t>
  </si>
  <si>
    <t>POR</t>
  </si>
  <si>
    <t>Jalen Duren</t>
  </si>
  <si>
    <t>DET</t>
  </si>
  <si>
    <t>Nets</t>
  </si>
  <si>
    <t>Timberwolves</t>
  </si>
  <si>
    <t>Bilal Coulibaly</t>
  </si>
  <si>
    <t>Rudy Gobert</t>
  </si>
  <si>
    <t>MIN</t>
  </si>
  <si>
    <t>Stephon Castle</t>
  </si>
  <si>
    <t>Giannis Antetokounmpo</t>
  </si>
  <si>
    <t>MIL</t>
  </si>
  <si>
    <t>Thunder</t>
  </si>
  <si>
    <t>Tyrese Maxey</t>
  </si>
  <si>
    <t>PHI</t>
  </si>
  <si>
    <t>Luguentz Dort</t>
  </si>
  <si>
    <t>Trae Young</t>
  </si>
  <si>
    <t>ATL</t>
  </si>
  <si>
    <t>Jayson Tatum</t>
  </si>
  <si>
    <t>BOS</t>
  </si>
  <si>
    <t>Warriors</t>
  </si>
  <si>
    <t>Trail Blazers</t>
  </si>
  <si>
    <t>Jalen Wilson</t>
  </si>
  <si>
    <t>BKN</t>
  </si>
  <si>
    <t>James Harden</t>
  </si>
  <si>
    <t>Clippers</t>
  </si>
  <si>
    <t>DeMar DeRozan</t>
  </si>
  <si>
    <t>SAC</t>
  </si>
  <si>
    <t>Naz Reid</t>
  </si>
  <si>
    <t>PF/C</t>
  </si>
  <si>
    <t>Rockets</t>
  </si>
  <si>
    <t>Lakers</t>
  </si>
  <si>
    <t>Kevin Durant</t>
  </si>
  <si>
    <t>TOT</t>
  </si>
  <si>
    <t>Karl-Anthony Towns</t>
  </si>
  <si>
    <t>NYK</t>
  </si>
  <si>
    <t>Coby White</t>
  </si>
  <si>
    <t>CHI</t>
  </si>
  <si>
    <t>Bam Adebayo</t>
  </si>
  <si>
    <t>MIA</t>
  </si>
  <si>
    <t>Zach LaVine</t>
  </si>
  <si>
    <t>Jaden McDaniels</t>
  </si>
  <si>
    <t>Best Defense</t>
  </si>
  <si>
    <t>Most 3s</t>
  </si>
  <si>
    <t>Best Rebounding</t>
  </si>
  <si>
    <t>Most pts Scored</t>
  </si>
  <si>
    <t>Josh Green</t>
  </si>
  <si>
    <t>Franz Wagner</t>
  </si>
  <si>
    <t>ORL</t>
  </si>
  <si>
    <t>thunder</t>
  </si>
  <si>
    <t>Cavs</t>
  </si>
  <si>
    <t>Yves Missi</t>
  </si>
  <si>
    <t>CHA</t>
  </si>
  <si>
    <t>Nikola Jokić</t>
  </si>
  <si>
    <t>DEN</t>
  </si>
  <si>
    <t>magic</t>
  </si>
  <si>
    <t xml:space="preserve">WaW </t>
  </si>
  <si>
    <t>DAL</t>
  </si>
  <si>
    <t>Dyson Daniels</t>
  </si>
  <si>
    <t>rockets</t>
  </si>
  <si>
    <t>Jalen Brunson</t>
  </si>
  <si>
    <t>Jaren Jackson Jr.</t>
  </si>
  <si>
    <t>MEM</t>
  </si>
  <si>
    <t>clippers</t>
  </si>
  <si>
    <t>Spencer Dinwiddie</t>
  </si>
  <si>
    <t>Fred VanVleet</t>
  </si>
  <si>
    <t>celtics</t>
  </si>
  <si>
    <t>Jaylen Wells</t>
  </si>
  <si>
    <t>Scottie Barnes</t>
  </si>
  <si>
    <t>TOR</t>
  </si>
  <si>
    <t>twolves</t>
  </si>
  <si>
    <t>Mikal Bridges</t>
  </si>
  <si>
    <t>Kentavious Caldwell-Pope</t>
  </si>
  <si>
    <t>warriors</t>
  </si>
  <si>
    <t>Devin Vassell</t>
  </si>
  <si>
    <t>Myles Turner</t>
  </si>
  <si>
    <t>IND</t>
  </si>
  <si>
    <t>Player</t>
  </si>
  <si>
    <t>Team</t>
  </si>
  <si>
    <t>Opp</t>
  </si>
  <si>
    <t>Category</t>
  </si>
  <si>
    <t>Over/Under</t>
  </si>
  <si>
    <t>PP Avg</t>
  </si>
  <si>
    <t xml:space="preserve"> PP Spread</t>
  </si>
  <si>
    <t>Spread</t>
  </si>
  <si>
    <t>Line</t>
  </si>
  <si>
    <t>Prev. H2H</t>
  </si>
  <si>
    <t>PICKS</t>
  </si>
  <si>
    <t>HIT</t>
  </si>
  <si>
    <t>MIL - F</t>
  </si>
  <si>
    <t xml:space="preserve">Regular h2h </t>
  </si>
  <si>
    <t>Kyle Filipowski</t>
  </si>
  <si>
    <t>UTA - C</t>
  </si>
  <si>
    <t>Norman Powell</t>
  </si>
  <si>
    <t>LAC - G</t>
  </si>
  <si>
    <t>Andrew Wiggins</t>
  </si>
  <si>
    <t>MIA - F</t>
  </si>
  <si>
    <t>Flex Pick</t>
  </si>
  <si>
    <t>Gabe Vincent</t>
  </si>
  <si>
    <t>LAL - G</t>
  </si>
  <si>
    <t>Desmond Bane</t>
  </si>
  <si>
    <t>MEM - G</t>
  </si>
  <si>
    <t>Isaiah Collier</t>
  </si>
  <si>
    <t>UTA - G</t>
  </si>
  <si>
    <t>Alex Sarr</t>
  </si>
  <si>
    <t>WAS - C</t>
  </si>
  <si>
    <t>Ochai Agbaji</t>
  </si>
  <si>
    <t>TOR - G</t>
  </si>
  <si>
    <t>Kevin Huerter</t>
  </si>
  <si>
    <t>CHI - G-F</t>
  </si>
  <si>
    <t>Kris Dunn</t>
  </si>
  <si>
    <t>SAC - G</t>
  </si>
  <si>
    <t>pp</t>
  </si>
  <si>
    <t>Josh Giddey</t>
  </si>
  <si>
    <t>CHI - G</t>
  </si>
  <si>
    <t>Tyler Herro</t>
  </si>
  <si>
    <t>MIA - G</t>
  </si>
  <si>
    <t>MIN - C</t>
  </si>
  <si>
    <t>Grayson Allen</t>
  </si>
  <si>
    <t>PHX - G</t>
  </si>
  <si>
    <t>Ryan Dunn</t>
  </si>
  <si>
    <t>PHX - F</t>
  </si>
  <si>
    <t>Dorian Finney-Smith</t>
  </si>
  <si>
    <t>LAL - F</t>
  </si>
  <si>
    <t>Kawhi Leonard</t>
  </si>
  <si>
    <t>LAC - F</t>
  </si>
  <si>
    <t>Lonnie Walker</t>
  </si>
  <si>
    <t>PHI - G</t>
  </si>
  <si>
    <t>Jonathan Mogbo</t>
  </si>
  <si>
    <t>TOR - F</t>
  </si>
  <si>
    <t>Oso Ighodaro</t>
  </si>
  <si>
    <t>Duncan Robinson</t>
  </si>
  <si>
    <t>Derrick White</t>
  </si>
  <si>
    <t>BOS - G</t>
  </si>
  <si>
    <t>Anthony Davis</t>
  </si>
  <si>
    <t>DAL - F-C</t>
  </si>
  <si>
    <t>SAS - G</t>
  </si>
  <si>
    <t>Zaccharie Risacher</t>
  </si>
  <si>
    <t>ATL - F</t>
  </si>
  <si>
    <t>Kyle Kuzma</t>
  </si>
  <si>
    <t>Brice Sensabaugh</t>
  </si>
  <si>
    <t>UTA - F</t>
  </si>
  <si>
    <t>Klay Thompson</t>
  </si>
  <si>
    <t>DAL - G</t>
  </si>
  <si>
    <t>Kyshawn George</t>
  </si>
  <si>
    <t>WAS - F</t>
  </si>
  <si>
    <t>Patrick Williams</t>
  </si>
  <si>
    <t>CHI - F</t>
  </si>
  <si>
    <t>Moses Moody</t>
  </si>
  <si>
    <t>GSW - G</t>
  </si>
  <si>
    <t>Davion Mitchell</t>
  </si>
  <si>
    <t>Taurean Prince</t>
  </si>
  <si>
    <t>Dalano Banton</t>
  </si>
  <si>
    <t>POR - F</t>
  </si>
  <si>
    <t>Justin Edwards</t>
  </si>
  <si>
    <t>PHI - F</t>
  </si>
  <si>
    <t>MIN - F</t>
  </si>
  <si>
    <t>Keon Ellis</t>
  </si>
  <si>
    <t>Matas Buzelis</t>
  </si>
  <si>
    <t>Luka Dončić</t>
  </si>
  <si>
    <t>LAL - F-G</t>
  </si>
  <si>
    <t>LeBron James</t>
  </si>
  <si>
    <t>Al Horford</t>
  </si>
  <si>
    <t>BOS - C-F</t>
  </si>
  <si>
    <t>Quentin Grimes</t>
  </si>
  <si>
    <t>Jamal Shead</t>
  </si>
  <si>
    <t>Julius Randle</t>
  </si>
  <si>
    <t>MIN - F-C</t>
  </si>
  <si>
    <t>Jared Butler</t>
  </si>
  <si>
    <t>Brook Lopez</t>
  </si>
  <si>
    <t>MIL - C</t>
  </si>
  <si>
    <t>BOS - F-G</t>
  </si>
  <si>
    <t>Stephen Curry</t>
  </si>
  <si>
    <t>MEM - F-C</t>
  </si>
  <si>
    <t>Caris LeVert</t>
  </si>
  <si>
    <t>ATL - G</t>
  </si>
  <si>
    <t>SAC - G-F</t>
  </si>
  <si>
    <t>Russell Westbrook</t>
  </si>
  <si>
    <t>DEN - G</t>
  </si>
  <si>
    <t>Zach Edey</t>
  </si>
  <si>
    <t>MEM - C</t>
  </si>
  <si>
    <t>Tim Hardaway Jr.</t>
  </si>
  <si>
    <t>DET - G-F</t>
  </si>
  <si>
    <t>Vince Williams Jr.</t>
  </si>
  <si>
    <t>Nikola Jokic</t>
  </si>
  <si>
    <t>DEN - C</t>
  </si>
  <si>
    <t>Pascal Siakam</t>
  </si>
  <si>
    <t>IND - F</t>
  </si>
  <si>
    <t>Domantas Sabonis</t>
  </si>
  <si>
    <t>SAC - F-C</t>
  </si>
  <si>
    <t>Gary Trent Jr.</t>
  </si>
  <si>
    <t>MIL - G</t>
  </si>
  <si>
    <t>TOR - F-G</t>
  </si>
  <si>
    <t>MIA - C-F</t>
  </si>
  <si>
    <t>Brandin Podziemski</t>
  </si>
  <si>
    <t>DET - C</t>
  </si>
  <si>
    <t>Ausar Thompson</t>
  </si>
  <si>
    <t>Dereck Lively II</t>
  </si>
  <si>
    <t>DAL - C</t>
  </si>
  <si>
    <t>Jaxson Hayes</t>
  </si>
  <si>
    <t>LAL - C-F</t>
  </si>
  <si>
    <t>Haywood Highsmith</t>
  </si>
  <si>
    <t>Kevin Porter</t>
  </si>
  <si>
    <t>MIL - G-F</t>
  </si>
  <si>
    <t>Georges Niang</t>
  </si>
  <si>
    <t>Kyle Anderson</t>
  </si>
  <si>
    <t>MIA - F-G</t>
  </si>
  <si>
    <t>Ja Morant</t>
  </si>
  <si>
    <t>AJ Johnson</t>
  </si>
  <si>
    <t>WAS - G</t>
  </si>
  <si>
    <t>Austin Reaves</t>
  </si>
  <si>
    <t>Jrue Holiday</t>
  </si>
  <si>
    <t>Mouhamed Gueye</t>
  </si>
  <si>
    <t>Ryan Rollins</t>
  </si>
  <si>
    <t>Kristaps Porzingis</t>
  </si>
  <si>
    <t>BOS - F-C</t>
  </si>
  <si>
    <t>Jalen Pickett</t>
  </si>
  <si>
    <t>Obi Toppin</t>
  </si>
  <si>
    <t>Michael Porter Jr.</t>
  </si>
  <si>
    <t>DEN - F</t>
  </si>
  <si>
    <t>Tyrese Haliburton</t>
  </si>
  <si>
    <t>IND - G</t>
  </si>
  <si>
    <t>LAC - C</t>
  </si>
  <si>
    <t>Jimmy Butler</t>
  </si>
  <si>
    <t>GSW - F</t>
  </si>
  <si>
    <t>Santi Aldama</t>
  </si>
  <si>
    <t>Bennedict Mathurin</t>
  </si>
  <si>
    <t>IND - G-F</t>
  </si>
  <si>
    <t>Rui Hachimura</t>
  </si>
  <si>
    <t>Draymond Green</t>
  </si>
  <si>
    <t>P.J. Washington</t>
  </si>
  <si>
    <t>DAL - F</t>
  </si>
  <si>
    <t>Matisse Thybulle</t>
  </si>
  <si>
    <t>POR - G-F</t>
  </si>
  <si>
    <t>Onyeka Okongwu</t>
  </si>
  <si>
    <t>ATL - F-C</t>
  </si>
  <si>
    <t>Bradley Beal</t>
  </si>
  <si>
    <t>KJ Simpson</t>
  </si>
  <si>
    <t>CHA - G</t>
  </si>
  <si>
    <t>Terance Mann</t>
  </si>
  <si>
    <t>ATL - G-F</t>
  </si>
  <si>
    <t>Chris Paul</t>
  </si>
  <si>
    <t>Cory Joseph</t>
  </si>
  <si>
    <t>ORL - G</t>
  </si>
  <si>
    <t>Toumani Camara</t>
  </si>
  <si>
    <t>IND - C-F</t>
  </si>
  <si>
    <t>Keegan Murray</t>
  </si>
  <si>
    <t>SAC - F</t>
  </si>
  <si>
    <t>Cade Cunningham</t>
  </si>
  <si>
    <t>DET - G</t>
  </si>
  <si>
    <t>Nikola Vucevic</t>
  </si>
  <si>
    <t>CHI - C</t>
  </si>
  <si>
    <t>Blu picks pp picks</t>
  </si>
  <si>
    <t>Aaron Gordon</t>
  </si>
  <si>
    <t>Tobias Harris</t>
  </si>
  <si>
    <t>DET - F</t>
  </si>
  <si>
    <t>Scotty Pippen Jr.</t>
  </si>
  <si>
    <t>Justin Champagnie</t>
  </si>
  <si>
    <t>WAS - G-F</t>
  </si>
  <si>
    <t>Malik Beasley</t>
  </si>
  <si>
    <t>Bobby Portis</t>
  </si>
  <si>
    <t>Aaron Nesmith</t>
  </si>
  <si>
    <t>Jonas Valančiūnas</t>
  </si>
  <si>
    <t>SAC - C</t>
  </si>
  <si>
    <t>SAS - F</t>
  </si>
  <si>
    <t>Collin Sexton</t>
  </si>
  <si>
    <t>Johnny Juzang</t>
  </si>
  <si>
    <t>Donovan Clingan</t>
  </si>
  <si>
    <t>POR - C</t>
  </si>
  <si>
    <t>A.J. Green</t>
  </si>
  <si>
    <t>Shaedon Sharpe</t>
  </si>
  <si>
    <t>POR - G</t>
  </si>
  <si>
    <t>Naji Marshall</t>
  </si>
  <si>
    <t>Anthony Edwards</t>
  </si>
  <si>
    <t>MIN - G</t>
  </si>
  <si>
    <t>Christian Braun</t>
  </si>
  <si>
    <t>Adem Bona</t>
  </si>
  <si>
    <t>Peyton Watson</t>
  </si>
  <si>
    <t>Kel'el Ware</t>
  </si>
  <si>
    <t>MIA - C</t>
  </si>
  <si>
    <t>Goga Bitadze</t>
  </si>
  <si>
    <t>ORL - C-F</t>
  </si>
  <si>
    <t>Andrew Nembhard</t>
  </si>
  <si>
    <t>Alec Burks</t>
  </si>
  <si>
    <t>Mark Williams</t>
  </si>
  <si>
    <t>CHA - C</t>
  </si>
  <si>
    <t>T.J. McConnell</t>
  </si>
  <si>
    <t>Jamison Battle</t>
  </si>
  <si>
    <t>w</t>
  </si>
  <si>
    <t>Atlanta Hawks</t>
  </si>
  <si>
    <t>ORTG</t>
  </si>
  <si>
    <t>starters</t>
  </si>
  <si>
    <t>Onyeka Okongwu#17</t>
  </si>
  <si>
    <t>Zaccharie Risacher#10</t>
  </si>
  <si>
    <t>Mouhamed Gueye#18</t>
  </si>
  <si>
    <t>F</t>
  </si>
  <si>
    <t>Trae Young#11</t>
  </si>
  <si>
    <t>Dyson Daniels#5</t>
  </si>
  <si>
    <t>G</t>
  </si>
  <si>
    <t>bench</t>
  </si>
  <si>
    <t>Dominick Barlow#0</t>
  </si>
  <si>
    <t>Georges Niang#20</t>
  </si>
  <si>
    <t>Caris LeVert#3</t>
  </si>
  <si>
    <t>Terance Mann#14</t>
  </si>
  <si>
    <t>Name</t>
  </si>
  <si>
    <t xml:space="preserve">                Number</t>
  </si>
  <si>
    <t>Position</t>
  </si>
  <si>
    <t>Vit Krejci#27</t>
  </si>
  <si>
    <t xml:space="preserve">    SF</t>
  </si>
  <si>
    <t>Garrison Mathews#24</t>
  </si>
  <si>
    <t>OG Anunoby</t>
  </si>
  <si>
    <t>Daeqwon Plowden#29</t>
  </si>
  <si>
    <t xml:space="preserve">    PF</t>
  </si>
  <si>
    <t>Josh Hart</t>
  </si>
  <si>
    <t xml:space="preserve">    SG</t>
  </si>
  <si>
    <t>Boston Celtics</t>
  </si>
  <si>
    <t>Delon Wright</t>
  </si>
  <si>
    <t xml:space="preserve">    PG</t>
  </si>
  <si>
    <t>Precious Achiuwa</t>
  </si>
  <si>
    <t>Jayson Tatum#0</t>
  </si>
  <si>
    <t>Anton Watson</t>
  </si>
  <si>
    <t>Kristaps Porzingis#8</t>
  </si>
  <si>
    <t>MarJon Beauchamp</t>
  </si>
  <si>
    <t>Jrue Holiday#4</t>
  </si>
  <si>
    <t>Landry Shamet</t>
  </si>
  <si>
    <t>Derrick White#9</t>
  </si>
  <si>
    <t>Tyler Kolek</t>
  </si>
  <si>
    <t>Jaylen Brown#7</t>
  </si>
  <si>
    <t>P.J. Tucker</t>
  </si>
  <si>
    <t>Mitchell Robinson</t>
  </si>
  <si>
    <t xml:space="preserve">    C</t>
  </si>
  <si>
    <t>Xavier Tillman#26</t>
  </si>
  <si>
    <t>Drew Peterson#13</t>
  </si>
  <si>
    <t>Baylor Scheierman#55</t>
  </si>
  <si>
    <t>Sam Hauser#30</t>
  </si>
  <si>
    <t>Al Horford#42</t>
  </si>
  <si>
    <t>Luke Kornet#40</t>
  </si>
  <si>
    <t>Neemias Queta#88</t>
  </si>
  <si>
    <t>Payton Pritchard#11</t>
  </si>
  <si>
    <t>Jordan Walsh#27</t>
  </si>
  <si>
    <t>Torrey Craig#12</t>
  </si>
  <si>
    <t>Brooklyn Nets</t>
  </si>
  <si>
    <t>Trendon Watford#9</t>
  </si>
  <si>
    <t>Maxwell Lewis#27</t>
  </si>
  <si>
    <t>Nic Claxton#33</t>
  </si>
  <si>
    <t>D'Angelo Russell#1</t>
  </si>
  <si>
    <t>Keon Johnson#45</t>
  </si>
  <si>
    <t>Drew Timme#26</t>
  </si>
  <si>
    <t>Dariq Whitehead#0</t>
  </si>
  <si>
    <t>Tosan Evbuomwan#12</t>
  </si>
  <si>
    <t>Reece Beekman#4</t>
  </si>
  <si>
    <t>Tyson Etienne#10</t>
  </si>
  <si>
    <t>Tyrese Martin#13</t>
  </si>
  <si>
    <t>Charlotte Hornets</t>
  </si>
  <si>
    <t>Miles Bridges#0</t>
  </si>
  <si>
    <t>Jusuf Nurkic#11</t>
  </si>
  <si>
    <t>Seth Curry#30</t>
  </si>
  <si>
    <t>DaQuan Jeffries#3</t>
  </si>
  <si>
    <t>KJ Simpson#25</t>
  </si>
  <si>
    <t>Taj Gibson#67</t>
  </si>
  <si>
    <t>Moussa Diabate#14</t>
  </si>
  <si>
    <t>Tidjane Salaun#31</t>
  </si>
  <si>
    <t>Josh Okogie#12</t>
  </si>
  <si>
    <t>Jaylen Sims#33</t>
  </si>
  <si>
    <t>Grant Williams#2</t>
  </si>
  <si>
    <t>Chicago Bulls</t>
  </si>
  <si>
    <t>Matas Buzelis#14</t>
  </si>
  <si>
    <t>Nikola Vucevic#9</t>
  </si>
  <si>
    <t>Coby White#0</t>
  </si>
  <si>
    <t>Kevin Huerter#13</t>
  </si>
  <si>
    <t>Josh Giddey#3</t>
  </si>
  <si>
    <t>Zach Collins#12</t>
  </si>
  <si>
    <t>Patrick Williams#44</t>
  </si>
  <si>
    <t>Dalen Terry#25</t>
  </si>
  <si>
    <t>Julian Phillips#15</t>
  </si>
  <si>
    <t>Talen Horton-Tucker#22</t>
  </si>
  <si>
    <t>Jalen Smith#7</t>
  </si>
  <si>
    <t>E.J. Liddell#32</t>
  </si>
  <si>
    <t>Emanuel Miller#20</t>
  </si>
  <si>
    <t>Jevon Carter#5</t>
  </si>
  <si>
    <t>Jahmir Young#17</t>
  </si>
  <si>
    <t>Cleveland Cavaliers</t>
  </si>
  <si>
    <t>Darius Garland</t>
  </si>
  <si>
    <t>Donovan Mitchell</t>
  </si>
  <si>
    <t>DG</t>
  </si>
  <si>
    <t>Max Strus</t>
  </si>
  <si>
    <t>Emoni Bates</t>
  </si>
  <si>
    <t>Jaylon Tyson</t>
  </si>
  <si>
    <t>Nae'Qwan Tomlin</t>
  </si>
  <si>
    <t>De'Andre Hunter</t>
  </si>
  <si>
    <t>Isaac Okoro</t>
  </si>
  <si>
    <t>Sam Merrill</t>
  </si>
  <si>
    <t>Javonte Green</t>
  </si>
  <si>
    <t>Craig Porter Jr.</t>
  </si>
  <si>
    <t>Luke Travers</t>
  </si>
  <si>
    <t>Tristan Thompson</t>
  </si>
  <si>
    <t>Dallas Mavericks</t>
  </si>
  <si>
    <t>Anthony Davis#3</t>
  </si>
  <si>
    <t>Naji Marshall#13</t>
  </si>
  <si>
    <t>Dereck Lively II#2</t>
  </si>
  <si>
    <t>Spencer Dinwiddie#26</t>
  </si>
  <si>
    <t>Klay Thompson#31</t>
  </si>
  <si>
    <t>Kai Jones#23</t>
  </si>
  <si>
    <t>Caleb Martin#16</t>
  </si>
  <si>
    <t>Daniel Gafford#21</t>
  </si>
  <si>
    <t>Max Christie#00</t>
  </si>
  <si>
    <t>Jaden Hardy#1</t>
  </si>
  <si>
    <t>P.J. Washington#25</t>
  </si>
  <si>
    <t>Dwight Powell#7</t>
  </si>
  <si>
    <t>Denver Nuggets</t>
  </si>
  <si>
    <t>Aaron Gordon#32</t>
  </si>
  <si>
    <t>Peyton Watson#8</t>
  </si>
  <si>
    <t>Michael Porter Jr.#1</t>
  </si>
  <si>
    <t>Nikola Jokic#15</t>
  </si>
  <si>
    <t>Christian Braun#0</t>
  </si>
  <si>
    <t>Zeke Nnaji#22</t>
  </si>
  <si>
    <t>Vlatko Cancar#31</t>
  </si>
  <si>
    <t>Russell Westbrook#4</t>
  </si>
  <si>
    <t>Jalen Pickett#24</t>
  </si>
  <si>
    <t>Dario Saric#9</t>
  </si>
  <si>
    <t>Hunter Tyson#5</t>
  </si>
  <si>
    <t>Spencer Jones#21</t>
  </si>
  <si>
    <t>DeAndre Jordan#6</t>
  </si>
  <si>
    <t>Julian Strawther#3</t>
  </si>
  <si>
    <t>Trey Alexander#23</t>
  </si>
  <si>
    <t>Detroit Pistons</t>
  </si>
  <si>
    <t>Ausar Thompson#9</t>
  </si>
  <si>
    <t>Tim Hardaway Jr.#8</t>
  </si>
  <si>
    <t>Jalen Duren#0</t>
  </si>
  <si>
    <t>Dennis Schroder#17</t>
  </si>
  <si>
    <t>Malik Beasley#5</t>
  </si>
  <si>
    <t>Simone Fontecchio#19</t>
  </si>
  <si>
    <t>Lindy Waters III#43</t>
  </si>
  <si>
    <t>Paul Reed#7</t>
  </si>
  <si>
    <t>Ronald Holland II#00</t>
  </si>
  <si>
    <t>Marcus Sasser#25</t>
  </si>
  <si>
    <t>Tolu Smith#35</t>
  </si>
  <si>
    <t>Bobi Klintman#34</t>
  </si>
  <si>
    <t>Isaiah Stewart#28</t>
  </si>
  <si>
    <t>Ron Harper Jr.#13</t>
  </si>
  <si>
    <t>Daniss Jenkins#24</t>
  </si>
  <si>
    <t>Golden State Warriors</t>
  </si>
  <si>
    <t>Draymond Green#23</t>
  </si>
  <si>
    <t>Jimmy Butler III#10</t>
  </si>
  <si>
    <t>Stephen Curry#30</t>
  </si>
  <si>
    <t>Moses Moody#4</t>
  </si>
  <si>
    <t>Brandin Podziemski#2</t>
  </si>
  <si>
    <t>Jonathan Kuminga#00</t>
  </si>
  <si>
    <t>Kevon Looney#5</t>
  </si>
  <si>
    <t>Gui Santos#15</t>
  </si>
  <si>
    <t>Quinten Post#21</t>
  </si>
  <si>
    <t>Buddy Hield#7</t>
  </si>
  <si>
    <t>Gary Payton II#0</t>
  </si>
  <si>
    <t>Braxton Key#12</t>
  </si>
  <si>
    <t>Kevin Knox II#31</t>
  </si>
  <si>
    <t>Trayce Jackson-Davis#32</t>
  </si>
  <si>
    <t>Pat Spencer#61</t>
  </si>
  <si>
    <t>Houston Rockets</t>
  </si>
  <si>
    <t>Amen Thompson#1</t>
  </si>
  <si>
    <t>Steven Adams#12</t>
  </si>
  <si>
    <t>Alperen Sengun#28</t>
  </si>
  <si>
    <t>Fred VanVleet#5</t>
  </si>
  <si>
    <t>Jalen Green#4</t>
  </si>
  <si>
    <t>Jabari Smith Jr.#10</t>
  </si>
  <si>
    <t>Tari Eason#17</t>
  </si>
  <si>
    <t>Cam Whitmore#7</t>
  </si>
  <si>
    <t>Jae'Sean Tate#8</t>
  </si>
  <si>
    <t>Aaron Holiday#0</t>
  </si>
  <si>
    <t>Nate Williams#19</t>
  </si>
  <si>
    <t>Reed Sheppard#15</t>
  </si>
  <si>
    <t>Jeff Green#32</t>
  </si>
  <si>
    <t>Dillon Brooks#9</t>
  </si>
  <si>
    <t>Jock Landale#2</t>
  </si>
  <si>
    <t>Indiana Pacers</t>
  </si>
  <si>
    <t>Pascal Siakam#43</t>
  </si>
  <si>
    <t>Aaron Nesmith#23</t>
  </si>
  <si>
    <t>Myles Turner#33</t>
  </si>
  <si>
    <t>Andrew Nembhard#2</t>
  </si>
  <si>
    <t>Tyrese Haliburton#0</t>
  </si>
  <si>
    <t>Obi Toppin#1</t>
  </si>
  <si>
    <t>Jarace Walker#5</t>
  </si>
  <si>
    <t>Johnny Furphy#12</t>
  </si>
  <si>
    <t>Thomas Bryant#3</t>
  </si>
  <si>
    <t>Tony Bradley#13</t>
  </si>
  <si>
    <t>T.J. McConnell#9</t>
  </si>
  <si>
    <t>Bennedict Mathurin#00</t>
  </si>
  <si>
    <t>RayJ Dennis#10</t>
  </si>
  <si>
    <t>Ben Sheppard#26</t>
  </si>
  <si>
    <t>James Johnson#16</t>
  </si>
  <si>
    <t>LA Clippers</t>
  </si>
  <si>
    <t>Kawhi Leonard#2</t>
  </si>
  <si>
    <t>Ivica Zubac#40</t>
  </si>
  <si>
    <t>James Harden#1</t>
  </si>
  <si>
    <t>Norman Powell#24</t>
  </si>
  <si>
    <t>Kris Dunn#8</t>
  </si>
  <si>
    <t>Nicolas Batum#33</t>
  </si>
  <si>
    <t>Drew Eubanks#15</t>
  </si>
  <si>
    <t>Derrick Jones Jr.#55</t>
  </si>
  <si>
    <t>Bogdan Bogdanovic#10</t>
  </si>
  <si>
    <t>Patrick Baldwin Jr.#23</t>
  </si>
  <si>
    <t>Patty Mills#88</t>
  </si>
  <si>
    <t>Kobe Brown#21</t>
  </si>
  <si>
    <t>Cam Christie#12</t>
  </si>
  <si>
    <t>Trentyn Flowers#9</t>
  </si>
  <si>
    <t>Los Angeles Lakers</t>
  </si>
  <si>
    <t>Dorian Finney-Smith#17</t>
  </si>
  <si>
    <t>LeBron James#23</t>
  </si>
  <si>
    <t>Jaxson Hayes#11</t>
  </si>
  <si>
    <t>Luka Doncic#77</t>
  </si>
  <si>
    <t>Austin Reaves#15</t>
  </si>
  <si>
    <t>Jarred Vanderbilt#2</t>
  </si>
  <si>
    <t>Gabe Vincent#7</t>
  </si>
  <si>
    <t>Jordan Goodwin#30</t>
  </si>
  <si>
    <t>Dalton Knecht#4</t>
  </si>
  <si>
    <t>Markieff Morris#88</t>
  </si>
  <si>
    <t>Alex Len#27</t>
  </si>
  <si>
    <t>Trey Jemison III#55</t>
  </si>
  <si>
    <t>Shake Milton#20</t>
  </si>
  <si>
    <t>Memphis Grizzlies</t>
  </si>
  <si>
    <t>Defensive Rating</t>
  </si>
  <si>
    <t>Offensive Rating</t>
  </si>
  <si>
    <t>Santi Aldama#7</t>
  </si>
  <si>
    <t>112.4 (Career)</t>
  </si>
  <si>
    <t>Lamar Stevens#8</t>
  </si>
  <si>
    <t>Luke Kennard#10</t>
  </si>
  <si>
    <t>Scotty Pippen Jr.#1</t>
  </si>
  <si>
    <t>Marvin Bagley III#35</t>
  </si>
  <si>
    <t>GG Jackson#45</t>
  </si>
  <si>
    <t>Jay Huff#30</t>
  </si>
  <si>
    <t>John Konchar#46</t>
  </si>
  <si>
    <t>Cam Spencer#24</t>
  </si>
  <si>
    <t>Yuki Kawamura#17</t>
  </si>
  <si>
    <t>Miami Heat</t>
  </si>
  <si>
    <t>Bam Adebayo#13</t>
  </si>
  <si>
    <t>Kel'el Ware#7</t>
  </si>
  <si>
    <t>Tyler Herro#14</t>
  </si>
  <si>
    <t>Alec Burks#18</t>
  </si>
  <si>
    <t>Pelle Larsson#9</t>
  </si>
  <si>
    <t>Duncan Robinson#55</t>
  </si>
  <si>
    <t>Haywood Highsmith#24</t>
  </si>
  <si>
    <t>Kyle Anderson#20</t>
  </si>
  <si>
    <t>Davion Mitchell#45</t>
  </si>
  <si>
    <t>Keshad Johnson#16</t>
  </si>
  <si>
    <t>Andrew Wiggins#22</t>
  </si>
  <si>
    <t>Terry Rozier#2</t>
  </si>
  <si>
    <t>Josh Christopher#8</t>
  </si>
  <si>
    <t>Isaiah Stevens#4</t>
  </si>
  <si>
    <t>Jaime Jaquez Jr.#11</t>
  </si>
  <si>
    <t>Milwaukee Bucks</t>
  </si>
  <si>
    <t>Taurean Prince#12</t>
  </si>
  <si>
    <t>Giannis Antetokounmpo#34</t>
  </si>
  <si>
    <t>Kyle Kuzma#18</t>
  </si>
  <si>
    <t>Brook Lopez#11</t>
  </si>
  <si>
    <t>Ryan Rollins#13</t>
  </si>
  <si>
    <t>Pete Nance#35</t>
  </si>
  <si>
    <t>Chris Livingston#7</t>
  </si>
  <si>
    <t>Tyler Smith#21</t>
  </si>
  <si>
    <t>Pat Connaughton#24</t>
  </si>
  <si>
    <t>Gary Trent Jr.#5</t>
  </si>
  <si>
    <t>Jamaree Bouyea#15</t>
  </si>
  <si>
    <t>Kevin Porter Jr.#3</t>
  </si>
  <si>
    <t>AJ Green#20</t>
  </si>
  <si>
    <t>Andre Jackson Jr.#44</t>
  </si>
  <si>
    <t>Stanley Umude#17</t>
  </si>
  <si>
    <t>Minnesota Timberwolves</t>
  </si>
  <si>
    <t>Julius Randle#30</t>
  </si>
  <si>
    <t>Jaden McDaniels#3</t>
  </si>
  <si>
    <t>Rudy Gobert#27</t>
  </si>
  <si>
    <t>Mike Conley#10</t>
  </si>
  <si>
    <t>Anthony Edwards#5</t>
  </si>
  <si>
    <t>Josh Minott#8</t>
  </si>
  <si>
    <t>Leonard Miller#33</t>
  </si>
  <si>
    <t>Luka Garza#55</t>
  </si>
  <si>
    <t>Naz Reid#11</t>
  </si>
  <si>
    <t>Bones Hyland#77</t>
  </si>
  <si>
    <t>Donte DiVincenzo#0</t>
  </si>
  <si>
    <t>Nickeil Alexander-Walker#9</t>
  </si>
  <si>
    <t>Jaylen Clark#22</t>
  </si>
  <si>
    <t>Rob Dillingham#4</t>
  </si>
  <si>
    <t>Joe Ingles#7</t>
  </si>
  <si>
    <t>New Orleans Pelicans</t>
  </si>
  <si>
    <t>Kelly Olynyk#13</t>
  </si>
  <si>
    <t>Bruce Brown#00</t>
  </si>
  <si>
    <t>Keion Brooks Jr.#0</t>
  </si>
  <si>
    <t>Yves Missi#21</t>
  </si>
  <si>
    <t>Jose Alvarado#15</t>
  </si>
  <si>
    <t>Jamal Cain#8</t>
  </si>
  <si>
    <t>Jeremiah Robinson-Earl#50</t>
  </si>
  <si>
    <t>Karlo Matkovic#17</t>
  </si>
  <si>
    <t>Elfrid Payton#4</t>
  </si>
  <si>
    <t>Antonio Reeves#12</t>
  </si>
  <si>
    <t>Kylor Kelley</t>
  </si>
  <si>
    <t>Lester Quinones#22</t>
  </si>
  <si>
    <t>New York Knicks</t>
  </si>
  <si>
    <t>Mikal Bridges#25</t>
  </si>
  <si>
    <t>OG Anunoby#8</t>
  </si>
  <si>
    <t>Karl-Anthony Towns#32</t>
  </si>
  <si>
    <t>Josh Hart#3</t>
  </si>
  <si>
    <t>Data not available</t>
  </si>
  <si>
    <t>Delon Wright#0</t>
  </si>
  <si>
    <t>Precious Achiuwa#5</t>
  </si>
  <si>
    <t>Anton Watson#21</t>
  </si>
  <si>
    <t>MarJon Beauchamp#14</t>
  </si>
  <si>
    <t>Landry Shamet#44</t>
  </si>
  <si>
    <t>NA</t>
  </si>
  <si>
    <t>Tyler Kolek#13</t>
  </si>
  <si>
    <t>P.J. Tucker#17</t>
  </si>
  <si>
    <t>Mitchell Robinson#23</t>
  </si>
  <si>
    <t>Oklahoma City Thunder</t>
  </si>
  <si>
    <t>Chet Holmgren#7</t>
  </si>
  <si>
    <t>Jalen Williams#8</t>
  </si>
  <si>
    <t>Isaiah Hartenstein#55</t>
  </si>
  <si>
    <t>Shai Gilgeous-Alexander#2</t>
  </si>
  <si>
    <t>Luguentz Dort#5</t>
  </si>
  <si>
    <t>Dillon Jones#3</t>
  </si>
  <si>
    <t>Kenrich Williams#34</t>
  </si>
  <si>
    <t>Branden Carlson#15</t>
  </si>
  <si>
    <t>Alex Caruso#9</t>
  </si>
  <si>
    <t>Aaron Wiggins#21</t>
  </si>
  <si>
    <t>Cason Wallace#22</t>
  </si>
  <si>
    <t>Isaiah Joe#11</t>
  </si>
  <si>
    <t>Orlando Magic</t>
  </si>
  <si>
    <t>Paolo Banchero#5</t>
  </si>
  <si>
    <t>Franz Wagner#22</t>
  </si>
  <si>
    <t>Wendell Carter Jr.#34</t>
  </si>
  <si>
    <t>Cory Joseph#10</t>
  </si>
  <si>
    <t>Kentavious Caldwell-Pope#3</t>
  </si>
  <si>
    <t>Jonathan Isaac#1</t>
  </si>
  <si>
    <t>Goga Bitadze#35</t>
  </si>
  <si>
    <t>Cole Anthony#50</t>
  </si>
  <si>
    <t>Gary Harris#14</t>
  </si>
  <si>
    <t>Caleb Houstan#2</t>
  </si>
  <si>
    <t>Anthony Black#0</t>
  </si>
  <si>
    <t>Tristan da Silva#23</t>
  </si>
  <si>
    <t>Trevelin Queen#12</t>
  </si>
  <si>
    <t>Jett Howard#13</t>
  </si>
  <si>
    <t>Philadelphia 76ers</t>
  </si>
  <si>
    <t>Guerschon Yabusele#28</t>
  </si>
  <si>
    <t>Justin Edwards#19</t>
  </si>
  <si>
    <t>Adem Bona#30</t>
  </si>
  <si>
    <t>Jared Butler#12</t>
  </si>
  <si>
    <t>Quentin Grimes#25</t>
  </si>
  <si>
    <t>Phillip Wheeler#36</t>
  </si>
  <si>
    <t>Colin Castleton#18</t>
  </si>
  <si>
    <t>Lonnie Walker IV#16</t>
  </si>
  <si>
    <t>Jalen Hood-Schifino#17</t>
  </si>
  <si>
    <t>Ricky Council IV#14</t>
  </si>
  <si>
    <t>Andre Drummond#1</t>
  </si>
  <si>
    <t>Kelly Oubre Jr.#9</t>
  </si>
  <si>
    <t>Phoenix Suns</t>
  </si>
  <si>
    <t>Royce O'Neale#00</t>
  </si>
  <si>
    <t>Ryan Dunn#0</t>
  </si>
  <si>
    <t>Oso Ighodaro#4</t>
  </si>
  <si>
    <t>Bradley Beal#3</t>
  </si>
  <si>
    <t>Devin Booker#1</t>
  </si>
  <si>
    <t>Cody Martin#17</t>
  </si>
  <si>
    <t>Nick Richards#2</t>
  </si>
  <si>
    <t>Bol Bol#11</t>
  </si>
  <si>
    <t>Tyus Jones#21</t>
  </si>
  <si>
    <t>Damion Lee#10</t>
  </si>
  <si>
    <t>Grayson Allen#8</t>
  </si>
  <si>
    <t>Vasilije Micic#18</t>
  </si>
  <si>
    <t>Collin Gillespie#12</t>
  </si>
  <si>
    <t>Mason Plumlee#22</t>
  </si>
  <si>
    <t>Monte Morris#23</t>
  </si>
  <si>
    <t>Portland Trail Blazers</t>
  </si>
  <si>
    <t>Deni Avdija#8</t>
  </si>
  <si>
    <t>Donovan Clingan#23</t>
  </si>
  <si>
    <t>Matisse Thybulle#4</t>
  </si>
  <si>
    <t>Shaedon Sharpe#17</t>
  </si>
  <si>
    <t>Dalano Banton#5</t>
  </si>
  <si>
    <t>Justin Minaya#10</t>
  </si>
  <si>
    <t>Jabari Walker#34</t>
  </si>
  <si>
    <t>Kris Murray#24</t>
  </si>
  <si>
    <t>Rayan Rupert#21</t>
  </si>
  <si>
    <t>Toumani Camara#33</t>
  </si>
  <si>
    <t>Jerami Grant#9</t>
  </si>
  <si>
    <t>Duop Reath#26</t>
  </si>
  <si>
    <t>Deandre Ayton#2</t>
  </si>
  <si>
    <t>Anfernee Simons#1</t>
  </si>
  <si>
    <t>Scoot Henderson#00</t>
  </si>
  <si>
    <t>Sacramento Kings</t>
  </si>
  <si>
    <t>Domantas Sabonis#11</t>
  </si>
  <si>
    <t>DeMar DeRozan#10</t>
  </si>
  <si>
    <t>Keegan Murray#13</t>
  </si>
  <si>
    <t>Zach LaVine#8</t>
  </si>
  <si>
    <t>Keon Ellis#23</t>
  </si>
  <si>
    <t>Jae Crowder#99</t>
  </si>
  <si>
    <t>Trey Lyles#41</t>
  </si>
  <si>
    <t>Doug McDermott#7</t>
  </si>
  <si>
    <t>Jonas Valanciunas#17</t>
  </si>
  <si>
    <t>Isaac Jones#3</t>
  </si>
  <si>
    <t>Markelle Fultz#20</t>
  </si>
  <si>
    <t>Malik Monk#0</t>
  </si>
  <si>
    <t>Devin Carter#22</t>
  </si>
  <si>
    <t>San Antonio Spurs</t>
  </si>
  <si>
    <t>Harrison Barnes#40</t>
  </si>
  <si>
    <t>Bismack Biyombo#18</t>
  </si>
  <si>
    <t>Chris Paul#3</t>
  </si>
  <si>
    <t>Devin Vassell#24</t>
  </si>
  <si>
    <t>Stephon Castle#5</t>
  </si>
  <si>
    <t>Sandro Mamukelashvili#54</t>
  </si>
  <si>
    <t>Julian Champagnie#30</t>
  </si>
  <si>
    <t>Keldon Johnson#0</t>
  </si>
  <si>
    <t>Charles Bassey#28</t>
  </si>
  <si>
    <t>Jordan McLaughlin#11</t>
  </si>
  <si>
    <t>Blake Wesley#14</t>
  </si>
  <si>
    <t>Malaki Branham#22</t>
  </si>
  <si>
    <t>Toronto Raptors</t>
  </si>
  <si>
    <t>Jamison Battle#77</t>
  </si>
  <si>
    <t>Jonathan Mogbo#2</t>
  </si>
  <si>
    <t>Jakob Poeltl#19</t>
  </si>
  <si>
    <t>Immanuel Quickley#5</t>
  </si>
  <si>
    <t>Ja'Kobe Walter#14</t>
  </si>
  <si>
    <t>Cole Swider#12</t>
  </si>
  <si>
    <t>Orlando Robinson#21</t>
  </si>
  <si>
    <t>A.J. Lawson#0</t>
  </si>
  <si>
    <t>Jared Rhoden#8</t>
  </si>
  <si>
    <t>Jamal Shead#23</t>
  </si>
  <si>
    <t>Chris Boucher#25</t>
  </si>
  <si>
    <t>Garrett Temple#17</t>
  </si>
  <si>
    <t>Utah Jazz</t>
  </si>
  <si>
    <t>Kyle Filipowski#22</t>
  </si>
  <si>
    <t>Brice Sensabaugh#28</t>
  </si>
  <si>
    <t>Collin Sexton#2</t>
  </si>
  <si>
    <t>Johnny Juzang#33</t>
  </si>
  <si>
    <t>Isaiah Collier#13</t>
  </si>
  <si>
    <t>Micah Potter#25</t>
  </si>
  <si>
    <t>Svi Mykhailiuk#19</t>
  </si>
  <si>
    <t>Jaden Springer#11</t>
  </si>
  <si>
    <t>Keyonte George#3</t>
  </si>
  <si>
    <t>KJ Martin#99</t>
  </si>
  <si>
    <t>Oscar Tshiebwe#34</t>
  </si>
  <si>
    <t>Walker Kessler#24</t>
  </si>
  <si>
    <t>o</t>
  </si>
  <si>
    <t>Alex Sarr#20</t>
  </si>
  <si>
    <t>Justin Champagnie#9</t>
  </si>
  <si>
    <t>Marcus Smart#36</t>
  </si>
  <si>
    <t>Bub Carrington#8</t>
  </si>
  <si>
    <t>AJ Johnson#5</t>
  </si>
  <si>
    <t>Anthony Gill#16</t>
  </si>
  <si>
    <t>Tristan Vukcevic#00</t>
  </si>
  <si>
    <t>Colby Jones#1</t>
  </si>
  <si>
    <t>Jaylen Martin#4</t>
  </si>
  <si>
    <t>JT Thor#21</t>
  </si>
  <si>
    <t>Kyshawn George#18</t>
  </si>
  <si>
    <t>Malcolm Brogdon#15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</si>
  <si>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</si>
  <si>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</si>
  <si>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</si>
  <si>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</si>
  <si>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</si>
  <si>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</si>
  <si>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</si>
  <si>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</si>
  <si>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</si>
  <si>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</si>
  <si>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</si>
  <si>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</si>
  <si>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</si>
  <si>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</si>
  <si>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</si>
  <si>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</si>
  <si>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</si>
  <si>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</si>
  <si>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</si>
  <si>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</si>
  <si>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</si>
  <si>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</si>
  <si>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</si>
  <si>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</si>
  <si>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</si>
  <si>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</si>
  <si>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</si>
  <si>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</si>
  <si>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</si>
  <si>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</si>
  <si>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</si>
  <si>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Actual Pts Formula</t>
  </si>
  <si>
    <t>ProjectedPtsFormula</t>
  </si>
  <si>
    <t>Rk</t>
  </si>
  <si>
    <t>Age</t>
  </si>
  <si>
    <t>Pos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</si>
  <si>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</si>
  <si>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</si>
  <si>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</si>
  <si>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</si>
  <si>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</si>
  <si>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</si>
  <si>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</si>
  <si>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</si>
  <si>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</si>
  <si>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</si>
  <si>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</si>
  <si>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</si>
  <si>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</si>
  <si>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</si>
  <si>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</si>
  <si>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</si>
  <si>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</si>
  <si>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</si>
  <si>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</si>
  <si>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</si>
  <si>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</si>
  <si>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</si>
  <si>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</si>
  <si>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Awards</t>
  </si>
  <si>
    <t>1</t>
  </si>
  <si>
    <t>26</t>
  </si>
  <si>
    <t>76</t>
  </si>
  <si>
    <t>34.2</t>
  </si>
  <si>
    <t>11.3</t>
  </si>
  <si>
    <t>21.8</t>
  </si>
  <si>
    <t>.519</t>
  </si>
  <si>
    <t>2.1</t>
  </si>
  <si>
    <t>5.7</t>
  </si>
  <si>
    <t>.375</t>
  </si>
  <si>
    <t>9.2</t>
  </si>
  <si>
    <t>16.1</t>
  </si>
  <si>
    <t>.571</t>
  </si>
  <si>
    <t>.569</t>
  </si>
  <si>
    <t>7.9</t>
  </si>
  <si>
    <t>8.8</t>
  </si>
  <si>
    <t>.898</t>
  </si>
  <si>
    <t>0.9</t>
  </si>
  <si>
    <t>4.1</t>
  </si>
  <si>
    <t>5.0</t>
  </si>
  <si>
    <t>6.4</t>
  </si>
  <si>
    <t>1.7</t>
  </si>
  <si>
    <t>1.0</t>
  </si>
  <si>
    <t>2.4</t>
  </si>
  <si>
    <t>2.2</t>
  </si>
  <si>
    <t>32.7</t>
  </si>
  <si>
    <t/>
  </si>
  <si>
    <t>2</t>
  </si>
  <si>
    <t>30</t>
  </si>
  <si>
    <t>67</t>
  </si>
  <si>
    <t>11.8</t>
  </si>
  <si>
    <t>19.7</t>
  </si>
  <si>
    <t>.601</t>
  </si>
  <si>
    <t>0.2</t>
  </si>
  <si>
    <t>.222</t>
  </si>
  <si>
    <t>11.6</t>
  </si>
  <si>
    <t>18.7</t>
  </si>
  <si>
    <t>.620</t>
  </si>
  <si>
    <t>.607</t>
  </si>
  <si>
    <t>6.5</t>
  </si>
  <si>
    <t>10.6</t>
  </si>
  <si>
    <t>.617</t>
  </si>
  <si>
    <t>9.7</t>
  </si>
  <si>
    <t>11.9</t>
  </si>
  <si>
    <t>1.2</t>
  </si>
  <si>
    <t>3.1</t>
  </si>
  <si>
    <t>2.3</t>
  </si>
  <si>
    <t>30.4</t>
  </si>
  <si>
    <t>3</t>
  </si>
  <si>
    <t>29</t>
  </si>
  <si>
    <t>70</t>
  </si>
  <si>
    <t>36.7</t>
  </si>
  <si>
    <t>11.2</t>
  </si>
  <si>
    <t>19.5</t>
  </si>
  <si>
    <t>.576</t>
  </si>
  <si>
    <t>2.0</t>
  </si>
  <si>
    <t>4.7</t>
  </si>
  <si>
    <t>.417</t>
  </si>
  <si>
    <t>9.3</t>
  </si>
  <si>
    <t>14.8</t>
  </si>
  <si>
    <t>.627</t>
  </si>
  <si>
    <t>5.2</t>
  </si>
  <si>
    <t>.800</t>
  </si>
  <si>
    <t>2.9</t>
  </si>
  <si>
    <t>9.9</t>
  </si>
  <si>
    <t>12.7</t>
  </si>
  <si>
    <t>10.2</t>
  </si>
  <si>
    <t>1.8</t>
  </si>
  <si>
    <t>0.6</t>
  </si>
  <si>
    <t>3.3</t>
  </si>
  <si>
    <t>29.6</t>
  </si>
  <si>
    <t>4</t>
  </si>
  <si>
    <t>25</t>
  </si>
  <si>
    <t>2TM</t>
  </si>
  <si>
    <t>50</t>
  </si>
  <si>
    <t>35.4</t>
  </si>
  <si>
    <t>20.5</t>
  </si>
  <si>
    <t>.450</t>
  </si>
  <si>
    <t>3.5</t>
  </si>
  <si>
    <t>9.6</t>
  </si>
  <si>
    <t>.368</t>
  </si>
  <si>
    <t>10.9</t>
  </si>
  <si>
    <t>.522</t>
  </si>
  <si>
    <t>.536</t>
  </si>
  <si>
    <t>6.2</t>
  </si>
  <si>
    <t>.782</t>
  </si>
  <si>
    <t>0.8</t>
  </si>
  <si>
    <t>7.4</t>
  </si>
  <si>
    <t>8.2</t>
  </si>
  <si>
    <t>7.7</t>
  </si>
  <si>
    <t>0.4</t>
  </si>
  <si>
    <t>3.6</t>
  </si>
  <si>
    <t>2.5</t>
  </si>
  <si>
    <t>28.2</t>
  </si>
  <si>
    <t>22</t>
  </si>
  <si>
    <t>35.7</t>
  </si>
  <si>
    <t>9.8</t>
  </si>
  <si>
    <t>21.2</t>
  </si>
  <si>
    <t>.464</t>
  </si>
  <si>
    <t>3.4</t>
  </si>
  <si>
    <t>.354</t>
  </si>
  <si>
    <t>11.5</t>
  </si>
  <si>
    <t>.555</t>
  </si>
  <si>
    <t>.544</t>
  </si>
  <si>
    <t>5.1</t>
  </si>
  <si>
    <t>6.6</t>
  </si>
  <si>
    <t>.767</t>
  </si>
  <si>
    <t>0.7</t>
  </si>
  <si>
    <t>7.6</t>
  </si>
  <si>
    <t>8.3</t>
  </si>
  <si>
    <t>7.8</t>
  </si>
  <si>
    <t>2.6</t>
  </si>
  <si>
    <t>28.1</t>
  </si>
  <si>
    <t>LAL</t>
  </si>
  <si>
    <t>28</t>
  </si>
  <si>
    <t>35.1</t>
  </si>
  <si>
    <t>20.0</t>
  </si>
  <si>
    <t>.438</t>
  </si>
  <si>
    <t>.379</t>
  </si>
  <si>
    <t>10.4</t>
  </si>
  <si>
    <t>.493</t>
  </si>
  <si>
    <t>.530</t>
  </si>
  <si>
    <t>7.0</t>
  </si>
  <si>
    <t>8.9</t>
  </si>
  <si>
    <t>.791</t>
  </si>
  <si>
    <t>7.2</t>
  </si>
  <si>
    <t>8.1</t>
  </si>
  <si>
    <t>7.5</t>
  </si>
  <si>
    <t>1.6</t>
  </si>
  <si>
    <t>3.7</t>
  </si>
  <si>
    <t>5</t>
  </si>
  <si>
    <t>23</t>
  </si>
  <si>
    <t>79</t>
  </si>
  <si>
    <t>36.3</t>
  </si>
  <si>
    <t>9.1</t>
  </si>
  <si>
    <t>20.4</t>
  </si>
  <si>
    <t>.447</t>
  </si>
  <si>
    <t>10.3</t>
  </si>
  <si>
    <t>.395</t>
  </si>
  <si>
    <t>10.1</t>
  </si>
  <si>
    <t>.501</t>
  </si>
  <si>
    <t>.547</t>
  </si>
  <si>
    <t>5.3</t>
  </si>
  <si>
    <t>6.3</t>
  </si>
  <si>
    <t>.837</t>
  </si>
  <si>
    <t>4.9</t>
  </si>
  <si>
    <t>4.5</t>
  </si>
  <si>
    <t>3.2</t>
  </si>
  <si>
    <t>1.9</t>
  </si>
  <si>
    <t>27.6</t>
  </si>
  <si>
    <t>6</t>
  </si>
  <si>
    <t>72</t>
  </si>
  <si>
    <t>36.4</t>
  </si>
  <si>
    <t>20.3</t>
  </si>
  <si>
    <t>.452</t>
  </si>
  <si>
    <t>.343</t>
  </si>
  <si>
    <t>.559</t>
  </si>
  <si>
    <t>.537</t>
  </si>
  <si>
    <t>6.1</t>
  </si>
  <si>
    <t>.814</t>
  </si>
  <si>
    <t>8.0</t>
  </si>
  <si>
    <t>8.7</t>
  </si>
  <si>
    <t>6.0</t>
  </si>
  <si>
    <t>1.1</t>
  </si>
  <si>
    <t>0.5</t>
  </si>
  <si>
    <t>26.8</t>
  </si>
  <si>
    <t>7</t>
  </si>
  <si>
    <t>36</t>
  </si>
  <si>
    <t>PHO</t>
  </si>
  <si>
    <t>62</t>
  </si>
  <si>
    <t>36.5</t>
  </si>
  <si>
    <t>9.5</t>
  </si>
  <si>
    <t>18.1</t>
  </si>
  <si>
    <t>.527</t>
  </si>
  <si>
    <t>.430</t>
  </si>
  <si>
    <t>12.1</t>
  </si>
  <si>
    <t>.574</t>
  </si>
  <si>
    <t>.598</t>
  </si>
  <si>
    <t>5.8</t>
  </si>
  <si>
    <t>.839</t>
  </si>
  <si>
    <t>4.2</t>
  </si>
  <si>
    <t>26.6</t>
  </si>
  <si>
    <t>8</t>
  </si>
  <si>
    <t>24</t>
  </si>
  <si>
    <t>52</t>
  </si>
  <si>
    <t>37.7</t>
  </si>
  <si>
    <t>21.0</t>
  </si>
  <si>
    <t>.437</t>
  </si>
  <si>
    <t>.337</t>
  </si>
  <si>
    <t>.515</t>
  </si>
  <si>
    <t>.511</t>
  </si>
  <si>
    <t>5.6</t>
  </si>
  <si>
    <t>.879</t>
  </si>
  <si>
    <t>0.3</t>
  </si>
  <si>
    <t>26.3</t>
  </si>
  <si>
    <t>9</t>
  </si>
  <si>
    <t>35.0</t>
  </si>
  <si>
    <t>20.8</t>
  </si>
  <si>
    <t>.469</t>
  </si>
  <si>
    <t>.356</t>
  </si>
  <si>
    <t>.521</t>
  </si>
  <si>
    <t>.846</t>
  </si>
  <si>
    <t>4.4</t>
  </si>
  <si>
    <t>2.8</t>
  </si>
  <si>
    <t>26.1</t>
  </si>
  <si>
    <t>10</t>
  </si>
  <si>
    <t>65</t>
  </si>
  <si>
    <t>9.0</t>
  </si>
  <si>
    <t>18.5</t>
  </si>
  <si>
    <t>.488</t>
  </si>
  <si>
    <t>.383</t>
  </si>
  <si>
    <t>6.7</t>
  </si>
  <si>
    <t>12.4</t>
  </si>
  <si>
    <t>.539</t>
  </si>
  <si>
    <t>.551</t>
  </si>
  <si>
    <t>6.9</t>
  </si>
  <si>
    <t>.821</t>
  </si>
  <si>
    <t>7.3</t>
  </si>
  <si>
    <t>0.1</t>
  </si>
  <si>
    <t>26.0</t>
  </si>
  <si>
    <t>11</t>
  </si>
  <si>
    <t>Paolo Banchero</t>
  </si>
  <si>
    <t>46</t>
  </si>
  <si>
    <t>34.4</t>
  </si>
  <si>
    <t>19.8</t>
  </si>
  <si>
    <t>5.9</t>
  </si>
  <si>
    <t>.320</t>
  </si>
  <si>
    <t>7.1</t>
  </si>
  <si>
    <t>13.9</t>
  </si>
  <si>
    <t>.509</t>
  </si>
  <si>
    <t>.500</t>
  </si>
  <si>
    <t>8.4</t>
  </si>
  <si>
    <t>.727</t>
  </si>
  <si>
    <t>4.8</t>
  </si>
  <si>
    <t>3.0</t>
  </si>
  <si>
    <t>25.9</t>
  </si>
  <si>
    <t>12</t>
  </si>
  <si>
    <t>75</t>
  </si>
  <si>
    <t>37.3</t>
  </si>
  <si>
    <t>18.9</t>
  </si>
  <si>
    <t>.461</t>
  </si>
  <si>
    <t>.332</t>
  </si>
  <si>
    <t>.542</t>
  </si>
  <si>
    <t>.525</t>
  </si>
  <si>
    <t>.894</t>
  </si>
  <si>
    <t>25.6</t>
  </si>
  <si>
    <t>13</t>
  </si>
  <si>
    <t>LaMelo Ball</t>
  </si>
  <si>
    <t>CHO</t>
  </si>
  <si>
    <t>47</t>
  </si>
  <si>
    <t>32.0</t>
  </si>
  <si>
    <t>8.6</t>
  </si>
  <si>
    <t>21.3</t>
  </si>
  <si>
    <t>.405</t>
  </si>
  <si>
    <t>3.8</t>
  </si>
  <si>
    <t>.339</t>
  </si>
  <si>
    <t>.478</t>
  </si>
  <si>
    <t>.494</t>
  </si>
  <si>
    <t>.843</t>
  </si>
  <si>
    <t>3.9</t>
  </si>
  <si>
    <t>25.2</t>
  </si>
  <si>
    <t>14</t>
  </si>
  <si>
    <t>Damian Lillard</t>
  </si>
  <si>
    <t>34</t>
  </si>
  <si>
    <t>58</t>
  </si>
  <si>
    <t>36.1</t>
  </si>
  <si>
    <t>17.1</t>
  </si>
  <si>
    <t>.448</t>
  </si>
  <si>
    <t>.376</t>
  </si>
  <si>
    <t>4.3</t>
  </si>
  <si>
    <t>.528</t>
  </si>
  <si>
    <t>6.8</t>
  </si>
  <si>
    <t>.921</t>
  </si>
  <si>
    <t>24.9</t>
  </si>
  <si>
    <t>15</t>
  </si>
  <si>
    <t>31</t>
  </si>
  <si>
    <t>51</t>
  </si>
  <si>
    <t>33.5</t>
  </si>
  <si>
    <t>17.8</t>
  </si>
  <si>
    <t>.516</t>
  </si>
  <si>
    <t>.282</t>
  </si>
  <si>
    <t>8.5</t>
  </si>
  <si>
    <t>15.4</t>
  </si>
  <si>
    <t>.553</t>
  </si>
  <si>
    <t>.775</t>
  </si>
  <si>
    <t>24.7</t>
  </si>
  <si>
    <t>42</t>
  </si>
  <si>
    <t>34.3</t>
  </si>
  <si>
    <t>18.0</t>
  </si>
  <si>
    <t>.298</t>
  </si>
  <si>
    <t>15.8</t>
  </si>
  <si>
    <t>.560</t>
  </si>
  <si>
    <t>.546</t>
  </si>
  <si>
    <t>.788</t>
  </si>
  <si>
    <t>1.3</t>
  </si>
  <si>
    <t>25.7</t>
  </si>
  <si>
    <t>16.9</t>
  </si>
  <si>
    <t>.233</t>
  </si>
  <si>
    <t>13.6</t>
  </si>
  <si>
    <t>.484</t>
  </si>
  <si>
    <t>.688</t>
  </si>
  <si>
    <t>16</t>
  </si>
  <si>
    <t>Kyrie Irving</t>
  </si>
  <si>
    <t>32</t>
  </si>
  <si>
    <t>.473</t>
  </si>
  <si>
    <t>.401</t>
  </si>
  <si>
    <t>11.7</t>
  </si>
  <si>
    <t>.517</t>
  </si>
  <si>
    <t>.549</t>
  </si>
  <si>
    <t>.916</t>
  </si>
  <si>
    <t>4.6</t>
  </si>
  <si>
    <t>17</t>
  </si>
  <si>
    <t>Zion Williamson</t>
  </si>
  <si>
    <t>28.6</t>
  </si>
  <si>
    <t>.567</t>
  </si>
  <si>
    <t>.231</t>
  </si>
  <si>
    <t>16.5</t>
  </si>
  <si>
    <t>.570</t>
  </si>
  <si>
    <t>.656</t>
  </si>
  <si>
    <t>2.7</t>
  </si>
  <si>
    <t>24.6</t>
  </si>
  <si>
    <t>18</t>
  </si>
  <si>
    <t>GSW</t>
  </si>
  <si>
    <t>32.2</t>
  </si>
  <si>
    <t>.397</t>
  </si>
  <si>
    <t>.534</t>
  </si>
  <si>
    <t>.572</t>
  </si>
  <si>
    <t>4.0</t>
  </si>
  <si>
    <t>.933</t>
  </si>
  <si>
    <t>1.4</t>
  </si>
  <si>
    <t>24.5</t>
  </si>
  <si>
    <t>19</t>
  </si>
  <si>
    <t>40</t>
  </si>
  <si>
    <t>34.9</t>
  </si>
  <si>
    <t>.513</t>
  </si>
  <si>
    <t>12.5</t>
  </si>
  <si>
    <t>24.4</t>
  </si>
  <si>
    <t>20</t>
  </si>
  <si>
    <t>.526</t>
  </si>
  <si>
    <t>.420</t>
  </si>
  <si>
    <t>12.2</t>
  </si>
  <si>
    <t>.584</t>
  </si>
  <si>
    <t>.829</t>
  </si>
  <si>
    <t>12.8</t>
  </si>
  <si>
    <t>21</t>
  </si>
  <si>
    <t>Victor Wembanyama</t>
  </si>
  <si>
    <t>33.2</t>
  </si>
  <si>
    <t>18.6</t>
  </si>
  <si>
    <t>.476</t>
  </si>
  <si>
    <t>.352</t>
  </si>
  <si>
    <t>.586</t>
  </si>
  <si>
    <t>.836</t>
  </si>
  <si>
    <t>11.0</t>
  </si>
  <si>
    <t>24.3</t>
  </si>
  <si>
    <t>60</t>
  </si>
  <si>
    <t>33.7</t>
  </si>
  <si>
    <t>19.4</t>
  </si>
  <si>
    <t>.463</t>
  </si>
  <si>
    <t>.295</t>
  </si>
  <si>
    <t>13.5</t>
  </si>
  <si>
    <t>.535</t>
  </si>
  <si>
    <t>.507</t>
  </si>
  <si>
    <t>.871</t>
  </si>
  <si>
    <t>24.2</t>
  </si>
  <si>
    <t>36.0</t>
  </si>
  <si>
    <t>.411</t>
  </si>
  <si>
    <t>.340</t>
  </si>
  <si>
    <t>.474</t>
  </si>
  <si>
    <t>.491</t>
  </si>
  <si>
    <t>.875</t>
  </si>
  <si>
    <t>71</t>
  </si>
  <si>
    <t>31.4</t>
  </si>
  <si>
    <t>.443</t>
  </si>
  <si>
    <t>.512</t>
  </si>
  <si>
    <t>.531</t>
  </si>
  <si>
    <t>.823</t>
  </si>
  <si>
    <t>24.0</t>
  </si>
  <si>
    <t>Cam Thomas</t>
  </si>
  <si>
    <t>BRK</t>
  </si>
  <si>
    <t>31.2</t>
  </si>
  <si>
    <t>18.2</t>
  </si>
  <si>
    <t>.349</t>
  </si>
  <si>
    <t>.506</t>
  </si>
  <si>
    <t>.881</t>
  </si>
  <si>
    <t>77</t>
  </si>
  <si>
    <t>17.9</t>
  </si>
  <si>
    <t>.472</t>
  </si>
  <si>
    <t>.565</t>
  </si>
  <si>
    <t>.563</t>
  </si>
  <si>
    <t>.878</t>
  </si>
  <si>
    <t>5.5</t>
  </si>
  <si>
    <t>23.9</t>
  </si>
  <si>
    <t>27</t>
  </si>
  <si>
    <t>Joel Embiid</t>
  </si>
  <si>
    <t>30.2</t>
  </si>
  <si>
    <t>16.6</t>
  </si>
  <si>
    <t>.444</t>
  </si>
  <si>
    <t>.299</t>
  </si>
  <si>
    <t>.492</t>
  </si>
  <si>
    <t>.481</t>
  </si>
  <si>
    <t>.882</t>
  </si>
  <si>
    <t>23.8</t>
  </si>
  <si>
    <t>De'Aaron Fox</t>
  </si>
  <si>
    <t>18.8</t>
  </si>
  <si>
    <t>.310</t>
  </si>
  <si>
    <t>12.6</t>
  </si>
  <si>
    <t>.538</t>
  </si>
  <si>
    <t>.514</t>
  </si>
  <si>
    <t>.827</t>
  </si>
  <si>
    <t>1.5</t>
  </si>
  <si>
    <t>23.5</t>
  </si>
  <si>
    <t>45</t>
  </si>
  <si>
    <t>37.0</t>
  </si>
  <si>
    <t>19.6</t>
  </si>
  <si>
    <t>.322</t>
  </si>
  <si>
    <t>13.3</t>
  </si>
  <si>
    <t>25.0</t>
  </si>
  <si>
    <t>34.0</t>
  </si>
  <si>
    <t>.446</t>
  </si>
  <si>
    <t>.274</t>
  </si>
  <si>
    <t>.819</t>
  </si>
  <si>
    <t>74</t>
  </si>
  <si>
    <t>35.2</t>
  </si>
  <si>
    <t>.562</t>
  </si>
  <si>
    <t>.609</t>
  </si>
  <si>
    <t>.825</t>
  </si>
  <si>
    <t>23.3</t>
  </si>
  <si>
    <t>34.1</t>
  </si>
  <si>
    <t>5.4</t>
  </si>
  <si>
    <t>.797</t>
  </si>
  <si>
    <t>36.6</t>
  </si>
  <si>
    <t>16.0</t>
  </si>
  <si>
    <t>.564</t>
  </si>
  <si>
    <t>.611</t>
  </si>
  <si>
    <t>.874</t>
  </si>
  <si>
    <t>22.4</t>
  </si>
  <si>
    <t>.454</t>
  </si>
  <si>
    <t>.309</t>
  </si>
  <si>
    <t>.523</t>
  </si>
  <si>
    <t>.504</t>
  </si>
  <si>
    <t>.824</t>
  </si>
  <si>
    <t>23.2</t>
  </si>
  <si>
    <t>35</t>
  </si>
  <si>
    <t>35.3</t>
  </si>
  <si>
    <t>16.4</t>
  </si>
  <si>
    <t>.410</t>
  </si>
  <si>
    <t>22.8</t>
  </si>
  <si>
    <t>Jaylen Brown</t>
  </si>
  <si>
    <t>63</t>
  </si>
  <si>
    <t>17.7</t>
  </si>
  <si>
    <t>.324</t>
  </si>
  <si>
    <t>.529</t>
  </si>
  <si>
    <t>.764</t>
  </si>
  <si>
    <t>22.2</t>
  </si>
  <si>
    <t>33</t>
  </si>
  <si>
    <t>35.9</t>
  </si>
  <si>
    <t>17.0</t>
  </si>
  <si>
    <t>.477</t>
  </si>
  <si>
    <t>.328</t>
  </si>
  <si>
    <t>13.7</t>
  </si>
  <si>
    <t>.857</t>
  </si>
  <si>
    <t>Brandon Ingram</t>
  </si>
  <si>
    <t>33.1</t>
  </si>
  <si>
    <t>.465</t>
  </si>
  <si>
    <t>.374</t>
  </si>
  <si>
    <t>.855</t>
  </si>
  <si>
    <t>29.8</t>
  </si>
  <si>
    <t>11.1</t>
  </si>
  <si>
    <t>.541</t>
  </si>
  <si>
    <t>.548</t>
  </si>
  <si>
    <t>.781</t>
  </si>
  <si>
    <t>32.6</t>
  </si>
  <si>
    <t>.418</t>
  </si>
  <si>
    <t>.578</t>
  </si>
  <si>
    <t>.804</t>
  </si>
  <si>
    <t>37</t>
  </si>
  <si>
    <t>69</t>
  </si>
  <si>
    <t>32.4</t>
  </si>
  <si>
    <t>.365</t>
  </si>
  <si>
    <t>12.0</t>
  </si>
  <si>
    <t>.533</t>
  </si>
  <si>
    <t>.789</t>
  </si>
  <si>
    <t>21.6</t>
  </si>
  <si>
    <t>38</t>
  </si>
  <si>
    <t>31.9</t>
  </si>
  <si>
    <t>16.8</t>
  </si>
  <si>
    <t>.498</t>
  </si>
  <si>
    <t>.810</t>
  </si>
  <si>
    <t>21.5</t>
  </si>
  <si>
    <t>39</t>
  </si>
  <si>
    <t>Jamal Murray</t>
  </si>
  <si>
    <t>16.7</t>
  </si>
  <si>
    <t>.393</t>
  </si>
  <si>
    <t>10.8</t>
  </si>
  <si>
    <t>.518</t>
  </si>
  <si>
    <t>.543</t>
  </si>
  <si>
    <t>.886</t>
  </si>
  <si>
    <t>21.4</t>
  </si>
  <si>
    <t>53</t>
  </si>
  <si>
    <t>.361</t>
  </si>
  <si>
    <t>.556</t>
  </si>
  <si>
    <t>.887</t>
  </si>
  <si>
    <t>41</t>
  </si>
  <si>
    <t>RJ Barrett</t>
  </si>
  <si>
    <t>.468</t>
  </si>
  <si>
    <t>.350</t>
  </si>
  <si>
    <t>.630</t>
  </si>
  <si>
    <t>21.1</t>
  </si>
  <si>
    <t>CJ McCollum</t>
  </si>
  <si>
    <t>56</t>
  </si>
  <si>
    <t>.373</t>
  </si>
  <si>
    <t>.505</t>
  </si>
  <si>
    <t>.717</t>
  </si>
  <si>
    <t>43</t>
  </si>
  <si>
    <t>Jalen Green</t>
  </si>
  <si>
    <t>82</t>
  </si>
  <si>
    <t>32.9</t>
  </si>
  <si>
    <t>17.5</t>
  </si>
  <si>
    <t>.423</t>
  </si>
  <si>
    <t>.482</t>
  </si>
  <si>
    <t>.813</t>
  </si>
  <si>
    <t>44</t>
  </si>
  <si>
    <t>Brandon Miller</t>
  </si>
  <si>
    <t>.403</t>
  </si>
  <si>
    <t>.355</t>
  </si>
  <si>
    <t>.475</t>
  </si>
  <si>
    <t>.861</t>
  </si>
  <si>
    <t>30.7</t>
  </si>
  <si>
    <t>15.7</t>
  </si>
  <si>
    <t>20.6</t>
  </si>
  <si>
    <t>68</t>
  </si>
  <si>
    <t>29.4</t>
  </si>
  <si>
    <t>15.5</t>
  </si>
  <si>
    <t>.432</t>
  </si>
  <si>
    <t>.378</t>
  </si>
  <si>
    <t>.510</t>
  </si>
  <si>
    <t>.883</t>
  </si>
  <si>
    <t>73</t>
  </si>
  <si>
    <t>15.1</t>
  </si>
  <si>
    <t>.453</t>
  </si>
  <si>
    <t>.370</t>
  </si>
  <si>
    <t>.550</t>
  </si>
  <si>
    <t>.902</t>
  </si>
  <si>
    <t>48</t>
  </si>
  <si>
    <t>Miles Bridges</t>
  </si>
  <si>
    <t>64</t>
  </si>
  <si>
    <t>31.7</t>
  </si>
  <si>
    <t>.431</t>
  </si>
  <si>
    <t>.313</t>
  </si>
  <si>
    <t>10.0</t>
  </si>
  <si>
    <t>.495</t>
  </si>
  <si>
    <t>.870</t>
  </si>
  <si>
    <t>49</t>
  </si>
  <si>
    <t>14.2</t>
  </si>
  <si>
    <t>.460</t>
  </si>
  <si>
    <t>.377</t>
  </si>
  <si>
    <t>.877</t>
  </si>
  <si>
    <t>20.2</t>
  </si>
  <si>
    <t>78</t>
  </si>
  <si>
    <t>15.2</t>
  </si>
  <si>
    <t>.389</t>
  </si>
  <si>
    <t>.568</t>
  </si>
  <si>
    <t>.734</t>
  </si>
  <si>
    <t>Kristaps Porziņģis</t>
  </si>
  <si>
    <t>28.8</t>
  </si>
  <si>
    <t>.483</t>
  </si>
  <si>
    <t>.412</t>
  </si>
  <si>
    <t>.809</t>
  </si>
  <si>
    <t>32.8</t>
  </si>
  <si>
    <t>.271</t>
  </si>
  <si>
    <t>.508</t>
  </si>
  <si>
    <t>.755</t>
  </si>
  <si>
    <t>19.3</t>
  </si>
  <si>
    <t>.426</t>
  </si>
  <si>
    <t>.363</t>
  </si>
  <si>
    <t>.496</t>
  </si>
  <si>
    <t>54</t>
  </si>
  <si>
    <t>.392</t>
  </si>
  <si>
    <t>19.2</t>
  </si>
  <si>
    <t>55</t>
  </si>
  <si>
    <t>34.7</t>
  </si>
  <si>
    <t>.590</t>
  </si>
  <si>
    <t>10.5</t>
  </si>
  <si>
    <t>.754</t>
  </si>
  <si>
    <t>19.1</t>
  </si>
  <si>
    <t>31.5</t>
  </si>
  <si>
    <t>15.0</t>
  </si>
  <si>
    <t>.692</t>
  </si>
  <si>
    <t>57</t>
  </si>
  <si>
    <t>John Collins</t>
  </si>
  <si>
    <t>30.5</t>
  </si>
  <si>
    <t>.399</t>
  </si>
  <si>
    <t>.577</t>
  </si>
  <si>
    <t>.583</t>
  </si>
  <si>
    <t>.848</t>
  </si>
  <si>
    <t>19.0</t>
  </si>
  <si>
    <t>Lauri Markkanen</t>
  </si>
  <si>
    <t>14.9</t>
  </si>
  <si>
    <t>.346</t>
  </si>
  <si>
    <t>.876</t>
  </si>
  <si>
    <t>59</t>
  </si>
  <si>
    <t>Jalen Johnson</t>
  </si>
  <si>
    <t>.312</t>
  </si>
  <si>
    <t>.566</t>
  </si>
  <si>
    <t>.746</t>
  </si>
  <si>
    <t>Cameron Johnson</t>
  </si>
  <si>
    <t>31.6</t>
  </si>
  <si>
    <t>13.1</t>
  </si>
  <si>
    <t>.390</t>
  </si>
  <si>
    <t>.582</t>
  </si>
  <si>
    <t>.893</t>
  </si>
  <si>
    <t>61</t>
  </si>
  <si>
    <t>32.3</t>
  </si>
  <si>
    <t>.485</t>
  </si>
  <si>
    <t>.344</t>
  </si>
  <si>
    <t>.806</t>
  </si>
  <si>
    <t>33.6</t>
  </si>
  <si>
    <t>13.8</t>
  </si>
  <si>
    <t>.388</t>
  </si>
  <si>
    <t>.581</t>
  </si>
  <si>
    <t>.851</t>
  </si>
  <si>
    <t>.557</t>
  </si>
  <si>
    <t>.621</t>
  </si>
  <si>
    <t>.604</t>
  </si>
  <si>
    <t>.725</t>
  </si>
  <si>
    <t>31.3</t>
  </si>
  <si>
    <t>15.3</t>
  </si>
  <si>
    <t>.311</t>
  </si>
  <si>
    <t>.785</t>
  </si>
  <si>
    <t>Nikola Vučević</t>
  </si>
  <si>
    <t>.402</t>
  </si>
  <si>
    <t>.587</t>
  </si>
  <si>
    <t>.592</t>
  </si>
  <si>
    <t>.805</t>
  </si>
  <si>
    <t>66</t>
  </si>
  <si>
    <t>27.9</t>
  </si>
  <si>
    <t>.480</t>
  </si>
  <si>
    <t>.406</t>
  </si>
  <si>
    <t>.865</t>
  </si>
  <si>
    <t>18.4</t>
  </si>
  <si>
    <t>.599</t>
  </si>
  <si>
    <t>.596</t>
  </si>
  <si>
    <t>.768</t>
  </si>
  <si>
    <t>14.3</t>
  </si>
  <si>
    <t>.357</t>
  </si>
  <si>
    <t>11.4</t>
  </si>
  <si>
    <t>.765</t>
  </si>
  <si>
    <t>14.0</t>
  </si>
  <si>
    <t>.763</t>
  </si>
  <si>
    <t>30.1</t>
  </si>
  <si>
    <t>.524</t>
  </si>
  <si>
    <t>.777</t>
  </si>
  <si>
    <t>17.6</t>
  </si>
  <si>
    <t>32.1</t>
  </si>
  <si>
    <t>.458</t>
  </si>
  <si>
    <t>.360</t>
  </si>
  <si>
    <t>.731</t>
  </si>
  <si>
    <t>.372</t>
  </si>
  <si>
    <t>.561</t>
  </si>
  <si>
    <t>14.4</t>
  </si>
  <si>
    <t>.594</t>
  </si>
  <si>
    <t>Jaden Ivey</t>
  </si>
  <si>
    <t>29.9</t>
  </si>
  <si>
    <t>.409</t>
  </si>
  <si>
    <t>.490</t>
  </si>
  <si>
    <t>.733</t>
  </si>
  <si>
    <t>.308</t>
  </si>
  <si>
    <t>.842</t>
  </si>
  <si>
    <t>30.6</t>
  </si>
  <si>
    <t>.540</t>
  </si>
  <si>
    <t>.801</t>
  </si>
  <si>
    <t>.279</t>
  </si>
  <si>
    <t>Dejounte Murray</t>
  </si>
  <si>
    <t>15.9</t>
  </si>
  <si>
    <t>.445</t>
  </si>
  <si>
    <t>Malik Monk</t>
  </si>
  <si>
    <t>.439</t>
  </si>
  <si>
    <t>.325</t>
  </si>
  <si>
    <t>17.2</t>
  </si>
  <si>
    <t>Immanuel Quickley</t>
  </si>
  <si>
    <t>27.8</t>
  </si>
  <si>
    <t>.867</t>
  </si>
  <si>
    <t>27.2</t>
  </si>
  <si>
    <t>.470</t>
  </si>
  <si>
    <t>.573</t>
  </si>
  <si>
    <t>.858</t>
  </si>
  <si>
    <t>.497</t>
  </si>
  <si>
    <t>.386</t>
  </si>
  <si>
    <t>.803</t>
  </si>
  <si>
    <t>Deni Avdija</t>
  </si>
  <si>
    <t>30.0</t>
  </si>
  <si>
    <t>.552</t>
  </si>
  <si>
    <t>.780</t>
  </si>
  <si>
    <t>80</t>
  </si>
  <si>
    <t>.391</t>
  </si>
  <si>
    <t>.449</t>
  </si>
  <si>
    <t>.818</t>
  </si>
  <si>
    <t>81</t>
  </si>
  <si>
    <t>.628</t>
  </si>
  <si>
    <t>0.0</t>
  </si>
  <si>
    <t>.661</t>
  </si>
  <si>
    <t>33.9</t>
  </si>
  <si>
    <t>.442</t>
  </si>
  <si>
    <t>.384</t>
  </si>
  <si>
    <t>.593</t>
  </si>
  <si>
    <t>.580</t>
  </si>
  <si>
    <t>83</t>
  </si>
  <si>
    <t>.416</t>
  </si>
  <si>
    <t>.466</t>
  </si>
  <si>
    <t>.579</t>
  </si>
  <si>
    <t>.679</t>
  </si>
  <si>
    <t>16.3</t>
  </si>
  <si>
    <t>84</t>
  </si>
  <si>
    <t>31.0</t>
  </si>
  <si>
    <t>.532</t>
  </si>
  <si>
    <t>.792</t>
  </si>
  <si>
    <t>85</t>
  </si>
  <si>
    <t>Jordan Clarkson</t>
  </si>
  <si>
    <t>.408</t>
  </si>
  <si>
    <t>.362</t>
  </si>
  <si>
    <t>16.2</t>
  </si>
  <si>
    <t>86</t>
  </si>
  <si>
    <t>Paul George</t>
  </si>
  <si>
    <t>32.5</t>
  </si>
  <si>
    <t>.358</t>
  </si>
  <si>
    <t>87</t>
  </si>
  <si>
    <t>Jalen Suggs</t>
  </si>
  <si>
    <t>.314</t>
  </si>
  <si>
    <t>.489</t>
  </si>
  <si>
    <t>88</t>
  </si>
  <si>
    <t>.831</t>
  </si>
  <si>
    <t>89</t>
  </si>
  <si>
    <t>.396</t>
  </si>
  <si>
    <t>.773</t>
  </si>
  <si>
    <t>15.6</t>
  </si>
  <si>
    <t>90</t>
  </si>
  <si>
    <t>.648</t>
  </si>
  <si>
    <t>.634</t>
  </si>
  <si>
    <t>91</t>
  </si>
  <si>
    <t>Jonathan Kuminga</t>
  </si>
  <si>
    <t>.305</t>
  </si>
  <si>
    <t>.668</t>
  </si>
  <si>
    <t>92</t>
  </si>
  <si>
    <t>Jared McCain</t>
  </si>
  <si>
    <t>93</t>
  </si>
  <si>
    <t>.000</t>
  </si>
  <si>
    <t>94</t>
  </si>
  <si>
    <t>Kelly Oubre Jr.</t>
  </si>
  <si>
    <t>34.6</t>
  </si>
  <si>
    <t>.293</t>
  </si>
  <si>
    <t>.751</t>
  </si>
  <si>
    <t>95</t>
  </si>
  <si>
    <t>Chet Holmgren</t>
  </si>
  <si>
    <t>27.4</t>
  </si>
  <si>
    <t>10.7</t>
  </si>
  <si>
    <t>.554</t>
  </si>
  <si>
    <t>96</t>
  </si>
  <si>
    <t>13.0</t>
  </si>
  <si>
    <t>.436</t>
  </si>
  <si>
    <t>.307</t>
  </si>
  <si>
    <t>27.7</t>
  </si>
  <si>
    <t>.281</t>
  </si>
  <si>
    <t>.602</t>
  </si>
  <si>
    <t>31.8</t>
  </si>
  <si>
    <t>.455</t>
  </si>
  <si>
    <t>.333</t>
  </si>
  <si>
    <t>.520</t>
  </si>
  <si>
    <t>.663</t>
  </si>
  <si>
    <t>14.5</t>
  </si>
  <si>
    <t>97</t>
  </si>
  <si>
    <t>26.7</t>
  </si>
  <si>
    <t>.428</t>
  </si>
  <si>
    <t>.285</t>
  </si>
  <si>
    <t>.724</t>
  </si>
  <si>
    <t>14.7</t>
  </si>
  <si>
    <t>98</t>
  </si>
  <si>
    <t>28.4</t>
  </si>
  <si>
    <t>99</t>
  </si>
  <si>
    <t>.381</t>
  </si>
  <si>
    <t>.722</t>
  </si>
  <si>
    <t>100</t>
  </si>
  <si>
    <t>.467</t>
  </si>
  <si>
    <t>.385</t>
  </si>
  <si>
    <t>.757</t>
  </si>
  <si>
    <t>14.6</t>
  </si>
  <si>
    <t>.398</t>
  </si>
  <si>
    <t>.752</t>
  </si>
  <si>
    <t>21.9</t>
  </si>
  <si>
    <t>101</t>
  </si>
  <si>
    <t>102</t>
  </si>
  <si>
    <t>Jakob Poeltl</t>
  </si>
  <si>
    <t>.674</t>
  </si>
  <si>
    <t>103</t>
  </si>
  <si>
    <t>Deandre Ayton</t>
  </si>
  <si>
    <t>.188</t>
  </si>
  <si>
    <t>.667</t>
  </si>
  <si>
    <t>104</t>
  </si>
  <si>
    <t>Gradey Dick</t>
  </si>
  <si>
    <t>105</t>
  </si>
  <si>
    <t>Jerami Grant</t>
  </si>
  <si>
    <t>.849</t>
  </si>
  <si>
    <t>106</t>
  </si>
  <si>
    <t>Payton Pritchard</t>
  </si>
  <si>
    <t>.407</t>
  </si>
  <si>
    <t>.642</t>
  </si>
  <si>
    <t>.845</t>
  </si>
  <si>
    <t>107</t>
  </si>
  <si>
    <t>27.5</t>
  </si>
  <si>
    <t>.462</t>
  </si>
  <si>
    <t>.776</t>
  </si>
  <si>
    <t>108</t>
  </si>
  <si>
    <t>33.8</t>
  </si>
  <si>
    <t>.545</t>
  </si>
  <si>
    <t>14.1</t>
  </si>
  <si>
    <t>109</t>
  </si>
  <si>
    <t>Tre Mann</t>
  </si>
  <si>
    <t>0</t>
  </si>
  <si>
    <t>.435</t>
  </si>
  <si>
    <t>.400</t>
  </si>
  <si>
    <t>.905</t>
  </si>
  <si>
    <t>110</t>
  </si>
  <si>
    <t>.275</t>
  </si>
  <si>
    <t>.575</t>
  </si>
  <si>
    <t>.684</t>
  </si>
  <si>
    <t>111</t>
  </si>
  <si>
    <t>.345</t>
  </si>
  <si>
    <t>112</t>
  </si>
  <si>
    <t>Dillon Brooks</t>
  </si>
  <si>
    <t>.429</t>
  </si>
  <si>
    <t>113</t>
  </si>
  <si>
    <t>Tolu Smith</t>
  </si>
  <si>
    <t>22.0</t>
  </si>
  <si>
    <t>114</t>
  </si>
  <si>
    <t>27.3</t>
  </si>
  <si>
    <t>115</t>
  </si>
  <si>
    <t>25.4</t>
  </si>
  <si>
    <t>116</t>
  </si>
  <si>
    <t>117</t>
  </si>
  <si>
    <t>37.6</t>
  </si>
  <si>
    <t>.618</t>
  </si>
  <si>
    <t>118</t>
  </si>
  <si>
    <t>28.0</t>
  </si>
  <si>
    <t>.706</t>
  </si>
  <si>
    <t>.712</t>
  </si>
  <si>
    <t>.718</t>
  </si>
  <si>
    <t>119</t>
  </si>
  <si>
    <t>.759</t>
  </si>
  <si>
    <t>13.4</t>
  </si>
  <si>
    <t>120</t>
  </si>
  <si>
    <t>.323</t>
  </si>
  <si>
    <t>121</t>
  </si>
  <si>
    <t>13.2</t>
  </si>
  <si>
    <t>122</t>
  </si>
  <si>
    <t>Dennis Schröder</t>
  </si>
  <si>
    <t>3TM</t>
  </si>
  <si>
    <t>.342</t>
  </si>
  <si>
    <t>.838</t>
  </si>
  <si>
    <t>.387</t>
  </si>
  <si>
    <t>.889</t>
  </si>
  <si>
    <t>26.2</t>
  </si>
  <si>
    <t>.419</t>
  </si>
  <si>
    <t>.744</t>
  </si>
  <si>
    <t>.302</t>
  </si>
  <si>
    <t>.434</t>
  </si>
  <si>
    <t>.833</t>
  </si>
  <si>
    <t>123</t>
  </si>
  <si>
    <t>.413</t>
  </si>
  <si>
    <t>.597</t>
  </si>
  <si>
    <t>.770</t>
  </si>
  <si>
    <t>124</t>
  </si>
  <si>
    <t>.636</t>
  </si>
  <si>
    <t>.826</t>
  </si>
  <si>
    <t>125</t>
  </si>
  <si>
    <t>27.1</t>
  </si>
  <si>
    <t>.394</t>
  </si>
  <si>
    <t>.457</t>
  </si>
  <si>
    <t>126</t>
  </si>
  <si>
    <t>Moritz Wagner</t>
  </si>
  <si>
    <t>.649</t>
  </si>
  <si>
    <t>.616</t>
  </si>
  <si>
    <t>12.9</t>
  </si>
  <si>
    <t>127</t>
  </si>
  <si>
    <t>Malcolm Brogdon</t>
  </si>
  <si>
    <t>.433</t>
  </si>
  <si>
    <t>.286</t>
  </si>
  <si>
    <t>.880</t>
  </si>
  <si>
    <t>128</t>
  </si>
  <si>
    <t>Scoot Henderson</t>
  </si>
  <si>
    <t>129</t>
  </si>
  <si>
    <t>Keldon Johnson</t>
  </si>
  <si>
    <t>.318</t>
  </si>
  <si>
    <t>130</t>
  </si>
  <si>
    <t>D'Angelo Russell</t>
  </si>
  <si>
    <t>25.5</t>
  </si>
  <si>
    <t>.479</t>
  </si>
  <si>
    <t>.834</t>
  </si>
  <si>
    <t>.415</t>
  </si>
  <si>
    <t>.367</t>
  </si>
  <si>
    <t>.297</t>
  </si>
  <si>
    <t>131</t>
  </si>
  <si>
    <t>.711</t>
  </si>
  <si>
    <t>132</t>
  </si>
  <si>
    <t>.691</t>
  </si>
  <si>
    <t>133</t>
  </si>
  <si>
    <t>Ty Jerome</t>
  </si>
  <si>
    <t>19.9</t>
  </si>
  <si>
    <t>.606</t>
  </si>
  <si>
    <t>.872</t>
  </si>
  <si>
    <t>134</t>
  </si>
  <si>
    <t>135</t>
  </si>
  <si>
    <t>Lonnie Walker IV</t>
  </si>
  <si>
    <t>136</t>
  </si>
  <si>
    <t>.591</t>
  </si>
  <si>
    <t>.622</t>
  </si>
  <si>
    <t>12.3</t>
  </si>
  <si>
    <t>137</t>
  </si>
  <si>
    <t>33.0</t>
  </si>
  <si>
    <t>.421</t>
  </si>
  <si>
    <t>138</t>
  </si>
  <si>
    <t>Ayo Dosunmu</t>
  </si>
  <si>
    <t>30.3</t>
  </si>
  <si>
    <t>.612</t>
  </si>
  <si>
    <t>139</t>
  </si>
  <si>
    <t>Daniel Gafford</t>
  </si>
  <si>
    <t>.702</t>
  </si>
  <si>
    <t>.689</t>
  </si>
  <si>
    <t>140</t>
  </si>
  <si>
    <t>.330</t>
  </si>
  <si>
    <t>141</t>
  </si>
  <si>
    <t>Jabari Smith Jr.</t>
  </si>
  <si>
    <t>142</t>
  </si>
  <si>
    <t>9.4</t>
  </si>
  <si>
    <t>.710</t>
  </si>
  <si>
    <t>.699</t>
  </si>
  <si>
    <t>.338</t>
  </si>
  <si>
    <t>.600</t>
  </si>
  <si>
    <t>.558</t>
  </si>
  <si>
    <t>143</t>
  </si>
  <si>
    <t>Drew Timme</t>
  </si>
  <si>
    <t>.441</t>
  </si>
  <si>
    <t>.257</t>
  </si>
  <si>
    <t>.625</t>
  </si>
  <si>
    <t>144</t>
  </si>
  <si>
    <t>Tari Eason</t>
  </si>
  <si>
    <t>.487</t>
  </si>
  <si>
    <t>.760</t>
  </si>
  <si>
    <t>145</t>
  </si>
  <si>
    <t>.669</t>
  </si>
  <si>
    <t>146</t>
  </si>
  <si>
    <t>.913</t>
  </si>
  <si>
    <t>147</t>
  </si>
  <si>
    <t>Aaron Wiggins</t>
  </si>
  <si>
    <t>22.9</t>
  </si>
  <si>
    <t>148</t>
  </si>
  <si>
    <t>Khris Middleton</t>
  </si>
  <si>
    <t>.595</t>
  </si>
  <si>
    <t>22.1</t>
  </si>
  <si>
    <t>.277</t>
  </si>
  <si>
    <t>.868</t>
  </si>
  <si>
    <t>149</t>
  </si>
  <si>
    <t>150</t>
  </si>
  <si>
    <t>Donte DiVincenzo</t>
  </si>
  <si>
    <t>.422</t>
  </si>
  <si>
    <t>.778</t>
  </si>
  <si>
    <t>151</t>
  </si>
  <si>
    <t>.758</t>
  </si>
  <si>
    <t>152</t>
  </si>
  <si>
    <t>Corey Kispert</t>
  </si>
  <si>
    <t>.451</t>
  </si>
  <si>
    <t>.364</t>
  </si>
  <si>
    <t>.852</t>
  </si>
  <si>
    <t>153</t>
  </si>
  <si>
    <t>Jeremy Sochan</t>
  </si>
  <si>
    <t>25.3</t>
  </si>
  <si>
    <t>.696</t>
  </si>
  <si>
    <t>154</t>
  </si>
  <si>
    <t>155</t>
  </si>
  <si>
    <t>Isaiah Hartenstein</t>
  </si>
  <si>
    <t>.605</t>
  </si>
  <si>
    <t>.675</t>
  </si>
  <si>
    <t>156</t>
  </si>
  <si>
    <t>Buddy Hield</t>
  </si>
  <si>
    <t>22.7</t>
  </si>
  <si>
    <t>.828</t>
  </si>
  <si>
    <t>157</t>
  </si>
  <si>
    <t>.353</t>
  </si>
  <si>
    <t>.909</t>
  </si>
  <si>
    <t>158</t>
  </si>
  <si>
    <t>Walker Kessler</t>
  </si>
  <si>
    <t>.176</t>
  </si>
  <si>
    <t>.671</t>
  </si>
  <si>
    <t>159</t>
  </si>
  <si>
    <t>160</t>
  </si>
  <si>
    <t>27.0</t>
  </si>
  <si>
    <t>.334</t>
  </si>
  <si>
    <t>.802</t>
  </si>
  <si>
    <t>161</t>
  </si>
  <si>
    <t>162</t>
  </si>
  <si>
    <t>24.1</t>
  </si>
  <si>
    <t>163</t>
  </si>
  <si>
    <t>Guerschon Yabusele</t>
  </si>
  <si>
    <t>.380</t>
  </si>
  <si>
    <t>164</t>
  </si>
  <si>
    <t>.459</t>
  </si>
  <si>
    <t>.890</t>
  </si>
  <si>
    <t>165</t>
  </si>
  <si>
    <t>Bogdan Bogdanović</t>
  </si>
  <si>
    <t>.427</t>
  </si>
  <si>
    <t>.371</t>
  </si>
  <si>
    <t>.301</t>
  </si>
  <si>
    <t>.588</t>
  </si>
  <si>
    <t>166</t>
  </si>
  <si>
    <t>Jordan Hawkins</t>
  </si>
  <si>
    <t>23.6</t>
  </si>
  <si>
    <t>.331</t>
  </si>
  <si>
    <t>.471</t>
  </si>
  <si>
    <t>.816</t>
  </si>
  <si>
    <t>167</t>
  </si>
  <si>
    <t>Brandon Boston Jr.</t>
  </si>
  <si>
    <t>168</t>
  </si>
  <si>
    <t>Nikola Jović</t>
  </si>
  <si>
    <t>25.1</t>
  </si>
  <si>
    <t>.456</t>
  </si>
  <si>
    <t>169</t>
  </si>
  <si>
    <t>170</t>
  </si>
  <si>
    <t>Keon Johnson</t>
  </si>
  <si>
    <t>171</t>
  </si>
  <si>
    <t>Terry Rozier</t>
  </si>
  <si>
    <t>172</t>
  </si>
  <si>
    <t>.695</t>
  </si>
  <si>
    <t>173</t>
  </si>
  <si>
    <t>.216</t>
  </si>
  <si>
    <t>20.1</t>
  </si>
  <si>
    <t>.259</t>
  </si>
  <si>
    <t>.896</t>
  </si>
  <si>
    <t>.100</t>
  </si>
  <si>
    <t>.847</t>
  </si>
  <si>
    <t>174</t>
  </si>
  <si>
    <t>.708</t>
  </si>
  <si>
    <t>175</t>
  </si>
  <si>
    <t>.425</t>
  </si>
  <si>
    <t>.822</t>
  </si>
  <si>
    <t>176</t>
  </si>
  <si>
    <t>Grant Williams</t>
  </si>
  <si>
    <t>177</t>
  </si>
  <si>
    <t>Kevin Porter Jr.</t>
  </si>
  <si>
    <t>.769</t>
  </si>
  <si>
    <t>.245</t>
  </si>
  <si>
    <t>.645</t>
  </si>
  <si>
    <t>178</t>
  </si>
  <si>
    <t>Jose Alvarado</t>
  </si>
  <si>
    <t>.359</t>
  </si>
  <si>
    <t>.811</t>
  </si>
  <si>
    <t>179</t>
  </si>
  <si>
    <t>Nic Claxton</t>
  </si>
  <si>
    <t>26.9</t>
  </si>
  <si>
    <t>.238</t>
  </si>
  <si>
    <t>180</t>
  </si>
  <si>
    <t>Herbert Jones</t>
  </si>
  <si>
    <t>.306</t>
  </si>
  <si>
    <t>181</t>
  </si>
  <si>
    <t>De'Anthony Melton</t>
  </si>
  <si>
    <t>182</t>
  </si>
  <si>
    <t>Isaiah Joe</t>
  </si>
  <si>
    <t>21.7</t>
  </si>
  <si>
    <t>.440</t>
  </si>
  <si>
    <t>183</t>
  </si>
  <si>
    <t>.414</t>
  </si>
  <si>
    <t>.895</t>
  </si>
  <si>
    <t>184</t>
  </si>
  <si>
    <t>Trendon Watford</t>
  </si>
  <si>
    <t>.762</t>
  </si>
  <si>
    <t>185</t>
  </si>
  <si>
    <t>Keion Brooks Jr.</t>
  </si>
  <si>
    <t>23.7</t>
  </si>
  <si>
    <t>.486</t>
  </si>
  <si>
    <t>.326</t>
  </si>
  <si>
    <t>186</t>
  </si>
  <si>
    <t>29.2</t>
  </si>
  <si>
    <t>187</t>
  </si>
  <si>
    <t>188</t>
  </si>
  <si>
    <t>Derrick Jones Jr.</t>
  </si>
  <si>
    <t>.703</t>
  </si>
  <si>
    <t>189</t>
  </si>
  <si>
    <t>22.5</t>
  </si>
  <si>
    <t>.224</t>
  </si>
  <si>
    <t>.641</t>
  </si>
  <si>
    <t>190</t>
  </si>
  <si>
    <t>Chris Boucher</t>
  </si>
  <si>
    <t>.633</t>
  </si>
  <si>
    <t>191</t>
  </si>
  <si>
    <t>28.9</t>
  </si>
  <si>
    <t>.291</t>
  </si>
  <si>
    <t>.794</t>
  </si>
  <si>
    <t>192</t>
  </si>
  <si>
    <t>Ziaire Williams</t>
  </si>
  <si>
    <t>.341</t>
  </si>
  <si>
    <t>193</t>
  </si>
  <si>
    <t>.714</t>
  </si>
  <si>
    <t>20.9</t>
  </si>
  <si>
    <t>.629</t>
  </si>
  <si>
    <t>194</t>
  </si>
  <si>
    <t>.793</t>
  </si>
  <si>
    <t>23.0</t>
  </si>
  <si>
    <t>195</t>
  </si>
  <si>
    <t>Julian Champagnie</t>
  </si>
  <si>
    <t>.904</t>
  </si>
  <si>
    <t>196</t>
  </si>
  <si>
    <t>.713</t>
  </si>
  <si>
    <t>197</t>
  </si>
  <si>
    <t>Nick Smith Jr.</t>
  </si>
  <si>
    <t>.935</t>
  </si>
  <si>
    <t>198</t>
  </si>
  <si>
    <t>Bub Carrington</t>
  </si>
  <si>
    <t>.812</t>
  </si>
  <si>
    <t>199</t>
  </si>
  <si>
    <t>22.3</t>
  </si>
  <si>
    <t>200</t>
  </si>
  <si>
    <t>Amir Coffey</t>
  </si>
  <si>
    <t>.891</t>
  </si>
  <si>
    <t>201</t>
  </si>
  <si>
    <t>Max Christie</t>
  </si>
  <si>
    <t>.366</t>
  </si>
  <si>
    <t>.502</t>
  </si>
  <si>
    <t>.862</t>
  </si>
  <si>
    <t>202</t>
  </si>
  <si>
    <t>.614</t>
  </si>
  <si>
    <t>.650</t>
  </si>
  <si>
    <t>203</t>
  </si>
  <si>
    <t>Tosan Evbuomwan</t>
  </si>
  <si>
    <t>.753</t>
  </si>
  <si>
    <t>204</t>
  </si>
  <si>
    <t>Miles McBride</t>
  </si>
  <si>
    <t>.369</t>
  </si>
  <si>
    <t>205</t>
  </si>
  <si>
    <t>206</t>
  </si>
  <si>
    <t>Nickeil Alexander-Walker</t>
  </si>
  <si>
    <t>207</t>
  </si>
  <si>
    <t>Cole Anthony</t>
  </si>
  <si>
    <t>.424</t>
  </si>
  <si>
    <t>208</t>
  </si>
  <si>
    <t>Anthony Black</t>
  </si>
  <si>
    <t>.761</t>
  </si>
  <si>
    <t>209</t>
  </si>
  <si>
    <t>210</t>
  </si>
  <si>
    <t>Tristan Vukcevic</t>
  </si>
  <si>
    <t>211</t>
  </si>
  <si>
    <t>Cam Whitmore</t>
  </si>
  <si>
    <t>.750</t>
  </si>
  <si>
    <t>212</t>
  </si>
  <si>
    <t>Nick Richards</t>
  </si>
  <si>
    <t>.678</t>
  </si>
  <si>
    <t>.608</t>
  </si>
  <si>
    <t>213</t>
  </si>
  <si>
    <t>.315</t>
  </si>
  <si>
    <t>.687</t>
  </si>
  <si>
    <t>214</t>
  </si>
  <si>
    <t>.709</t>
  </si>
  <si>
    <t>215</t>
  </si>
  <si>
    <t>Wendell Carter Jr.</t>
  </si>
  <si>
    <t>.234</t>
  </si>
  <si>
    <t>.737</t>
  </si>
  <si>
    <t>216</t>
  </si>
  <si>
    <t>Noah Clowney</t>
  </si>
  <si>
    <t>217</t>
  </si>
  <si>
    <t>Dalton Knecht</t>
  </si>
  <si>
    <t>218</t>
  </si>
  <si>
    <t>A.J. Lawson</t>
  </si>
  <si>
    <t>.327</t>
  </si>
  <si>
    <t>.683</t>
  </si>
  <si>
    <t>219</t>
  </si>
  <si>
    <t>.740</t>
  </si>
  <si>
    <t>220</t>
  </si>
  <si>
    <t>.623</t>
  </si>
  <si>
    <t>221</t>
  </si>
  <si>
    <t>Royce O'Neale</t>
  </si>
  <si>
    <t>222</t>
  </si>
  <si>
    <t>17.4</t>
  </si>
  <si>
    <t>223</t>
  </si>
  <si>
    <t>Marcus Smart</t>
  </si>
  <si>
    <t>.348</t>
  </si>
  <si>
    <t>.686</t>
  </si>
  <si>
    <t>224</t>
  </si>
  <si>
    <t>.503</t>
  </si>
  <si>
    <t>225</t>
  </si>
  <si>
    <t>Killian Hayes</t>
  </si>
  <si>
    <t>226</t>
  </si>
  <si>
    <t>227</t>
  </si>
  <si>
    <t>Julian Strawther</t>
  </si>
  <si>
    <t>228</t>
  </si>
  <si>
    <t>.723</t>
  </si>
  <si>
    <t>229</t>
  </si>
  <si>
    <t>Jusuf Nurkić</t>
  </si>
  <si>
    <t>.664</t>
  </si>
  <si>
    <t>.283</t>
  </si>
  <si>
    <t>230</t>
  </si>
  <si>
    <t>Clint Capela</t>
  </si>
  <si>
    <t>231</t>
  </si>
  <si>
    <t>232</t>
  </si>
  <si>
    <t>Luke Kennard</t>
  </si>
  <si>
    <t>22.6</t>
  </si>
  <si>
    <t>233</t>
  </si>
  <si>
    <t>.624</t>
  </si>
  <si>
    <t>.685</t>
  </si>
  <si>
    <t>234</t>
  </si>
  <si>
    <t>Svi Mykhailiuk</t>
  </si>
  <si>
    <t>235</t>
  </si>
  <si>
    <t>.924</t>
  </si>
  <si>
    <t>236</t>
  </si>
  <si>
    <t>Kelly Olynyk</t>
  </si>
  <si>
    <t>237</t>
  </si>
  <si>
    <t>29.0</t>
  </si>
  <si>
    <t>238</t>
  </si>
  <si>
    <t>Oshae Brissett</t>
  </si>
  <si>
    <t>.619</t>
  </si>
  <si>
    <t>239</t>
  </si>
  <si>
    <t>.589</t>
  </si>
  <si>
    <t>.863</t>
  </si>
  <si>
    <t>240</t>
  </si>
  <si>
    <t>.249</t>
  </si>
  <si>
    <t>.682</t>
  </si>
  <si>
    <t>241</t>
  </si>
  <si>
    <t>Dante Exum</t>
  </si>
  <si>
    <t>.742</t>
  </si>
  <si>
    <t>242</t>
  </si>
  <si>
    <t>26.5</t>
  </si>
  <si>
    <t>243</t>
  </si>
  <si>
    <t>Jaden Hardy</t>
  </si>
  <si>
    <t>.698</t>
  </si>
  <si>
    <t>244</t>
  </si>
  <si>
    <t>23.1</t>
  </si>
  <si>
    <t>245</t>
  </si>
  <si>
    <t>Tyrese Martin</t>
  </si>
  <si>
    <t>.351</t>
  </si>
  <si>
    <t>246</t>
  </si>
  <si>
    <t>.815</t>
  </si>
  <si>
    <t>247</t>
  </si>
  <si>
    <t>Jaime Jaquez Jr.</t>
  </si>
  <si>
    <t>20.7</t>
  </si>
  <si>
    <t>248</t>
  </si>
  <si>
    <t>Ja'Kobe Walter</t>
  </si>
  <si>
    <t>.795</t>
  </si>
  <si>
    <t>249</t>
  </si>
  <si>
    <t>Sam Hauser</t>
  </si>
  <si>
    <t>.640</t>
  </si>
  <si>
    <t>1.000</t>
  </si>
  <si>
    <t>250</t>
  </si>
  <si>
    <t>Larry Nance Jr.</t>
  </si>
  <si>
    <t>.626</t>
  </si>
  <si>
    <t>251</t>
  </si>
  <si>
    <t>Jared Rhoden</t>
  </si>
  <si>
    <t>.250</t>
  </si>
  <si>
    <t>252</t>
  </si>
  <si>
    <t>Jaylen Nowell</t>
  </si>
  <si>
    <t>.296</t>
  </si>
  <si>
    <t>253</t>
  </si>
  <si>
    <t>Cason Wallace</t>
  </si>
  <si>
    <t>254</t>
  </si>
  <si>
    <t>Bruce Brown</t>
  </si>
  <si>
    <t>.897</t>
  </si>
  <si>
    <t>255</t>
  </si>
  <si>
    <t>.728</t>
  </si>
  <si>
    <t>256</t>
  </si>
  <si>
    <t>Brandon Clarke</t>
  </si>
  <si>
    <t>.059</t>
  </si>
  <si>
    <t>.647</t>
  </si>
  <si>
    <t>.701</t>
  </si>
  <si>
    <t>257</t>
  </si>
  <si>
    <t>.615</t>
  </si>
  <si>
    <t>.639</t>
  </si>
  <si>
    <t>258</t>
  </si>
  <si>
    <t>Brandon Williams</t>
  </si>
  <si>
    <t>.585</t>
  </si>
  <si>
    <t>259</t>
  </si>
  <si>
    <t>Mike Conley</t>
  </si>
  <si>
    <t>.900</t>
  </si>
  <si>
    <t>260</t>
  </si>
  <si>
    <t>261</t>
  </si>
  <si>
    <t>Jalen Smith</t>
  </si>
  <si>
    <t>262</t>
  </si>
  <si>
    <t>Quinten Post</t>
  </si>
  <si>
    <t>263</t>
  </si>
  <si>
    <t>.693</t>
  </si>
  <si>
    <t>264</t>
  </si>
  <si>
    <t>.690</t>
  </si>
  <si>
    <t>.676</t>
  </si>
  <si>
    <t>265</t>
  </si>
  <si>
    <t>Caleb Martin</t>
  </si>
  <si>
    <t>266</t>
  </si>
  <si>
    <t>Tyson Etienne</t>
  </si>
  <si>
    <t>267</t>
  </si>
  <si>
    <t>Day'Ron Sharpe</t>
  </si>
  <si>
    <t>.244</t>
  </si>
  <si>
    <t>268</t>
  </si>
  <si>
    <t>23.4</t>
  </si>
  <si>
    <t>.254</t>
  </si>
  <si>
    <t>.820</t>
  </si>
  <si>
    <t>269</t>
  </si>
  <si>
    <t>.347</t>
  </si>
  <si>
    <t>.719</t>
  </si>
  <si>
    <t>.646</t>
  </si>
  <si>
    <t>270</t>
  </si>
  <si>
    <t>Karlo Matković</t>
  </si>
  <si>
    <t>271</t>
  </si>
  <si>
    <t>.267</t>
  </si>
  <si>
    <t>.247</t>
  </si>
  <si>
    <t>272</t>
  </si>
  <si>
    <t>Lonzo Ball</t>
  </si>
  <si>
    <t>273</t>
  </si>
  <si>
    <t>Oscar Tshiebwe</t>
  </si>
  <si>
    <t>274</t>
  </si>
  <si>
    <t>Garrison Mathews</t>
  </si>
  <si>
    <t>275</t>
  </si>
  <si>
    <t>276</t>
  </si>
  <si>
    <t>277</t>
  </si>
  <si>
    <t>.681</t>
  </si>
  <si>
    <t>278</t>
  </si>
  <si>
    <t>Richaun Holmes</t>
  </si>
  <si>
    <t>.662</t>
  </si>
  <si>
    <t>279</t>
  </si>
  <si>
    <t>Damion Baugh</t>
  </si>
  <si>
    <t>.214</t>
  </si>
  <si>
    <t>280</t>
  </si>
  <si>
    <t>281</t>
  </si>
  <si>
    <t>Ricky Council IV</t>
  </si>
  <si>
    <t>.382</t>
  </si>
  <si>
    <t>.258</t>
  </si>
  <si>
    <t>282</t>
  </si>
  <si>
    <t>Andre Drummond</t>
  </si>
  <si>
    <t>.150</t>
  </si>
  <si>
    <t>283</t>
  </si>
  <si>
    <t>Tre Jones</t>
  </si>
  <si>
    <t>.610</t>
  </si>
  <si>
    <t>284</t>
  </si>
  <si>
    <t>.107</t>
  </si>
  <si>
    <t>285</t>
  </si>
  <si>
    <t>Tristan Da Silva</t>
  </si>
  <si>
    <t>.335</t>
  </si>
  <si>
    <t>.873</t>
  </si>
  <si>
    <t>286</t>
  </si>
  <si>
    <t>GG Jackson II</t>
  </si>
  <si>
    <t>.404</t>
  </si>
  <si>
    <t>287</t>
  </si>
  <si>
    <t>Vit Krejci</t>
  </si>
  <si>
    <t>.651</t>
  </si>
  <si>
    <t>288</t>
  </si>
  <si>
    <t>.966</t>
  </si>
  <si>
    <t>289</t>
  </si>
  <si>
    <t>Daeqwon Plowden</t>
  </si>
  <si>
    <t>290</t>
  </si>
  <si>
    <t>.200</t>
  </si>
  <si>
    <t>291</t>
  </si>
  <si>
    <t>Josh Okogie</t>
  </si>
  <si>
    <t>.741</t>
  </si>
  <si>
    <t>18.3</t>
  </si>
  <si>
    <t>.774</t>
  </si>
  <si>
    <t>292</t>
  </si>
  <si>
    <t>Jalen Hood-Schifino</t>
  </si>
  <si>
    <t>.304</t>
  </si>
  <si>
    <t>293</t>
  </si>
  <si>
    <t>294</t>
  </si>
  <si>
    <t>Alex Caruso</t>
  </si>
  <si>
    <t>295</t>
  </si>
  <si>
    <t>296</t>
  </si>
  <si>
    <t>Jeff Dowtin</t>
  </si>
  <si>
    <t>297</t>
  </si>
  <si>
    <t>Marcus Garrett</t>
  </si>
  <si>
    <t>298</t>
  </si>
  <si>
    <t>Isaiah Jackson</t>
  </si>
  <si>
    <t>299</t>
  </si>
  <si>
    <t>Jaylen Sims</t>
  </si>
  <si>
    <t>300</t>
  </si>
  <si>
    <t>Orlando Robinson</t>
  </si>
  <si>
    <t>.771</t>
  </si>
  <si>
    <t>301</t>
  </si>
  <si>
    <t>Jake LaRavia</t>
  </si>
  <si>
    <t>302</t>
  </si>
  <si>
    <t>303</t>
  </si>
  <si>
    <t>Jay Huff</t>
  </si>
  <si>
    <t>.786</t>
  </si>
  <si>
    <t>304</t>
  </si>
  <si>
    <t>Cameron Payne</t>
  </si>
  <si>
    <t>.907</t>
  </si>
  <si>
    <t>305</t>
  </si>
  <si>
    <t>Antonio Reeves</t>
  </si>
  <si>
    <t>306</t>
  </si>
  <si>
    <t>Cody Martin</t>
  </si>
  <si>
    <t>.705</t>
  </si>
  <si>
    <t>24.8</t>
  </si>
  <si>
    <t>.694</t>
  </si>
  <si>
    <t>.111</t>
  </si>
  <si>
    <t>307</t>
  </si>
  <si>
    <t>Bol Bol</t>
  </si>
  <si>
    <t>308</t>
  </si>
  <si>
    <t>Eric Gordon</t>
  </si>
  <si>
    <t>309</t>
  </si>
  <si>
    <t>.732</t>
  </si>
  <si>
    <t>310</t>
  </si>
  <si>
    <t>Marcus Bagley</t>
  </si>
  <si>
    <t>.156</t>
  </si>
  <si>
    <t>311</t>
  </si>
  <si>
    <t>DaQuan Jeffries</t>
  </si>
  <si>
    <t>312</t>
  </si>
  <si>
    <t>Lester Quiñones</t>
  </si>
  <si>
    <t>.317</t>
  </si>
  <si>
    <t>313</t>
  </si>
  <si>
    <t>Vasilije Micić</t>
  </si>
  <si>
    <t>314</t>
  </si>
  <si>
    <t>.278</t>
  </si>
  <si>
    <t>315</t>
  </si>
  <si>
    <t>Trayce Jackson-Davis</t>
  </si>
  <si>
    <t>316</t>
  </si>
  <si>
    <t>Marcus Sasser</t>
  </si>
  <si>
    <t>317</t>
  </si>
  <si>
    <t>318</t>
  </si>
  <si>
    <t>Thomas Bryant</t>
  </si>
  <si>
    <t>.665</t>
  </si>
  <si>
    <t>.859</t>
  </si>
  <si>
    <t>.321</t>
  </si>
  <si>
    <t>.673</t>
  </si>
  <si>
    <t>.830</t>
  </si>
  <si>
    <t>319</t>
  </si>
  <si>
    <t>320</t>
  </si>
  <si>
    <t>Seth Curry</t>
  </si>
  <si>
    <t>321</t>
  </si>
  <si>
    <t>.721</t>
  </si>
  <si>
    <t>322</t>
  </si>
  <si>
    <t>Talen Horton-Tucker</t>
  </si>
  <si>
    <t>.336</t>
  </si>
  <si>
    <t>.735</t>
  </si>
  <si>
    <t>323</t>
  </si>
  <si>
    <t>Trey Lyles</t>
  </si>
  <si>
    <t>.700</t>
  </si>
  <si>
    <t>324</t>
  </si>
  <si>
    <t>Ajay Mitchell</t>
  </si>
  <si>
    <t>325</t>
  </si>
  <si>
    <t>Gary Payton II</t>
  </si>
  <si>
    <t>326</t>
  </si>
  <si>
    <t>Zach Collins</t>
  </si>
  <si>
    <t>.885</t>
  </si>
  <si>
    <t>.300</t>
  </si>
  <si>
    <t>.884</t>
  </si>
  <si>
    <t>327</t>
  </si>
  <si>
    <t>328</t>
  </si>
  <si>
    <t>Ron Holland</t>
  </si>
  <si>
    <t>329</t>
  </si>
  <si>
    <t>KJ Martin</t>
  </si>
  <si>
    <t>.787</t>
  </si>
  <si>
    <t>.657</t>
  </si>
  <si>
    <t>.189</t>
  </si>
  <si>
    <t>330</t>
  </si>
  <si>
    <t>331</t>
  </si>
  <si>
    <t>Sandro Mamukelashvili</t>
  </si>
  <si>
    <t>332</t>
  </si>
  <si>
    <t>Jeremiah Robinson-Earl</t>
  </si>
  <si>
    <t>333</t>
  </si>
  <si>
    <t>Kenrich Williams</t>
  </si>
  <si>
    <t>334</t>
  </si>
  <si>
    <t>Bones Hyland</t>
  </si>
  <si>
    <t>335</t>
  </si>
  <si>
    <t>.243</t>
  </si>
  <si>
    <t>336</t>
  </si>
  <si>
    <t>337</t>
  </si>
  <si>
    <t>Dru Smith</t>
  </si>
  <si>
    <t>338</t>
  </si>
  <si>
    <t>339</t>
  </si>
  <si>
    <t>Jarace Walker</t>
  </si>
  <si>
    <t>340</t>
  </si>
  <si>
    <t>N'Faly Dante</t>
  </si>
  <si>
    <t>341</t>
  </si>
  <si>
    <t>342</t>
  </si>
  <si>
    <t>Luke Kornet</t>
  </si>
  <si>
    <t>343</t>
  </si>
  <si>
    <t>Isaiah Mobley</t>
  </si>
  <si>
    <t>344</t>
  </si>
  <si>
    <t>Isaiah Stewart</t>
  </si>
  <si>
    <t>345</t>
  </si>
  <si>
    <t>James Wiseman</t>
  </si>
  <si>
    <t>346</t>
  </si>
  <si>
    <t>Isaiah Wong</t>
  </si>
  <si>
    <t>347</t>
  </si>
  <si>
    <t>Cole Swider</t>
  </si>
  <si>
    <t>.319</t>
  </si>
  <si>
    <t>348</t>
  </si>
  <si>
    <t>Chuma Okeke</t>
  </si>
  <si>
    <t>.638</t>
  </si>
  <si>
    <t>.697</t>
  </si>
  <si>
    <t>.167</t>
  </si>
  <si>
    <t>349</t>
  </si>
  <si>
    <t>.738</t>
  </si>
  <si>
    <t>350</t>
  </si>
  <si>
    <t>Simone Fontecchio</t>
  </si>
  <si>
    <t>351</t>
  </si>
  <si>
    <t>Collin Gillespie</t>
  </si>
  <si>
    <t>.864</t>
  </si>
  <si>
    <t>352</t>
  </si>
  <si>
    <t>Tidjane Salaün</t>
  </si>
  <si>
    <t>353</t>
  </si>
  <si>
    <t>Jaylin Williams</t>
  </si>
  <si>
    <t>354</t>
  </si>
  <si>
    <t>Moses Brown</t>
  </si>
  <si>
    <t>355</t>
  </si>
  <si>
    <t>.707</t>
  </si>
  <si>
    <t>.670</t>
  </si>
  <si>
    <t>356</t>
  </si>
  <si>
    <t>Quenton Jackson</t>
  </si>
  <si>
    <t>357</t>
  </si>
  <si>
    <t>Robert Williams</t>
  </si>
  <si>
    <t>.653</t>
  </si>
  <si>
    <t>358</t>
  </si>
  <si>
    <t>Moussa Diabaté</t>
  </si>
  <si>
    <t>359</t>
  </si>
  <si>
    <t>Dariq Whitehead</t>
  </si>
  <si>
    <t>.273</t>
  </si>
  <si>
    <t>360</t>
  </si>
  <si>
    <t>361</t>
  </si>
  <si>
    <t>Jordan Goodwin</t>
  </si>
  <si>
    <t>362</t>
  </si>
  <si>
    <t>Shake Milton</t>
  </si>
  <si>
    <t>.294</t>
  </si>
  <si>
    <t>363</t>
  </si>
  <si>
    <t>Aaron Holiday</t>
  </si>
  <si>
    <t>364</t>
  </si>
  <si>
    <t>Jeff Green</t>
  </si>
  <si>
    <t>.808</t>
  </si>
  <si>
    <t>365</t>
  </si>
  <si>
    <t>Jonathan Isaac</t>
  </si>
  <si>
    <t>366</t>
  </si>
  <si>
    <t>Dean Wade</t>
  </si>
  <si>
    <t>367</t>
  </si>
  <si>
    <t>Keaton Wallace</t>
  </si>
  <si>
    <t>.329</t>
  </si>
  <si>
    <t>368</t>
  </si>
  <si>
    <t>Kobe Bufkin</t>
  </si>
  <si>
    <t>.211</t>
  </si>
  <si>
    <t>369</t>
  </si>
  <si>
    <t>Jamal Cain</t>
  </si>
  <si>
    <t>.680</t>
  </si>
  <si>
    <t>370</t>
  </si>
  <si>
    <t>Pat Connaughton</t>
  </si>
  <si>
    <t>371</t>
  </si>
  <si>
    <t>Kevin Love</t>
  </si>
  <si>
    <t>372</t>
  </si>
  <si>
    <t>Ben Sheppard</t>
  </si>
  <si>
    <t>373</t>
  </si>
  <si>
    <t>Monte Morris</t>
  </si>
  <si>
    <t>374</t>
  </si>
  <si>
    <t>Jabari Walker</t>
  </si>
  <si>
    <t>375</t>
  </si>
  <si>
    <t>.242</t>
  </si>
  <si>
    <t>376</t>
  </si>
  <si>
    <t>Alex Reese</t>
  </si>
  <si>
    <t>.613</t>
  </si>
  <si>
    <t>377</t>
  </si>
  <si>
    <t>Bismack Biyombo</t>
  </si>
  <si>
    <t>378</t>
  </si>
  <si>
    <t>379</t>
  </si>
  <si>
    <t>Kai Jones</t>
  </si>
  <si>
    <t>.798</t>
  </si>
  <si>
    <t>380</t>
  </si>
  <si>
    <t>Ben Simmons</t>
  </si>
  <si>
    <t>381</t>
  </si>
  <si>
    <t>Malaki Branham</t>
  </si>
  <si>
    <t>382</t>
  </si>
  <si>
    <t>Neemias Queta</t>
  </si>
  <si>
    <t>.660</t>
  </si>
  <si>
    <t>383</t>
  </si>
  <si>
    <t>Alondes Williams</t>
  </si>
  <si>
    <t>1.250</t>
  </si>
  <si>
    <t>384</t>
  </si>
  <si>
    <t>Jaylen Martin</t>
  </si>
  <si>
    <t>385</t>
  </si>
  <si>
    <t>Lindy Waters III</t>
  </si>
  <si>
    <t>386</t>
  </si>
  <si>
    <t>Trevelin Queen</t>
  </si>
  <si>
    <t>387</t>
  </si>
  <si>
    <t>Jock Landale</t>
  </si>
  <si>
    <t>388</t>
  </si>
  <si>
    <t>Colin Castleton</t>
  </si>
  <si>
    <t>.125</t>
  </si>
  <si>
    <t>389</t>
  </si>
  <si>
    <t>Taylor Hendricks</t>
  </si>
  <si>
    <t>390</t>
  </si>
  <si>
    <t>David Roddy</t>
  </si>
  <si>
    <t>.182</t>
  </si>
  <si>
    <t>.143</t>
  </si>
  <si>
    <t>391</t>
  </si>
  <si>
    <t>Drew Eubanks</t>
  </si>
  <si>
    <t>.632</t>
  </si>
  <si>
    <t>392</t>
  </si>
  <si>
    <t>Pelle Larsson</t>
  </si>
  <si>
    <t>.672</t>
  </si>
  <si>
    <t>393</t>
  </si>
  <si>
    <t>Julian Phillips</t>
  </si>
  <si>
    <t>394</t>
  </si>
  <si>
    <t>Cody Williams</t>
  </si>
  <si>
    <t>395</t>
  </si>
  <si>
    <t>Rob Dillingham</t>
  </si>
  <si>
    <t>396</t>
  </si>
  <si>
    <t>Jett Howard</t>
  </si>
  <si>
    <t>397</t>
  </si>
  <si>
    <t>Kevon Looney</t>
  </si>
  <si>
    <t>398</t>
  </si>
  <si>
    <t>Mason Plumlee</t>
  </si>
  <si>
    <t>.631</t>
  </si>
  <si>
    <t>399</t>
  </si>
  <si>
    <t>Dalen Terry</t>
  </si>
  <si>
    <t>400</t>
  </si>
  <si>
    <t>Marvin Bagley III</t>
  </si>
  <si>
    <t>.158</t>
  </si>
  <si>
    <t>.652</t>
  </si>
  <si>
    <t>401</t>
  </si>
  <si>
    <t>Charles Bassey</t>
  </si>
  <si>
    <t>402</t>
  </si>
  <si>
    <t>Tony Bradley</t>
  </si>
  <si>
    <t>.644</t>
  </si>
  <si>
    <t>403</t>
  </si>
  <si>
    <t>Reggie Jackson</t>
  </si>
  <si>
    <t>404</t>
  </si>
  <si>
    <t>Reed Sheppard</t>
  </si>
  <si>
    <t>405</t>
  </si>
  <si>
    <t>Lamar Stevens</t>
  </si>
  <si>
    <t>406</t>
  </si>
  <si>
    <t>Mo Bamba</t>
  </si>
  <si>
    <t>.704</t>
  </si>
  <si>
    <t>407</t>
  </si>
  <si>
    <t>Jevon Carter</t>
  </si>
  <si>
    <t>408</t>
  </si>
  <si>
    <t>Micah Potter</t>
  </si>
  <si>
    <t>.316</t>
  </si>
  <si>
    <t>.850</t>
  </si>
  <si>
    <t>409</t>
  </si>
  <si>
    <t>Terrence Shannon Jr.</t>
  </si>
  <si>
    <t>410</t>
  </si>
  <si>
    <t>Daniel Theis</t>
  </si>
  <si>
    <t>411</t>
  </si>
  <si>
    <t>Torrey Craig</t>
  </si>
  <si>
    <t>.290</t>
  </si>
  <si>
    <t>412</t>
  </si>
  <si>
    <t>Wendell Moore Jr.</t>
  </si>
  <si>
    <t>.929</t>
  </si>
  <si>
    <t>413</t>
  </si>
  <si>
    <t>Dominick Barlow</t>
  </si>
  <si>
    <t>414</t>
  </si>
  <si>
    <t>Kessler Edwards</t>
  </si>
  <si>
    <t>.923</t>
  </si>
  <si>
    <t>415</t>
  </si>
  <si>
    <t>416</t>
  </si>
  <si>
    <t>Kris Murray</t>
  </si>
  <si>
    <t>.225</t>
  </si>
  <si>
    <t>417</t>
  </si>
  <si>
    <t>Duop Reath</t>
  </si>
  <si>
    <t>418</t>
  </si>
  <si>
    <t>Cam Spencer</t>
  </si>
  <si>
    <t>419</t>
  </si>
  <si>
    <t>Maxwell Lewis</t>
  </si>
  <si>
    <t>420</t>
  </si>
  <si>
    <t>Jaylen Clark</t>
  </si>
  <si>
    <t>.784</t>
  </si>
  <si>
    <t>421</t>
  </si>
  <si>
    <t>Caleb Houstan</t>
  </si>
  <si>
    <t>422</t>
  </si>
  <si>
    <t>Jordan Miller</t>
  </si>
  <si>
    <t>423</t>
  </si>
  <si>
    <t>424</t>
  </si>
  <si>
    <t>Paul Reed</t>
  </si>
  <si>
    <t>425</t>
  </si>
  <si>
    <t>Gui Santos</t>
  </si>
  <si>
    <t>426</t>
  </si>
  <si>
    <t>Jarred Vanderbilt</t>
  </si>
  <si>
    <t>427</t>
  </si>
  <si>
    <t>Colby Jones</t>
  </si>
  <si>
    <t>428</t>
  </si>
  <si>
    <t>Nicolas Batum</t>
  </si>
  <si>
    <t>429</t>
  </si>
  <si>
    <t>Malachi Flynn</t>
  </si>
  <si>
    <t>430</t>
  </si>
  <si>
    <t>Ron Harper Jr.</t>
  </si>
  <si>
    <t>431</t>
  </si>
  <si>
    <t>Josh Richardson</t>
  </si>
  <si>
    <t>.289</t>
  </si>
  <si>
    <t>432</t>
  </si>
  <si>
    <t>Steven Adams</t>
  </si>
  <si>
    <t>433</t>
  </si>
  <si>
    <t>Kyle Lowry</t>
  </si>
  <si>
    <t>434</t>
  </si>
  <si>
    <t>Olivier-Maxence Prosper</t>
  </si>
  <si>
    <t>.235</t>
  </si>
  <si>
    <t>435</t>
  </si>
  <si>
    <t>Patty Mills</t>
  </si>
  <si>
    <t>436</t>
  </si>
  <si>
    <t>Branden Carlson</t>
  </si>
  <si>
    <t>.677</t>
  </si>
  <si>
    <t>437</t>
  </si>
  <si>
    <t>Devin Carter</t>
  </si>
  <si>
    <t>438</t>
  </si>
  <si>
    <t>Ousmane Dieng</t>
  </si>
  <si>
    <t>439</t>
  </si>
  <si>
    <t>Markieff Morris</t>
  </si>
  <si>
    <t>.227</t>
  </si>
  <si>
    <t>.154</t>
  </si>
  <si>
    <t>440</t>
  </si>
  <si>
    <t>441</t>
  </si>
  <si>
    <t>DeAndre Jordan</t>
  </si>
  <si>
    <t>442</t>
  </si>
  <si>
    <t>443</t>
  </si>
  <si>
    <t>Jackson Rowe</t>
  </si>
  <si>
    <t>444</t>
  </si>
  <si>
    <t>Blake Wesley</t>
  </si>
  <si>
    <t>445</t>
  </si>
  <si>
    <t>JT Thor</t>
  </si>
  <si>
    <t>446</t>
  </si>
  <si>
    <t>Baylor Scheierman</t>
  </si>
  <si>
    <t>447</t>
  </si>
  <si>
    <t>Jae'Sean Tate</t>
  </si>
  <si>
    <t>448</t>
  </si>
  <si>
    <t>449</t>
  </si>
  <si>
    <t>Elfrid Payton</t>
  </si>
  <si>
    <t>450</t>
  </si>
  <si>
    <t>Luka Garza</t>
  </si>
  <si>
    <t>451</t>
  </si>
  <si>
    <t>452</t>
  </si>
  <si>
    <t>Doug McDermott</t>
  </si>
  <si>
    <t>453</t>
  </si>
  <si>
    <t>Dario Šarić</t>
  </si>
  <si>
    <t>.269</t>
  </si>
  <si>
    <t>454</t>
  </si>
  <si>
    <t>Jamaree Bouyea</t>
  </si>
  <si>
    <t>455</t>
  </si>
  <si>
    <t>Bruno Fernando</t>
  </si>
  <si>
    <t>456</t>
  </si>
  <si>
    <t>Andre Jackson Jr.</t>
  </si>
  <si>
    <t>457</t>
  </si>
  <si>
    <t>Isaac Jones</t>
  </si>
  <si>
    <t>458</t>
  </si>
  <si>
    <t>Kevin Knox</t>
  </si>
  <si>
    <t>459</t>
  </si>
  <si>
    <t>Damion Lee</t>
  </si>
  <si>
    <t>.952</t>
  </si>
  <si>
    <t>460</t>
  </si>
  <si>
    <t>Jeenathan Williams</t>
  </si>
  <si>
    <t>461</t>
  </si>
  <si>
    <t>Elijah Harkless</t>
  </si>
  <si>
    <t>.280</t>
  </si>
  <si>
    <t>462</t>
  </si>
  <si>
    <t>Zeke Nnaji</t>
  </si>
  <si>
    <t>463</t>
  </si>
  <si>
    <t>Cam Reddish</t>
  </si>
  <si>
    <t>464</t>
  </si>
  <si>
    <t>.268</t>
  </si>
  <si>
    <t>.303</t>
  </si>
  <si>
    <t>465</t>
  </si>
  <si>
    <t>466</t>
  </si>
  <si>
    <t>Gary Harris</t>
  </si>
  <si>
    <t>467</t>
  </si>
  <si>
    <t>Maxi Kleber</t>
  </si>
  <si>
    <t>.265</t>
  </si>
  <si>
    <t>468</t>
  </si>
  <si>
    <t>Taze Moore</t>
  </si>
  <si>
    <t>469</t>
  </si>
  <si>
    <t>Rayan Rupert</t>
  </si>
  <si>
    <t>470</t>
  </si>
  <si>
    <t>.643</t>
  </si>
  <si>
    <t>471</t>
  </si>
  <si>
    <t>Pete Nance</t>
  </si>
  <si>
    <t>472</t>
  </si>
  <si>
    <t>Markelle Fultz</t>
  </si>
  <si>
    <t>473</t>
  </si>
  <si>
    <t>Taj Gibson</t>
  </si>
  <si>
    <t>474</t>
  </si>
  <si>
    <t>Tyler Smith</t>
  </si>
  <si>
    <t>475</t>
  </si>
  <si>
    <t>RayJ Dennis</t>
  </si>
  <si>
    <t>476</t>
  </si>
  <si>
    <t>David Duke Jr.</t>
  </si>
  <si>
    <t>477</t>
  </si>
  <si>
    <t>Keshad Johnson</t>
  </si>
  <si>
    <t>478</t>
  </si>
  <si>
    <t>Reece Beekman</t>
  </si>
  <si>
    <t>.175</t>
  </si>
  <si>
    <t>479</t>
  </si>
  <si>
    <t>Jae Crowder</t>
  </si>
  <si>
    <t>480</t>
  </si>
  <si>
    <t>Josh Minott</t>
  </si>
  <si>
    <t>481</t>
  </si>
  <si>
    <t>Hunter Tyson</t>
  </si>
  <si>
    <t>482</t>
  </si>
  <si>
    <t>Jaden Springer</t>
  </si>
  <si>
    <t>.207</t>
  </si>
  <si>
    <t>483</t>
  </si>
  <si>
    <t>Trey Jemison</t>
  </si>
  <si>
    <t>484</t>
  </si>
  <si>
    <t>Anthony Gill</t>
  </si>
  <si>
    <t>485</t>
  </si>
  <si>
    <t>Dillon Jones</t>
  </si>
  <si>
    <t>486</t>
  </si>
  <si>
    <t>Pat Spencer</t>
  </si>
  <si>
    <t>487</t>
  </si>
  <si>
    <t>Johnny Davis</t>
  </si>
  <si>
    <t>.241</t>
  </si>
  <si>
    <t>488</t>
  </si>
  <si>
    <t>Christian Koloko</t>
  </si>
  <si>
    <t>489</t>
  </si>
  <si>
    <t>John Konchar</t>
  </si>
  <si>
    <t>490</t>
  </si>
  <si>
    <t>491</t>
  </si>
  <si>
    <t>Bronny James</t>
  </si>
  <si>
    <t>492</t>
  </si>
  <si>
    <t>Mason Jones</t>
  </si>
  <si>
    <t>493</t>
  </si>
  <si>
    <t>Miles Norris</t>
  </si>
  <si>
    <t>494</t>
  </si>
  <si>
    <t>Patrick Baldwin Jr.</t>
  </si>
  <si>
    <t>.729</t>
  </si>
  <si>
    <t>1.500</t>
  </si>
  <si>
    <t>495</t>
  </si>
  <si>
    <t>Drew Peterson</t>
  </si>
  <si>
    <t>496</t>
  </si>
  <si>
    <t>TyTy Washington Jr.</t>
  </si>
  <si>
    <t>.190</t>
  </si>
  <si>
    <t>497</t>
  </si>
  <si>
    <t>Jordan McLaughlin</t>
  </si>
  <si>
    <t>498</t>
  </si>
  <si>
    <t>JD Davison</t>
  </si>
  <si>
    <t>499</t>
  </si>
  <si>
    <t>Chris Duarte</t>
  </si>
  <si>
    <t>500</t>
  </si>
  <si>
    <t>Enrique Freeman</t>
  </si>
  <si>
    <t>501</t>
  </si>
  <si>
    <t>Johnny Furphy</t>
  </si>
  <si>
    <t>502</t>
  </si>
  <si>
    <t>Dwight Powell</t>
  </si>
  <si>
    <t>503</t>
  </si>
  <si>
    <t>Josh Christopher</t>
  </si>
  <si>
    <t>504</t>
  </si>
  <si>
    <t>505</t>
  </si>
  <si>
    <t>Adama Sanogo</t>
  </si>
  <si>
    <t>506</t>
  </si>
  <si>
    <t>Kobe Brown</t>
  </si>
  <si>
    <t>507</t>
  </si>
  <si>
    <t>Ariel Hukporti</t>
  </si>
  <si>
    <t>508</t>
  </si>
  <si>
    <t>Bobi Klintman</t>
  </si>
  <si>
    <t>509</t>
  </si>
  <si>
    <t>Garrett Temple</t>
  </si>
  <si>
    <t>.917</t>
  </si>
  <si>
    <t>510</t>
  </si>
  <si>
    <t>Jericho Sims</t>
  </si>
  <si>
    <t>511</t>
  </si>
  <si>
    <t>Vlatko Čančar</t>
  </si>
  <si>
    <t>512</t>
  </si>
  <si>
    <t>Adam Flagler</t>
  </si>
  <si>
    <t>.260</t>
  </si>
  <si>
    <t>.194</t>
  </si>
  <si>
    <t>513</t>
  </si>
  <si>
    <t>Trentyn Flowers</t>
  </si>
  <si>
    <t>514</t>
  </si>
  <si>
    <t>E.J. Liddell</t>
  </si>
  <si>
    <t>515</t>
  </si>
  <si>
    <t>Jahmir Young</t>
  </si>
  <si>
    <t>516</t>
  </si>
  <si>
    <t>Pacome Dadiet</t>
  </si>
  <si>
    <t>517</t>
  </si>
  <si>
    <t>Alex Ducas</t>
  </si>
  <si>
    <t>518</t>
  </si>
  <si>
    <t>PJ Hall</t>
  </si>
  <si>
    <t>519</t>
  </si>
  <si>
    <t>Emanuel Miller</t>
  </si>
  <si>
    <t>520</t>
  </si>
  <si>
    <t>521</t>
  </si>
  <si>
    <t>Alex Len</t>
  </si>
  <si>
    <t>522</t>
  </si>
  <si>
    <t>Yuki Kawamura</t>
  </si>
  <si>
    <t>523</t>
  </si>
  <si>
    <t>Jack McVeigh</t>
  </si>
  <si>
    <t>524</t>
  </si>
  <si>
    <t>Armel Traoré</t>
  </si>
  <si>
    <t>525</t>
  </si>
  <si>
    <t>Jordan Walsh</t>
  </si>
  <si>
    <t>526</t>
  </si>
  <si>
    <t>Phillip Wheeler</t>
  </si>
  <si>
    <t>527</t>
  </si>
  <si>
    <t>Sidy Cissoko</t>
  </si>
  <si>
    <t>528</t>
  </si>
  <si>
    <t>Jazian Gortman</t>
  </si>
  <si>
    <t>529</t>
  </si>
  <si>
    <t>Kevin McCullar Jr.</t>
  </si>
  <si>
    <t>530</t>
  </si>
  <si>
    <t>Leonard Miller</t>
  </si>
  <si>
    <t>531</t>
  </si>
  <si>
    <t>Quincy Olivari</t>
  </si>
  <si>
    <t>532</t>
  </si>
  <si>
    <t>Matt Ryan</t>
  </si>
  <si>
    <t>533</t>
  </si>
  <si>
    <t>Jacob Toppin</t>
  </si>
  <si>
    <t>534</t>
  </si>
  <si>
    <t>Cam Christie</t>
  </si>
  <si>
    <t>.292</t>
  </si>
  <si>
    <t>535</t>
  </si>
  <si>
    <t>Chris Livingston</t>
  </si>
  <si>
    <t>536</t>
  </si>
  <si>
    <t>Trey Alexander</t>
  </si>
  <si>
    <t>537</t>
  </si>
  <si>
    <t>Spencer Jones</t>
  </si>
  <si>
    <t>538</t>
  </si>
  <si>
    <t>Skal Labissière</t>
  </si>
  <si>
    <t>539</t>
  </si>
  <si>
    <t>Jalen Bridges</t>
  </si>
  <si>
    <t>540</t>
  </si>
  <si>
    <t>Yuri Collins</t>
  </si>
  <si>
    <t>541</t>
  </si>
  <si>
    <t>Daniss Jenkins</t>
  </si>
  <si>
    <t>542</t>
  </si>
  <si>
    <t>Braxton Key</t>
  </si>
  <si>
    <t>543</t>
  </si>
  <si>
    <t>Bryce McGowens</t>
  </si>
  <si>
    <t>544</t>
  </si>
  <si>
    <t>Xavier Tillman Sr.</t>
  </si>
  <si>
    <t>545</t>
  </si>
  <si>
    <t>546</t>
  </si>
  <si>
    <t>Isaiah Crawford</t>
  </si>
  <si>
    <t>547</t>
  </si>
  <si>
    <t>Justin Minaya</t>
  </si>
  <si>
    <t>548</t>
  </si>
  <si>
    <t>549</t>
  </si>
  <si>
    <t>D.J. Carton</t>
  </si>
  <si>
    <t>550</t>
  </si>
  <si>
    <t>PJ Dozier</t>
  </si>
  <si>
    <t>551</t>
  </si>
  <si>
    <t>Joe Ingles</t>
  </si>
  <si>
    <t>.261</t>
  </si>
  <si>
    <t>552</t>
  </si>
  <si>
    <t>Harrison Ingram</t>
  </si>
  <si>
    <t>553</t>
  </si>
  <si>
    <t>Ulrich Chomche</t>
  </si>
  <si>
    <t>554</t>
  </si>
  <si>
    <t>James Johnson</t>
  </si>
  <si>
    <t>555</t>
  </si>
  <si>
    <t>Liam Robbins</t>
  </si>
  <si>
    <t>556</t>
  </si>
  <si>
    <t>Stanley Umude</t>
  </si>
  <si>
    <t>.192</t>
  </si>
  <si>
    <t>557</t>
  </si>
  <si>
    <t>Cui Yongxi</t>
  </si>
  <si>
    <t>558</t>
  </si>
  <si>
    <t>Tristen Newton</t>
  </si>
  <si>
    <t>559</t>
  </si>
  <si>
    <t>Malevy Leons</t>
  </si>
  <si>
    <t>560</t>
  </si>
  <si>
    <t>Daishen Nix</t>
  </si>
  <si>
    <t>561</t>
  </si>
  <si>
    <t>Terence Davis</t>
  </si>
  <si>
    <t>562</t>
  </si>
  <si>
    <t>Jesse Edwards</t>
  </si>
  <si>
    <t>563</t>
  </si>
  <si>
    <t>Mac McClung</t>
  </si>
  <si>
    <t>564</t>
  </si>
  <si>
    <t>Jalen McDaniels</t>
  </si>
  <si>
    <t>565</t>
  </si>
  <si>
    <t>Riley Minix</t>
  </si>
  <si>
    <t>566</t>
  </si>
  <si>
    <t>Jahlil Okafor</t>
  </si>
  <si>
    <t>567</t>
  </si>
  <si>
    <t>Zyon Pullin</t>
  </si>
  <si>
    <t>568</t>
  </si>
  <si>
    <t>Isaiah Stevens</t>
  </si>
  <si>
    <t>569</t>
  </si>
  <si>
    <t>Terry Taylor</t>
  </si>
  <si>
    <t>League Average</t>
  </si>
  <si>
    <t>Player Per Game Table</t>
  </si>
  <si>
    <t>Conf</t>
  </si>
  <si>
    <t>Div</t>
  </si>
  <si>
    <t>W</t>
  </si>
  <si>
    <t>L</t>
  </si>
  <si>
    <t>W/L%</t>
  </si>
  <si>
    <t>MOV</t>
  </si>
  <si>
    <t>ORtg</t>
  </si>
  <si>
    <t>DRtg</t>
  </si>
  <si>
    <t>NRtg</t>
  </si>
  <si>
    <t>MOV/A</t>
  </si>
  <si>
    <t>ORtg/A</t>
  </si>
  <si>
    <t>DRtg/A</t>
  </si>
  <si>
    <t>NRtg/A</t>
  </si>
  <si>
    <t>NW</t>
  </si>
  <si>
    <t>12.87</t>
  </si>
  <si>
    <t>120.33</t>
  </si>
  <si>
    <t>107.61</t>
  </si>
  <si>
    <t>12.72</t>
  </si>
  <si>
    <t>12.70</t>
  </si>
  <si>
    <t>120.16</t>
  </si>
  <si>
    <t>12.56</t>
  </si>
  <si>
    <t>E</t>
  </si>
  <si>
    <t>9.54</t>
  </si>
  <si>
    <t>121.88</t>
  </si>
  <si>
    <t>112.34</t>
  </si>
  <si>
    <t>8.81</t>
  </si>
  <si>
    <t>121.73</t>
  </si>
  <si>
    <t>112.91</t>
  </si>
  <si>
    <t>8.82</t>
  </si>
  <si>
    <t>A</t>
  </si>
  <si>
    <t>9.11</t>
  </si>
  <si>
    <t>120.83</t>
  </si>
  <si>
    <t>111.32</t>
  </si>
  <si>
    <t>9.51</t>
  </si>
  <si>
    <t>8.28</t>
  </si>
  <si>
    <t>120.59</t>
  </si>
  <si>
    <t>111.92</t>
  </si>
  <si>
    <t>8.67</t>
  </si>
  <si>
    <t>5.00</t>
  </si>
  <si>
    <t>116.72</t>
  </si>
  <si>
    <t>111.53</t>
  </si>
  <si>
    <t>5.19</t>
  </si>
  <si>
    <t>5.15</t>
  </si>
  <si>
    <t>116.62</t>
  </si>
  <si>
    <t>111.29</t>
  </si>
  <si>
    <t>5.32</t>
  </si>
  <si>
    <t>Los Angeles Clippers</t>
  </si>
  <si>
    <t>P</t>
  </si>
  <si>
    <t>4.66</t>
  </si>
  <si>
    <t>115.20</t>
  </si>
  <si>
    <t>110.43</t>
  </si>
  <si>
    <t>4.77</t>
  </si>
  <si>
    <t>4.84</t>
  </si>
  <si>
    <t>115.03</t>
  </si>
  <si>
    <t>110.10</t>
  </si>
  <si>
    <t>4.93</t>
  </si>
  <si>
    <t>SW</t>
  </si>
  <si>
    <t>4.51</t>
  </si>
  <si>
    <t>115.23</t>
  </si>
  <si>
    <t>110.89</t>
  </si>
  <si>
    <t>4.34</t>
  </si>
  <si>
    <t>4.96</t>
  </si>
  <si>
    <t>115.37</t>
  </si>
  <si>
    <t>110.57</t>
  </si>
  <si>
    <t>4.79</t>
  </si>
  <si>
    <t>4.85</t>
  </si>
  <si>
    <t>117.83</t>
  </si>
  <si>
    <t>113.11</t>
  </si>
  <si>
    <t>4.72</t>
  </si>
  <si>
    <t>117.74</t>
  </si>
  <si>
    <t>113.09</t>
  </si>
  <si>
    <t>4.65</t>
  </si>
  <si>
    <t>3.89</t>
  </si>
  <si>
    <t>119.97</t>
  </si>
  <si>
    <t>116.20</t>
  </si>
  <si>
    <t>3.77</t>
  </si>
  <si>
    <t>3.97</t>
  </si>
  <si>
    <t>120.03</t>
  </si>
  <si>
    <t>116.18</t>
  </si>
  <si>
    <t>3.85</t>
  </si>
  <si>
    <t>4.10</t>
  </si>
  <si>
    <t>118.42</t>
  </si>
  <si>
    <t>114.34</t>
  </si>
  <si>
    <t>4.09</t>
  </si>
  <si>
    <t>3.59</t>
  </si>
  <si>
    <t>118.37</t>
  </si>
  <si>
    <t>114.79</t>
  </si>
  <si>
    <t>3.30</t>
  </si>
  <si>
    <t>115.09</t>
  </si>
  <si>
    <t>111.81</t>
  </si>
  <si>
    <t>3.28</t>
  </si>
  <si>
    <t>3.56</t>
  </si>
  <si>
    <t>115.08</t>
  </si>
  <si>
    <t>111.55</t>
  </si>
  <si>
    <t>3.53</t>
  </si>
  <si>
    <t>2.48</t>
  </si>
  <si>
    <t>115.99</t>
  </si>
  <si>
    <t>113.52</t>
  </si>
  <si>
    <t>2.47</t>
  </si>
  <si>
    <t>2.12</t>
  </si>
  <si>
    <t>115.93</t>
  </si>
  <si>
    <t>113.81</t>
  </si>
  <si>
    <t>1.90</t>
  </si>
  <si>
    <t>115.05</t>
  </si>
  <si>
    <t>113.12</t>
  </si>
  <si>
    <t>1.93</t>
  </si>
  <si>
    <t>1.73</t>
  </si>
  <si>
    <t>114.98</t>
  </si>
  <si>
    <t>113.21</t>
  </si>
  <si>
    <t>1.77</t>
  </si>
  <si>
    <t>2.23</t>
  </si>
  <si>
    <t>116.67</t>
  </si>
  <si>
    <t>114.36</t>
  </si>
  <si>
    <t>2.30</t>
  </si>
  <si>
    <t>1.68</t>
  </si>
  <si>
    <t>116.58</t>
  </si>
  <si>
    <t>114.83</t>
  </si>
  <si>
    <t>1.75</t>
  </si>
  <si>
    <t>1.22</t>
  </si>
  <si>
    <t>115.92</t>
  </si>
  <si>
    <t>114.70</t>
  </si>
  <si>
    <t>1.45</t>
  </si>
  <si>
    <t>115.91</t>
  </si>
  <si>
    <t>114.46</t>
  </si>
  <si>
    <t>0.48</t>
  </si>
  <si>
    <t>116.86</t>
  </si>
  <si>
    <t>116.35</t>
  </si>
  <si>
    <t>0.51</t>
  </si>
  <si>
    <t>0.58</t>
  </si>
  <si>
    <t>116.24</t>
  </si>
  <si>
    <t>0.62</t>
  </si>
  <si>
    <t>SE</t>
  </si>
  <si>
    <t>0.56</t>
  </si>
  <si>
    <t>113.61</t>
  </si>
  <si>
    <t>113.07</t>
  </si>
  <si>
    <t>0.54</t>
  </si>
  <si>
    <t>0.11</t>
  </si>
  <si>
    <t>113.50</t>
  </si>
  <si>
    <t>113.41</t>
  </si>
  <si>
    <t>0.09</t>
  </si>
  <si>
    <t>-0.12</t>
  </si>
  <si>
    <t>109.46</t>
  </si>
  <si>
    <t>109.54</t>
  </si>
  <si>
    <t>-0.08</t>
  </si>
  <si>
    <t>-0.70</t>
  </si>
  <si>
    <t>109.11</t>
  </si>
  <si>
    <t>109.77</t>
  </si>
  <si>
    <t>-0.66</t>
  </si>
  <si>
    <t>-1.20</t>
  </si>
  <si>
    <t>114.90</t>
  </si>
  <si>
    <t>116.05</t>
  </si>
  <si>
    <t>-1.15</t>
  </si>
  <si>
    <t>-0.74</t>
  </si>
  <si>
    <t>115.06</t>
  </si>
  <si>
    <t>115.76</t>
  </si>
  <si>
    <t>-0.71</t>
  </si>
  <si>
    <t>-1.13</t>
  </si>
  <si>
    <t>114.74</t>
  </si>
  <si>
    <t>115.74</t>
  </si>
  <si>
    <t>-1.00</t>
  </si>
  <si>
    <t>-1.41</t>
  </si>
  <si>
    <t>114.78</t>
  </si>
  <si>
    <t>-1.27</t>
  </si>
  <si>
    <t>-1.56</t>
  </si>
  <si>
    <t>114.28</t>
  </si>
  <si>
    <t>115.77</t>
  </si>
  <si>
    <t>-1.49</t>
  </si>
  <si>
    <t>-1.83</t>
  </si>
  <si>
    <t>114.23</t>
  </si>
  <si>
    <t>115.98</t>
  </si>
  <si>
    <t>-1.75</t>
  </si>
  <si>
    <t>-2.76</t>
  </si>
  <si>
    <t>114.53</t>
  </si>
  <si>
    <t>117.23</t>
  </si>
  <si>
    <t>-2.71</t>
  </si>
  <si>
    <t>-2.45</t>
  </si>
  <si>
    <t>114.65</t>
  </si>
  <si>
    <t>117.06</t>
  </si>
  <si>
    <t>-2.41</t>
  </si>
  <si>
    <t>-2.98</t>
  </si>
  <si>
    <t>111.95</t>
  </si>
  <si>
    <t>114.75</t>
  </si>
  <si>
    <t>-2.80</t>
  </si>
  <si>
    <t>-2.66</t>
  </si>
  <si>
    <t>111.84</t>
  </si>
  <si>
    <t>114.33</t>
  </si>
  <si>
    <t>-2.50</t>
  </si>
  <si>
    <t>-3.00</t>
  </si>
  <si>
    <t>116.26</t>
  </si>
  <si>
    <t>119.30</t>
  </si>
  <si>
    <t>-3.04</t>
  </si>
  <si>
    <t>-2.55</t>
  </si>
  <si>
    <t>116.49</t>
  </si>
  <si>
    <t>119.09</t>
  </si>
  <si>
    <t>-2.60</t>
  </si>
  <si>
    <t>-4.29</t>
  </si>
  <si>
    <t>110.52</t>
  </si>
  <si>
    <t>114.93</t>
  </si>
  <si>
    <t>-4.41</t>
  </si>
  <si>
    <t>-4.40</t>
  </si>
  <si>
    <t>110.51</t>
  </si>
  <si>
    <t>115.02</t>
  </si>
  <si>
    <t>-4.51</t>
  </si>
  <si>
    <t>-6.23</t>
  </si>
  <si>
    <t>111.91</t>
  </si>
  <si>
    <t>118.33</t>
  </si>
  <si>
    <t>-6.42</t>
  </si>
  <si>
    <t>-6.29</t>
  </si>
  <si>
    <t>112.08</t>
  </si>
  <si>
    <t>118.55</t>
  </si>
  <si>
    <t>-6.46</t>
  </si>
  <si>
    <t>-7.11</t>
  </si>
  <si>
    <t>108.62</t>
  </si>
  <si>
    <t>115.83</t>
  </si>
  <si>
    <t>-7.21</t>
  </si>
  <si>
    <t>-6.95</t>
  </si>
  <si>
    <t>108.69</t>
  </si>
  <si>
    <t>-7.04</t>
  </si>
  <si>
    <t>-9.34</t>
  </si>
  <si>
    <t>111.24</t>
  </si>
  <si>
    <t>120.61</t>
  </si>
  <si>
    <t>-9.37</t>
  </si>
  <si>
    <t>-8.51</t>
  </si>
  <si>
    <t>111.56</t>
  </si>
  <si>
    <t>120.10</t>
  </si>
  <si>
    <t>-8.54</t>
  </si>
  <si>
    <t>.256</t>
  </si>
  <si>
    <t>-9.43</t>
  </si>
  <si>
    <t>110.39</t>
  </si>
  <si>
    <t>120.01</t>
  </si>
  <si>
    <t>-9.62</t>
  </si>
  <si>
    <t>-8.59</t>
  </si>
  <si>
    <t>110.70</t>
  </si>
  <si>
    <t>119.49</t>
  </si>
  <si>
    <t>-8.78</t>
  </si>
  <si>
    <t>.232</t>
  </si>
  <si>
    <t>-9.11</t>
  </si>
  <si>
    <t>107.37</t>
  </si>
  <si>
    <t>116.65</t>
  </si>
  <si>
    <t>-9.28</t>
  </si>
  <si>
    <t>-9.10</t>
  </si>
  <si>
    <t>107.42</t>
  </si>
  <si>
    <t>-9.25</t>
  </si>
  <si>
    <t>Washington Wizards</t>
  </si>
  <si>
    <t>.220</t>
  </si>
  <si>
    <t>-12.44</t>
  </si>
  <si>
    <t>106.79</t>
  </si>
  <si>
    <t>119.12</t>
  </si>
  <si>
    <t>-12.33</t>
  </si>
  <si>
    <t>-12.13</t>
  </si>
  <si>
    <t>106.99</t>
  </si>
  <si>
    <t>119.01</t>
  </si>
  <si>
    <t>-12.02</t>
  </si>
  <si>
    <t>Team Ratings Stats</t>
  </si>
  <si>
    <t>RK</t>
  </si>
  <si>
    <t>Team_ID</t>
  </si>
  <si>
    <t>Def. Ref</t>
  </si>
  <si>
    <t>Def Rating</t>
  </si>
  <si>
    <t>AVERAGE</t>
  </si>
  <si>
    <t>Home Team</t>
  </si>
  <si>
    <t>Away Team</t>
  </si>
  <si>
    <t>xMP</t>
  </si>
  <si>
    <t>FGA + FTA</t>
  </si>
  <si>
    <t>xFGA+FTA</t>
  </si>
  <si>
    <t>2P Attempts Poss.</t>
  </si>
  <si>
    <t>2P AVG</t>
  </si>
  <si>
    <t>3P Attempts Poss</t>
  </si>
  <si>
    <t>3PAVG</t>
  </si>
  <si>
    <t>FT Attempts Poss</t>
  </si>
  <si>
    <t>FT AVG</t>
  </si>
  <si>
    <t>PTS AVG</t>
  </si>
  <si>
    <t>Rank</t>
  </si>
  <si>
    <t>Sim Pts.</t>
  </si>
  <si>
    <t>Prop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</si>
  <si>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</si>
  <si>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</si>
  <si>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</si>
  <si>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</si>
  <si>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</si>
  <si>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</si>
  <si>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</si>
  <si>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</si>
  <si>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</si>
  <si>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</si>
  <si>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</si>
  <si>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</si>
  <si>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</si>
  <si>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</si>
  <si>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</si>
  <si>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</si>
  <si>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</si>
  <si>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</si>
  <si>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</si>
  <si>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</si>
  <si>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 of Players</t>
  </si>
  <si>
    <t xml:space="preserve"> </t>
  </si>
  <si>
    <t>Date</t>
  </si>
  <si>
    <t>Start (ET)</t>
  </si>
  <si>
    <t>Visitor/Neutral</t>
  </si>
  <si>
    <t>Home/Neutral</t>
  </si>
  <si>
    <t>PTS_1</t>
  </si>
  <si>
    <t>_2</t>
  </si>
  <si>
    <t>Attend.</t>
  </si>
  <si>
    <t>LOG</t>
  </si>
  <si>
    <t>Arena</t>
  </si>
  <si>
    <t>Notes</t>
  </si>
  <si>
    <t>7:30p</t>
  </si>
  <si>
    <t>Box Score</t>
  </si>
  <si>
    <t>Little Caesars Arena</t>
  </si>
  <si>
    <t>10:00p</t>
  </si>
  <si>
    <t>Intuit Dome</t>
  </si>
  <si>
    <t>9:00p</t>
  </si>
  <si>
    <t>Chase Center</t>
  </si>
  <si>
    <t>Ball Arena</t>
  </si>
  <si>
    <t>6:00p</t>
  </si>
  <si>
    <t>Rocket Arena</t>
  </si>
  <si>
    <t>8:30p</t>
  </si>
  <si>
    <t>Toyota Center</t>
  </si>
  <si>
    <t>7:00p</t>
  </si>
  <si>
    <t>TD Garden</t>
  </si>
  <si>
    <t>9:30p</t>
  </si>
  <si>
    <t>Paycom Center</t>
  </si>
  <si>
    <t>Target Center</t>
  </si>
  <si>
    <t>Gainbridge Fieldhouse</t>
  </si>
  <si>
    <t>3:30p</t>
  </si>
  <si>
    <t>Madison Square Garden (IV)</t>
  </si>
  <si>
    <t>8:00p</t>
  </si>
  <si>
    <t>Matchup</t>
  </si>
  <si>
    <t>Edge</t>
  </si>
  <si>
    <t>Timberwolves 3s Reb Off</t>
  </si>
  <si>
    <t>Player Spreads</t>
  </si>
  <si>
    <t>Avg</t>
  </si>
  <si>
    <t>Tim Hardaway jr</t>
  </si>
  <si>
    <t>pistons</t>
  </si>
  <si>
    <t>pts</t>
  </si>
  <si>
    <t>Giannis</t>
  </si>
  <si>
    <t>Rebs</t>
  </si>
  <si>
    <t xml:space="preserve">Anthony Davis </t>
  </si>
  <si>
    <t xml:space="preserve">pts </t>
  </si>
  <si>
    <t>PJ Washington</t>
  </si>
  <si>
    <t>Terrance MAnn</t>
  </si>
  <si>
    <t>rebs</t>
  </si>
  <si>
    <t>3s</t>
  </si>
  <si>
    <t>Siakem</t>
  </si>
  <si>
    <t>under</t>
  </si>
  <si>
    <t>over</t>
  </si>
  <si>
    <t>jaylen brown</t>
  </si>
  <si>
    <t>Anfernee Simmons (might be out)</t>
  </si>
  <si>
    <t>tblazers</t>
  </si>
  <si>
    <t>Poeltl</t>
  </si>
  <si>
    <t>Dort</t>
  </si>
  <si>
    <t>Booker (KD out)</t>
  </si>
  <si>
    <t>Jrue</t>
  </si>
  <si>
    <t>Van Fleet</t>
  </si>
  <si>
    <t>castle</t>
  </si>
  <si>
    <t>spurs</t>
  </si>
  <si>
    <t>Jakobe walter</t>
  </si>
  <si>
    <t>`</t>
  </si>
  <si>
    <t>Deni avidja</t>
  </si>
  <si>
    <t>Deandre hunter</t>
  </si>
  <si>
    <t>cavs</t>
  </si>
  <si>
    <t>Over</t>
  </si>
  <si>
    <t>Sabonis</t>
  </si>
  <si>
    <t>Tatum</t>
  </si>
  <si>
    <t>Haliburton</t>
  </si>
  <si>
    <t>Sengun</t>
  </si>
  <si>
    <t>Jarret all</t>
  </si>
  <si>
    <t>Zach Lavine</t>
  </si>
  <si>
    <t xml:space="preserve">Derozan </t>
  </si>
  <si>
    <t>Win</t>
  </si>
  <si>
    <t>Loss</t>
  </si>
  <si>
    <t>ss</t>
  </si>
  <si>
    <t>Under</t>
  </si>
  <si>
    <t>Miss</t>
  </si>
  <si>
    <t>OVer</t>
  </si>
  <si>
    <t>MIN - C-F</t>
  </si>
  <si>
    <t>X</t>
  </si>
  <si>
    <t>Timberwoives</t>
  </si>
  <si>
    <t>Luka Doncic</t>
  </si>
  <si>
    <t>NOP - G</t>
  </si>
  <si>
    <t>NOP - C</t>
  </si>
  <si>
    <t>Miss under</t>
  </si>
  <si>
    <t>NYK - F</t>
  </si>
  <si>
    <t>Deni Avidja</t>
  </si>
  <si>
    <t>DNP</t>
  </si>
  <si>
    <t>Miss Over</t>
  </si>
  <si>
    <t xml:space="preserve"> Scottie Barnes</t>
  </si>
  <si>
    <t>NYK - G</t>
  </si>
  <si>
    <t>Dereck Lively</t>
  </si>
  <si>
    <t>BKN - G</t>
  </si>
  <si>
    <t>Nicolas Claxton</t>
  </si>
  <si>
    <t>BKN - C</t>
  </si>
  <si>
    <t>NYK - G-F</t>
  </si>
  <si>
    <t>Miss Bench played more min</t>
  </si>
  <si>
    <t>Caris Levert</t>
  </si>
  <si>
    <t>NOP - G-F</t>
  </si>
  <si>
    <t>Jonathon Mogbo</t>
  </si>
  <si>
    <t>Keion Brooks</t>
  </si>
  <si>
    <t>NOP - F</t>
  </si>
  <si>
    <t xml:space="preserve"> Naji Marshall</t>
  </si>
  <si>
    <t>Daniel gafford</t>
  </si>
  <si>
    <t>BKN - F</t>
  </si>
  <si>
    <t>BKN - G-F</t>
  </si>
  <si>
    <t>Jusuf Nurkic</t>
  </si>
  <si>
    <t>NYK - C-F</t>
  </si>
  <si>
    <t xml:space="preserve"> Austin reaves</t>
  </si>
  <si>
    <t>Rui Hachmura</t>
  </si>
  <si>
    <t>Alperen Sengun</t>
  </si>
  <si>
    <t>Matas B uzelis</t>
  </si>
  <si>
    <t>Lebron James</t>
  </si>
  <si>
    <t>Correct</t>
  </si>
  <si>
    <t>Wrong</t>
  </si>
  <si>
    <t>Desk 1</t>
  </si>
  <si>
    <t>Desk 2</t>
  </si>
  <si>
    <t>plugs on top of desk</t>
  </si>
  <si>
    <t>PC holder</t>
  </si>
  <si>
    <t>66Inches</t>
  </si>
  <si>
    <t xml:space="preserve">bandos </t>
  </si>
  <si>
    <t>cryutch</t>
  </si>
  <si>
    <t>3K</t>
  </si>
  <si>
    <t>takeogg</t>
  </si>
  <si>
    <t>5k</t>
  </si>
  <si>
    <t xml:space="preserve">Pills </t>
  </si>
  <si>
    <t>not for sale</t>
  </si>
  <si>
    <t xml:space="preserve">no pay crutch </t>
  </si>
  <si>
    <t>35-45m</t>
  </si>
  <si>
    <t>Sell bottles</t>
  </si>
  <si>
    <t>t/me</t>
  </si>
  <si>
    <t>type messages to patioeints</t>
  </si>
  <si>
    <t>FLA</t>
  </si>
  <si>
    <t>3PT</t>
  </si>
  <si>
    <t>REB</t>
  </si>
  <si>
    <t>AUB</t>
  </si>
  <si>
    <t>MIN2</t>
  </si>
  <si>
    <t>3PT3</t>
  </si>
  <si>
    <t>REB4</t>
  </si>
  <si>
    <t>AST5</t>
  </si>
  <si>
    <t>PTS6</t>
  </si>
  <si>
    <t>Alex Condon 21</t>
  </si>
  <si>
    <t>0-2</t>
  </si>
  <si>
    <t>Johni Broome 4</t>
  </si>
  <si>
    <t>1-3</t>
  </si>
  <si>
    <t>Tyrese Proctor#5</t>
  </si>
  <si>
    <t>Duke</t>
  </si>
  <si>
    <t>Rueben Chinyelu 9</t>
  </si>
  <si>
    <t>0-0</t>
  </si>
  <si>
    <t>Dylan Cardwell 44</t>
  </si>
  <si>
    <t>Cooper Flagg#2</t>
  </si>
  <si>
    <t>Denzel Aberdeen 11</t>
  </si>
  <si>
    <t>2-5</t>
  </si>
  <si>
    <t>Chad Baker-Mazara 10</t>
  </si>
  <si>
    <t>Milos Uzan#7</t>
  </si>
  <si>
    <t>Houston</t>
  </si>
  <si>
    <t>Will Richard 5</t>
  </si>
  <si>
    <t>2-9</t>
  </si>
  <si>
    <t>Denver Jones 2</t>
  </si>
  <si>
    <t>0-1</t>
  </si>
  <si>
    <t>Sion James#14</t>
  </si>
  <si>
    <t>Walter Clayton Jr. 1</t>
  </si>
  <si>
    <t>4-8</t>
  </si>
  <si>
    <t>Miles Kelly 13</t>
  </si>
  <si>
    <t>3-9</t>
  </si>
  <si>
    <t>J'Wan Roberts#13</t>
  </si>
  <si>
    <t>Baker Mazara</t>
  </si>
  <si>
    <t>Auburn</t>
  </si>
  <si>
    <t>Sam Alexis 4</t>
  </si>
  <si>
    <t>1-2</t>
  </si>
  <si>
    <t>Chaney Johnson 31</t>
  </si>
  <si>
    <t>Florida</t>
  </si>
  <si>
    <t>Thomas Haugh 1 0</t>
  </si>
  <si>
    <t>1-4</t>
  </si>
  <si>
    <t>Ja'Heim Hudson 8</t>
  </si>
  <si>
    <t>Urban Klavzar 7</t>
  </si>
  <si>
    <t>3-3</t>
  </si>
  <si>
    <t>Chris Moore 5</t>
  </si>
  <si>
    <t>Tahaad Pettiford 0</t>
  </si>
  <si>
    <t>4-5</t>
  </si>
  <si>
    <t>Khaman Maluach#9</t>
  </si>
  <si>
    <t>DUKE</t>
  </si>
  <si>
    <t>Joseph Tugler#11</t>
  </si>
  <si>
    <t>Emanuel Sharp#21</t>
  </si>
  <si>
    <t>Kon Knueppel#7</t>
  </si>
  <si>
    <t>2-4</t>
  </si>
  <si>
    <t>4-10</t>
  </si>
  <si>
    <t>L.J. Cryer#4</t>
  </si>
  <si>
    <t>2-8</t>
  </si>
  <si>
    <t>alijah martin</t>
  </si>
  <si>
    <t>Ja'Vier Francis#5</t>
  </si>
  <si>
    <t>Maliq Brown#6</t>
  </si>
  <si>
    <t>Cedric Lath#2</t>
  </si>
  <si>
    <t>Mason Gillis#18</t>
  </si>
  <si>
    <t>Terrance Arceneaux#23</t>
  </si>
  <si>
    <t>2-3</t>
  </si>
  <si>
    <t>Patrick Ngongba II#21</t>
  </si>
  <si>
    <t>Kordelius Jefferson#0</t>
  </si>
  <si>
    <t>Isaiah Evans#3</t>
  </si>
  <si>
    <t>Mercy Miller#25</t>
  </si>
  <si>
    <t>Caleb Foster#1</t>
  </si>
  <si>
    <t>1-1</t>
  </si>
  <si>
    <t>Mylik Wilson#8</t>
  </si>
  <si>
    <t>GP</t>
  </si>
  <si>
    <t>AB</t>
  </si>
  <si>
    <t>R</t>
  </si>
  <si>
    <t>H</t>
  </si>
  <si>
    <t>2B</t>
  </si>
  <si>
    <t>3B</t>
  </si>
  <si>
    <t>HR</t>
  </si>
  <si>
    <t>RBI</t>
  </si>
  <si>
    <t>TB</t>
  </si>
  <si>
    <t>BB</t>
  </si>
  <si>
    <t>SO</t>
  </si>
  <si>
    <t>SB</t>
  </si>
  <si>
    <t>AVG</t>
  </si>
  <si>
    <t>OBP</t>
  </si>
  <si>
    <t>SLG</t>
  </si>
  <si>
    <t>OPS</t>
  </si>
  <si>
    <t>ERA</t>
  </si>
  <si>
    <t>SV</t>
  </si>
  <si>
    <t>CG</t>
  </si>
  <si>
    <t>SHO</t>
  </si>
  <si>
    <t>QS</t>
  </si>
  <si>
    <t>IP</t>
  </si>
  <si>
    <t>ER</t>
  </si>
  <si>
    <t>OBA</t>
  </si>
  <si>
    <t>WHIP</t>
  </si>
  <si>
    <t>New York Yankees</t>
  </si>
  <si>
    <t>Houston Astros</t>
  </si>
  <si>
    <t>Athletics</t>
  </si>
  <si>
    <t>Los Angeles Dodgers</t>
  </si>
  <si>
    <t>San Diego Padres</t>
  </si>
  <si>
    <t>Texas Rangers</t>
  </si>
  <si>
    <t>Boston Red Sox</t>
  </si>
  <si>
    <t>Philadelphia Phillies</t>
  </si>
  <si>
    <t>Los Angeles Angels</t>
  </si>
  <si>
    <t>Toronto Blue Jays</t>
  </si>
  <si>
    <t>San Francisco Giants</t>
  </si>
  <si>
    <t>Tampa Bay Rays</t>
  </si>
  <si>
    <t>Colorado Rockies</t>
  </si>
  <si>
    <t>Milwaukee Brewers</t>
  </si>
  <si>
    <t>New York Mets</t>
  </si>
  <si>
    <t>Arizona Diamondbacks</t>
  </si>
  <si>
    <t>Kansas City Royals</t>
  </si>
  <si>
    <t>Seattle Mariners</t>
  </si>
  <si>
    <t>Pittsburgh Pirates</t>
  </si>
  <si>
    <t>Chicago Cubs</t>
  </si>
  <si>
    <t>Miami Marlins</t>
  </si>
  <si>
    <t>St. Louis Cardinals</t>
  </si>
  <si>
    <t>Cincinnati Reds</t>
  </si>
  <si>
    <t>Minnesota Twins</t>
  </si>
  <si>
    <t>Cleveland Guardians</t>
  </si>
  <si>
    <t>Atlanta Braves</t>
  </si>
  <si>
    <t>Baltimore Orioles</t>
  </si>
  <si>
    <t>Detroit Tigers</t>
  </si>
  <si>
    <t>Washington Nationals</t>
  </si>
  <si>
    <t>Chicago White Sox</t>
  </si>
  <si>
    <t>Worst Team Runs</t>
  </si>
  <si>
    <t>MOst team Runs</t>
  </si>
  <si>
    <t>Hits</t>
  </si>
  <si>
    <t>Most Hits</t>
  </si>
  <si>
    <t>RBIs</t>
  </si>
  <si>
    <t>Most RBI</t>
  </si>
  <si>
    <t>Most Hits Allowed</t>
  </si>
  <si>
    <t>Least Hits Allowed</t>
  </si>
  <si>
    <t>Most Earned Runs</t>
  </si>
  <si>
    <t>Least Earned Runs</t>
  </si>
  <si>
    <t>Least KOs</t>
  </si>
  <si>
    <t>Most KOs</t>
  </si>
  <si>
    <t>f</t>
  </si>
  <si>
    <t>Matchups</t>
  </si>
  <si>
    <t>Washington</t>
  </si>
  <si>
    <t>     Pittsburgh</t>
  </si>
  <si>
    <t>San Francisco</t>
  </si>
  <si>
    <t>     Philadelphia</t>
  </si>
  <si>
    <t>Boston</t>
  </si>
  <si>
    <t>     Tampa Bay</t>
  </si>
  <si>
    <t>Kansas City</t>
  </si>
  <si>
    <t>     New York</t>
  </si>
  <si>
    <t>Atlanta</t>
  </si>
  <si>
    <t>     Toronto</t>
  </si>
  <si>
    <t>Detroit</t>
  </si>
  <si>
    <t>     Milwaukee</t>
  </si>
  <si>
    <t>New York</t>
  </si>
  <si>
    <t>     Minnesota</t>
  </si>
  <si>
    <t>     St. Louis</t>
  </si>
  <si>
    <t>Chicago</t>
  </si>
  <si>
    <t>     San Diego</t>
  </si>
  <si>
    <t>12.83</t>
  </si>
  <si>
    <t>119.64</t>
  </si>
  <si>
    <t>106.98</t>
  </si>
  <si>
    <t>12.66</t>
  </si>
  <si>
    <t>11.95</t>
  </si>
  <si>
    <t>119.47</t>
  </si>
  <si>
    <t>107.66</t>
  </si>
  <si>
    <t>11.81</t>
  </si>
  <si>
    <t>.756</t>
  </si>
  <si>
    <t>7.20</t>
  </si>
  <si>
    <t>116.66</t>
  </si>
  <si>
    <t>7.13</t>
  </si>
  <si>
    <t>6.06</t>
  </si>
  <si>
    <t>109.82</t>
  </si>
  <si>
    <t>6.02</t>
  </si>
  <si>
    <t>6.20</t>
  </si>
  <si>
    <t>119.68</t>
  </si>
  <si>
    <t>113.25</t>
  </si>
  <si>
    <t>6.43</t>
  </si>
  <si>
    <t>5.73</t>
  </si>
  <si>
    <t>119.58</t>
  </si>
  <si>
    <t>113.63</t>
  </si>
  <si>
    <t>5.95</t>
  </si>
  <si>
    <t>6.67</t>
  </si>
  <si>
    <t>121.37</t>
  </si>
  <si>
    <t>114.41</t>
  </si>
  <si>
    <t>6.96</t>
  </si>
  <si>
    <t>5.67</t>
  </si>
  <si>
    <t>121.08</t>
  </si>
  <si>
    <t>115.16</t>
  </si>
  <si>
    <t>5.92</t>
  </si>
  <si>
    <t>117.38</t>
  </si>
  <si>
    <t>112.37</t>
  </si>
  <si>
    <t>5.01</t>
  </si>
  <si>
    <t>117.24</t>
  </si>
  <si>
    <t>112.28</t>
  </si>
  <si>
    <t>4.39</t>
  </si>
  <si>
    <t>119.96</t>
  </si>
  <si>
    <t>4.59</t>
  </si>
  <si>
    <t>3.70</t>
  </si>
  <si>
    <t>120.06</t>
  </si>
  <si>
    <t>116.19</t>
  </si>
  <si>
    <t>3.87</t>
  </si>
  <si>
    <t>4.64</t>
  </si>
  <si>
    <t>117.27</t>
  </si>
  <si>
    <t>112.90</t>
  </si>
  <si>
    <t>4.38</t>
  </si>
  <si>
    <t>3.84</t>
  </si>
  <si>
    <t>116.41</t>
  </si>
  <si>
    <t>112.82</t>
  </si>
  <si>
    <t>122.04</t>
  </si>
  <si>
    <t>117.69</t>
  </si>
  <si>
    <t>4.35</t>
  </si>
  <si>
    <t>3.14</t>
  </si>
  <si>
    <t>121.80</t>
  </si>
  <si>
    <t>118.65</t>
  </si>
  <si>
    <t>2.60</t>
  </si>
  <si>
    <t>115.66</t>
  </si>
  <si>
    <t>112.83</t>
  </si>
  <si>
    <t>2.83</t>
  </si>
  <si>
    <t>2.74</t>
  </si>
  <si>
    <t>115.88</t>
  </si>
  <si>
    <t>112.93</t>
  </si>
  <si>
    <t>2.95</t>
  </si>
  <si>
    <t>2.43</t>
  </si>
  <si>
    <t>113.32</t>
  </si>
  <si>
    <t>2.56</t>
  </si>
  <si>
    <t>2.42</t>
  </si>
  <si>
    <t>115.68</t>
  </si>
  <si>
    <t>113.13</t>
  </si>
  <si>
    <t>2.55</t>
  </si>
  <si>
    <t>2.54</t>
  </si>
  <si>
    <t>117.29</t>
  </si>
  <si>
    <t>114.86</t>
  </si>
  <si>
    <t>2.62</t>
  </si>
  <si>
    <t>117.42</t>
  </si>
  <si>
    <t>2.52</t>
  </si>
  <si>
    <t>1.70</t>
  </si>
  <si>
    <t>1.47</t>
  </si>
  <si>
    <t>115.17</t>
  </si>
  <si>
    <t>112.97</t>
  </si>
  <si>
    <t>2.20</t>
  </si>
  <si>
    <t>2.08</t>
  </si>
  <si>
    <t>114.94</t>
  </si>
  <si>
    <t>113.02</t>
  </si>
  <si>
    <t>1.92</t>
  </si>
  <si>
    <t>114.68</t>
  </si>
  <si>
    <t>1.55</t>
  </si>
  <si>
    <t>1.30</t>
  </si>
  <si>
    <t>117.91</t>
  </si>
  <si>
    <t>116.48</t>
  </si>
  <si>
    <t>1.43</t>
  </si>
  <si>
    <t>0.64</t>
  </si>
  <si>
    <t>117.39</t>
  </si>
  <si>
    <t>0.73</t>
  </si>
  <si>
    <t>0.70</t>
  </si>
  <si>
    <t>114.88</t>
  </si>
  <si>
    <t>0.78</t>
  </si>
  <si>
    <t>115.71</t>
  </si>
  <si>
    <t>0.63</t>
  </si>
  <si>
    <t>-0.09</t>
  </si>
  <si>
    <t>116.91</t>
  </si>
  <si>
    <t>116.93</t>
  </si>
  <si>
    <t>-0.01</t>
  </si>
  <si>
    <t>0.07</t>
  </si>
  <si>
    <t>116.96</t>
  </si>
  <si>
    <t>116.81</t>
  </si>
  <si>
    <t>0.15</t>
  </si>
  <si>
    <t>-0.40</t>
  </si>
  <si>
    <t>114.76</t>
  </si>
  <si>
    <t>115.33</t>
  </si>
  <si>
    <t>-0.57</t>
  </si>
  <si>
    <t>-0.19</t>
  </si>
  <si>
    <t>114.52</t>
  </si>
  <si>
    <t>114.85</t>
  </si>
  <si>
    <t>-0.33</t>
  </si>
  <si>
    <t>0.02</t>
  </si>
  <si>
    <t>117.96</t>
  </si>
  <si>
    <t>118.02</t>
  </si>
  <si>
    <t>-0.06</t>
  </si>
  <si>
    <t>-0.31</t>
  </si>
  <si>
    <t>117.89</t>
  </si>
  <si>
    <t>118.26</t>
  </si>
  <si>
    <t>-0.38</t>
  </si>
  <si>
    <t>-0.92</t>
  </si>
  <si>
    <t>114.43</t>
  </si>
  <si>
    <t>115.27</t>
  </si>
  <si>
    <t>-0.85</t>
  </si>
  <si>
    <t>-0.59</t>
  </si>
  <si>
    <t>-0.53</t>
  </si>
  <si>
    <t>-1.92</t>
  </si>
  <si>
    <t>114.04</t>
  </si>
  <si>
    <t>115.86</t>
  </si>
  <si>
    <t>-1.82</t>
  </si>
  <si>
    <t>-0.86</t>
  </si>
  <si>
    <t>114.59</t>
  </si>
  <si>
    <t>115.36</t>
  </si>
  <si>
    <t>-0.77</t>
  </si>
  <si>
    <t>114.30</t>
  </si>
  <si>
    <t>-1.21</t>
  </si>
  <si>
    <t>-1.18</t>
  </si>
  <si>
    <t>113.05</t>
  </si>
  <si>
    <t>114.17</t>
  </si>
  <si>
    <t>-1.12</t>
  </si>
  <si>
    <t>-2.04</t>
  </si>
  <si>
    <t>117.78</t>
  </si>
  <si>
    <t>-2.07</t>
  </si>
  <si>
    <t>-2.59</t>
  </si>
  <si>
    <t>115.26</t>
  </si>
  <si>
    <t>-2.63</t>
  </si>
  <si>
    <t>-2.26</t>
  </si>
  <si>
    <t>111.16</t>
  </si>
  <si>
    <t>113.40</t>
  </si>
  <si>
    <t>-2.24</t>
  </si>
  <si>
    <t>-2.74</t>
  </si>
  <si>
    <t>110.42</t>
  </si>
  <si>
    <t>-2.70</t>
  </si>
  <si>
    <t>-3.87</t>
  </si>
  <si>
    <t>113.53</t>
  </si>
  <si>
    <t>117.51</t>
  </si>
  <si>
    <t>-3.98</t>
  </si>
  <si>
    <t>-3.80</t>
  </si>
  <si>
    <t>117.55</t>
  </si>
  <si>
    <t>-3.92</t>
  </si>
  <si>
    <t>-6.76</t>
  </si>
  <si>
    <t>113.14</t>
  </si>
  <si>
    <t>120.08</t>
  </si>
  <si>
    <t>-6.94</t>
  </si>
  <si>
    <t>-5.63</t>
  </si>
  <si>
    <t>113.98</t>
  </si>
  <si>
    <t>119.79</t>
  </si>
  <si>
    <t>-5.81</t>
  </si>
  <si>
    <t>-7.09</t>
  </si>
  <si>
    <t>111.18</t>
  </si>
  <si>
    <t>118.66</t>
  </si>
  <si>
    <t>-7.48</t>
  </si>
  <si>
    <t>-6.80</t>
  </si>
  <si>
    <t>111.13</t>
  </si>
  <si>
    <t>118.31</t>
  </si>
  <si>
    <t>-7.18</t>
  </si>
  <si>
    <t>-8.28</t>
  </si>
  <si>
    <t>109.04</t>
  </si>
  <si>
    <t>117.20</t>
  </si>
  <si>
    <t>-8.16</t>
  </si>
  <si>
    <t>-7.33</t>
  </si>
  <si>
    <t>109.47</t>
  </si>
  <si>
    <t>116.69</t>
  </si>
  <si>
    <t>-7.22</t>
  </si>
  <si>
    <t>-8.85</t>
  </si>
  <si>
    <t>115.10</t>
  </si>
  <si>
    <t>123.80</t>
  </si>
  <si>
    <t>-8.70</t>
  </si>
  <si>
    <t>-7.42</t>
  </si>
  <si>
    <t>123.46</t>
  </si>
  <si>
    <t>-7.25</t>
  </si>
  <si>
    <t>-10.31</t>
  </si>
  <si>
    <t>110.16</t>
  </si>
  <si>
    <t>120.44</t>
  </si>
  <si>
    <t>-10.27</t>
  </si>
  <si>
    <t>-8.68</t>
  </si>
  <si>
    <t>110.86</t>
  </si>
  <si>
    <t>-8.63</t>
  </si>
  <si>
    <t>-10.51</t>
  </si>
  <si>
    <t>110.81</t>
  </si>
  <si>
    <t>121.26</t>
  </si>
  <si>
    <t>-10.45</t>
  </si>
  <si>
    <t>-10.22</t>
  </si>
  <si>
    <t>111.14</t>
  </si>
  <si>
    <t>121.30</t>
  </si>
  <si>
    <t>-10.16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</si>
</sst>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A8A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9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22">
    <xf numFmtId="0" fontId="0" fillId="0" borderId="0" xfId="0"/>
    <xf numFmtId="0" fontId="4" fillId="2" borderId="0" xfId="1"/>
    <xf numFmtId="0" fontId="6" fillId="4" borderId="0" xfId="3"/>
    <xf numFmtId="0" fontId="7" fillId="5" borderId="1" xfId="4"/>
    <xf numFmtId="0" fontId="4" fillId="2" borderId="1" xfId="1" applyBorder="1"/>
    <xf numFmtId="0" fontId="8" fillId="0" borderId="0" xfId="0" applyFont="1"/>
    <xf numFmtId="0" fontId="10" fillId="0" borderId="0" xfId="2" applyFont="1" applyFill="1"/>
    <xf numFmtId="0" fontId="10" fillId="0" borderId="0" xfId="3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0" xfId="1" applyFont="1" applyFill="1"/>
    <xf numFmtId="0" fontId="10" fillId="0" borderId="0" xfId="0" applyFont="1"/>
    <xf numFmtId="0" fontId="10" fillId="0" borderId="1" xfId="3" applyFont="1" applyFill="1" applyBorder="1"/>
    <xf numFmtId="0" fontId="10" fillId="0" borderId="0" xfId="3" applyFont="1" applyFill="1" applyBorder="1"/>
    <xf numFmtId="0" fontId="10" fillId="0" borderId="0" xfId="4" applyFont="1" applyFill="1" applyBorder="1"/>
    <xf numFmtId="0" fontId="10" fillId="0" borderId="1" xfId="1" applyFont="1" applyFill="1" applyBorder="1"/>
    <xf numFmtId="0" fontId="10" fillId="0" borderId="1" xfId="0" applyFont="1" applyBorder="1"/>
    <xf numFmtId="0" fontId="4" fillId="2" borderId="0" xfId="1" applyBorder="1"/>
    <xf numFmtId="0" fontId="3" fillId="6" borderId="0" xfId="5"/>
    <xf numFmtId="0" fontId="5" fillId="3" borderId="1" xfId="2" applyBorder="1"/>
    <xf numFmtId="0" fontId="3" fillId="7" borderId="0" xfId="6"/>
    <xf numFmtId="0" fontId="3" fillId="8" borderId="0" xfId="7"/>
    <xf numFmtId="0" fontId="3" fillId="9" borderId="0" xfId="8"/>
    <xf numFmtId="0" fontId="10" fillId="10" borderId="0" xfId="0" applyFont="1" applyFill="1"/>
    <xf numFmtId="0" fontId="10" fillId="11" borderId="0" xfId="1" applyFont="1" applyFill="1"/>
    <xf numFmtId="0" fontId="10" fillId="11" borderId="0" xfId="0" applyFont="1" applyFill="1"/>
    <xf numFmtId="0" fontId="10" fillId="12" borderId="0" xfId="0" applyFont="1" applyFill="1"/>
    <xf numFmtId="0" fontId="10" fillId="11" borderId="0" xfId="3" applyFont="1" applyFill="1"/>
    <xf numFmtId="0" fontId="10" fillId="11" borderId="1" xfId="3" applyFont="1" applyFill="1" applyBorder="1"/>
    <xf numFmtId="0" fontId="10" fillId="11" borderId="0" xfId="4" applyFont="1" applyFill="1" applyBorder="1"/>
    <xf numFmtId="0" fontId="10" fillId="10" borderId="0" xfId="3" applyFont="1" applyFill="1" applyBorder="1"/>
    <xf numFmtId="15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49" fontId="8" fillId="0" borderId="0" xfId="0" applyNumberFormat="1" applyFont="1"/>
    <xf numFmtId="0" fontId="8" fillId="0" borderId="0" xfId="0" applyFont="1" applyAlignment="1">
      <alignment horizontal="right"/>
    </xf>
    <xf numFmtId="0" fontId="0" fillId="12" borderId="0" xfId="0" applyFill="1"/>
    <xf numFmtId="0" fontId="0" fillId="12" borderId="0" xfId="0" applyFill="1" applyAlignment="1">
      <alignment horizontal="right"/>
    </xf>
    <xf numFmtId="0" fontId="9" fillId="0" borderId="0" xfId="9"/>
    <xf numFmtId="0" fontId="9" fillId="11" borderId="0" xfId="9" applyFill="1"/>
    <xf numFmtId="0" fontId="9" fillId="10" borderId="0" xfId="9" applyFill="1"/>
    <xf numFmtId="0" fontId="0" fillId="0" borderId="0" xfId="0" applyAlignment="1">
      <alignment wrapText="1"/>
    </xf>
    <xf numFmtId="0" fontId="4" fillId="0" borderId="0" xfId="1" applyFill="1" applyBorder="1"/>
    <xf numFmtId="0" fontId="3" fillId="0" borderId="0" xfId="5" applyFill="1" applyBorder="1"/>
    <xf numFmtId="0" fontId="10" fillId="0" borderId="0" xfId="1" applyFont="1" applyFill="1" applyBorder="1"/>
    <xf numFmtId="0" fontId="3" fillId="0" borderId="0" xfId="6" applyFill="1" applyBorder="1"/>
    <xf numFmtId="0" fontId="3" fillId="0" borderId="0" xfId="7" applyFill="1" applyBorder="1"/>
    <xf numFmtId="0" fontId="3" fillId="0" borderId="0" xfId="8" applyFill="1" applyBorder="1"/>
    <xf numFmtId="0" fontId="11" fillId="0" borderId="0" xfId="3" applyFont="1" applyFill="1" applyBorder="1"/>
    <xf numFmtId="0" fontId="11" fillId="0" borderId="0" xfId="1" applyFont="1" applyFill="1" applyBorder="1"/>
    <xf numFmtId="0" fontId="11" fillId="0" borderId="0" xfId="0" applyFont="1"/>
    <xf numFmtId="0" fontId="11" fillId="0" borderId="0" xfId="2" applyFont="1" applyFill="1" applyBorder="1"/>
    <xf numFmtId="0" fontId="9" fillId="0" borderId="0" xfId="9" applyFill="1"/>
    <xf numFmtId="49" fontId="10" fillId="0" borderId="0" xfId="3" applyNumberFormat="1" applyFont="1" applyFill="1" applyBorder="1"/>
    <xf numFmtId="49" fontId="10" fillId="0" borderId="0" xfId="0" applyNumberFormat="1" applyFont="1"/>
    <xf numFmtId="49" fontId="10" fillId="0" borderId="0" xfId="1" applyNumberFormat="1" applyFont="1" applyFill="1" applyBorder="1"/>
    <xf numFmtId="49" fontId="10" fillId="13" borderId="0" xfId="0" applyNumberFormat="1" applyFont="1" applyFill="1"/>
    <xf numFmtId="49" fontId="10" fillId="13" borderId="0" xfId="3" applyNumberFormat="1" applyFont="1" applyFill="1" applyBorder="1"/>
    <xf numFmtId="49" fontId="8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" fontId="0" fillId="0" borderId="0" xfId="0" applyNumberFormat="1"/>
    <xf numFmtId="0" fontId="8" fillId="0" borderId="0" xfId="0" quotePrefix="1" applyFont="1"/>
    <xf numFmtId="3" fontId="0" fillId="0" borderId="0" xfId="0" applyNumberFormat="1"/>
    <xf numFmtId="14" fontId="0" fillId="0" borderId="0" xfId="0" applyNumberFormat="1"/>
    <xf numFmtId="0" fontId="8" fillId="0" borderId="0" xfId="0" applyFont="1" applyAlignment="1">
      <alignment wrapText="1"/>
    </xf>
    <xf numFmtId="0" fontId="9" fillId="0" borderId="0" xfId="9" applyAlignment="1">
      <alignment horizontal="left"/>
    </xf>
    <xf numFmtId="0" fontId="8" fillId="0" borderId="2" xfId="0" applyFont="1" applyBorder="1"/>
    <xf numFmtId="0" fontId="8" fillId="0" borderId="3" xfId="0" applyFont="1" applyBorder="1"/>
    <xf numFmtId="0" fontId="0" fillId="0" borderId="3" xfId="0" applyBorder="1"/>
    <xf numFmtId="0" fontId="0" fillId="0" borderId="4" xfId="0" applyBorder="1"/>
    <xf numFmtId="0" fontId="8" fillId="0" borderId="5" xfId="0" applyFont="1" applyBorder="1"/>
    <xf numFmtId="0" fontId="8" fillId="0" borderId="6" xfId="0" applyFont="1" applyBorder="1"/>
    <xf numFmtId="0" fontId="0" fillId="0" borderId="6" xfId="0" applyBorder="1"/>
    <xf numFmtId="0" fontId="0" fillId="0" borderId="7" xfId="0" applyBorder="1"/>
    <xf numFmtId="0" fontId="8" fillId="0" borderId="7" xfId="0" applyFont="1" applyBorder="1"/>
    <xf numFmtId="0" fontId="11" fillId="0" borderId="5" xfId="0" applyFont="1" applyBorder="1"/>
    <xf numFmtId="0" fontId="11" fillId="0" borderId="6" xfId="1" applyFont="1" applyFill="1" applyBorder="1"/>
    <xf numFmtId="0" fontId="10" fillId="0" borderId="6" xfId="0" applyFont="1" applyBorder="1"/>
    <xf numFmtId="0" fontId="10" fillId="0" borderId="6" xfId="3" applyFont="1" applyFill="1" applyBorder="1"/>
    <xf numFmtId="0" fontId="4" fillId="0" borderId="6" xfId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5" xfId="3" applyFont="1" applyFill="1" applyBorder="1"/>
    <xf numFmtId="0" fontId="0" fillId="0" borderId="6" xfId="0" applyBorder="1" applyAlignment="1">
      <alignment horizontal="right"/>
    </xf>
    <xf numFmtId="0" fontId="11" fillId="0" borderId="5" xfId="1" applyFont="1" applyFill="1" applyBorder="1"/>
    <xf numFmtId="0" fontId="10" fillId="0" borderId="6" xfId="1" applyFont="1" applyFill="1" applyBorder="1"/>
    <xf numFmtId="0" fontId="10" fillId="0" borderId="5" xfId="0" applyFont="1" applyBorder="1"/>
    <xf numFmtId="0" fontId="11" fillId="0" borderId="5" xfId="2" applyFont="1" applyFill="1" applyBorder="1"/>
    <xf numFmtId="0" fontId="11" fillId="0" borderId="8" xfId="0" applyFont="1" applyBorder="1"/>
    <xf numFmtId="0" fontId="11" fillId="0" borderId="9" xfId="1" applyFont="1" applyFill="1" applyBorder="1"/>
    <xf numFmtId="0" fontId="10" fillId="0" borderId="9" xfId="0" applyFont="1" applyBorder="1"/>
    <xf numFmtId="0" fontId="10" fillId="0" borderId="9" xfId="3" applyFont="1" applyFill="1" applyBorder="1"/>
    <xf numFmtId="0" fontId="0" fillId="0" borderId="9" xfId="0" applyBorder="1"/>
    <xf numFmtId="0" fontId="4" fillId="0" borderId="9" xfId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12" borderId="6" xfId="1" applyFill="1" applyBorder="1"/>
    <xf numFmtId="0" fontId="4" fillId="14" borderId="6" xfId="1" applyFill="1" applyBorder="1"/>
    <xf numFmtId="0" fontId="4" fillId="12" borderId="0" xfId="1" applyFill="1" applyBorder="1"/>
    <xf numFmtId="0" fontId="0" fillId="0" borderId="5" xfId="0" applyBorder="1"/>
    <xf numFmtId="0" fontId="11" fillId="0" borderId="8" xfId="3" applyFont="1" applyFill="1" applyBorder="1"/>
    <xf numFmtId="0" fontId="4" fillId="0" borderId="0" xfId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1" applyFont="1" applyFill="1" applyBorder="1" applyAlignment="1">
      <alignment horizontal="center"/>
    </xf>
    <xf numFmtId="0" fontId="8" fillId="12" borderId="0" xfId="0" applyFont="1" applyFill="1"/>
    <xf numFmtId="0" fontId="0" fillId="14" borderId="0" xfId="0" applyFill="1"/>
    <xf numFmtId="2" fontId="0" fillId="0" borderId="0" xfId="0" applyNumberFormat="1"/>
    <xf numFmtId="0" fontId="0" fillId="0" borderId="0" xfId="0" quotePrefix="1"/>
    <xf numFmtId="0" fontId="8" fillId="12" borderId="0" xfId="0" applyFont="1" applyFill="1" applyAlignment="1">
      <alignment horizontal="center"/>
    </xf>
    <xf numFmtId="0" fontId="9" fillId="0" borderId="0" xfId="9" applyFill="1" applyAlignment="1">
      <alignment horizontal="center"/>
    </xf>
    <xf numFmtId="0" fontId="10" fillId="10" borderId="0" xfId="1" applyFont="1" applyFill="1"/>
    <xf numFmtId="0" fontId="10" fillId="10" borderId="0" xfId="2" applyFont="1" applyFill="1"/>
    <xf numFmtId="0" fontId="0" fillId="10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0" borderId="0" xfId="0" applyAlignment="1">
      <alignment horizontal="center" wrapText="1"/>
    </xf>
    <xf numFmtId="0" fontId="9" fillId="17" borderId="0" xfId="9" applyFill="1"/>
    <xf numFmtId="0" fontId="2" fillId="0" borderId="0" xfId="0" applyFont="1" applyAlignment="1">
      <alignment horizontal="left"/>
    </xf>
    <xf numFmtId="0" fontId="0" fillId="10" borderId="0" xfId="0" quotePrefix="1" applyFill="1"/>
    <xf numFmtId="0" fontId="0" fillId="11" borderId="0" xfId="0" applyFill="1"/>
    <xf numFmtId="0" fontId="0" fillId="11" borderId="0" xfId="0" quotePrefix="1" applyFill="1"/>
    <xf numFmtId="18" fontId="9" fillId="0" borderId="0" xfId="9" applyNumberFormat="1"/>
    <xf numFmtId="164" fontId="0" fillId="0" borderId="0" xfId="0" applyNumberFormat="1"/>
    <xf numFmtId="0" fontId="14" fillId="0" borderId="0" xfId="0" applyFont="1"/>
    <xf numFmtId="0" fontId="15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2" borderId="11" xfId="0" applyFill="1" applyBorder="1"/>
    <xf numFmtId="0" fontId="0" fillId="22" borderId="12" xfId="0" applyFill="1" applyBorder="1"/>
    <xf numFmtId="0" fontId="0" fillId="22" borderId="13" xfId="0" applyFill="1" applyBorder="1"/>
    <xf numFmtId="0" fontId="8" fillId="22" borderId="11" xfId="0" applyFont="1" applyFill="1" applyBorder="1"/>
    <xf numFmtId="0" fontId="8" fillId="22" borderId="12" xfId="0" applyFont="1" applyFill="1" applyBorder="1"/>
    <xf numFmtId="0" fontId="8" fillId="22" borderId="13" xfId="0" applyFont="1" applyFill="1" applyBorder="1"/>
    <xf numFmtId="2" fontId="0" fillId="0" borderId="0" xfId="0" applyNumberFormat="1" applyAlignment="1">
      <alignment horizontal="left"/>
    </xf>
    <xf numFmtId="165" fontId="0" fillId="0" borderId="0" xfId="0" applyNumberFormat="1"/>
    <xf numFmtId="9" fontId="0" fillId="0" borderId="0" xfId="10" applyFont="1"/>
    <xf numFmtId="0" fontId="0" fillId="0" borderId="24" xfId="0" applyBorder="1"/>
    <xf numFmtId="0" fontId="0" fillId="0" borderId="24" xfId="0" applyBorder="1" applyAlignment="1">
      <alignment horizontal="center"/>
    </xf>
    <xf numFmtId="9" fontId="0" fillId="0" borderId="24" xfId="10" applyFont="1" applyBorder="1" applyAlignment="1">
      <alignment horizontal="center"/>
    </xf>
    <xf numFmtId="2" fontId="0" fillId="0" borderId="24" xfId="10" applyNumberFormat="1" applyFon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0" fontId="14" fillId="0" borderId="28" xfId="0" applyFont="1" applyBorder="1"/>
    <xf numFmtId="0" fontId="14" fillId="0" borderId="30" xfId="0" applyFont="1" applyBorder="1"/>
    <xf numFmtId="0" fontId="0" fillId="0" borderId="31" xfId="0" applyBorder="1"/>
    <xf numFmtId="166" fontId="0" fillId="0" borderId="24" xfId="1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66" fontId="0" fillId="0" borderId="31" xfId="10" applyNumberFormat="1" applyFont="1" applyBorder="1" applyAlignment="1">
      <alignment horizontal="center"/>
    </xf>
    <xf numFmtId="2" fontId="0" fillId="0" borderId="31" xfId="10" applyNumberFormat="1" applyFont="1" applyBorder="1" applyAlignment="1">
      <alignment horizontal="center"/>
    </xf>
    <xf numFmtId="9" fontId="0" fillId="0" borderId="31" xfId="1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16" fillId="0" borderId="0" xfId="0" applyFont="1"/>
    <xf numFmtId="0" fontId="0" fillId="0" borderId="33" xfId="0" applyBorder="1"/>
    <xf numFmtId="0" fontId="15" fillId="0" borderId="34" xfId="0" applyFont="1" applyBorder="1"/>
    <xf numFmtId="0" fontId="15" fillId="21" borderId="34" xfId="0" applyFont="1" applyFill="1" applyBorder="1"/>
    <xf numFmtId="0" fontId="15" fillId="0" borderId="35" xfId="0" applyFont="1" applyBorder="1"/>
    <xf numFmtId="0" fontId="14" fillId="0" borderId="36" xfId="0" applyFont="1" applyBorder="1"/>
    <xf numFmtId="0" fontId="0" fillId="0" borderId="37" xfId="0" applyBorder="1"/>
    <xf numFmtId="0" fontId="0" fillId="0" borderId="37" xfId="0" applyBorder="1" applyAlignment="1">
      <alignment horizontal="center"/>
    </xf>
    <xf numFmtId="165" fontId="0" fillId="0" borderId="37" xfId="0" applyNumberFormat="1" applyBorder="1" applyAlignment="1">
      <alignment horizontal="center"/>
    </xf>
    <xf numFmtId="166" fontId="0" fillId="0" borderId="37" xfId="10" applyNumberFormat="1" applyFont="1" applyBorder="1" applyAlignment="1">
      <alignment horizontal="center"/>
    </xf>
    <xf numFmtId="2" fontId="0" fillId="0" borderId="37" xfId="10" applyNumberFormat="1" applyFont="1" applyBorder="1" applyAlignment="1">
      <alignment horizontal="center"/>
    </xf>
    <xf numFmtId="9" fontId="0" fillId="0" borderId="37" xfId="1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4" fillId="0" borderId="25" xfId="0" applyFont="1" applyBorder="1"/>
    <xf numFmtId="0" fontId="0" fillId="0" borderId="26" xfId="0" applyBorder="1"/>
    <xf numFmtId="0" fontId="0" fillId="0" borderId="26" xfId="0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6" fontId="0" fillId="0" borderId="26" xfId="10" applyNumberFormat="1" applyFont="1" applyBorder="1" applyAlignment="1">
      <alignment horizontal="center"/>
    </xf>
    <xf numFmtId="2" fontId="0" fillId="0" borderId="26" xfId="10" applyNumberFormat="1" applyFont="1" applyBorder="1" applyAlignment="1">
      <alignment horizontal="center"/>
    </xf>
    <xf numFmtId="9" fontId="0" fillId="0" borderId="26" xfId="10" applyFont="1" applyBorder="1" applyAlignment="1">
      <alignment horizontal="center"/>
    </xf>
    <xf numFmtId="0" fontId="0" fillId="0" borderId="26" xfId="0" applyBorder="1" applyAlignment="1">
      <alignment wrapText="1"/>
    </xf>
    <xf numFmtId="0" fontId="0" fillId="0" borderId="27" xfId="0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0" fontId="0" fillId="0" borderId="39" xfId="0" applyBorder="1"/>
    <xf numFmtId="0" fontId="15" fillId="0" borderId="40" xfId="0" applyFont="1" applyBorder="1"/>
    <xf numFmtId="0" fontId="15" fillId="21" borderId="40" xfId="0" applyFont="1" applyFill="1" applyBorder="1"/>
    <xf numFmtId="0" fontId="15" fillId="0" borderId="41" xfId="0" applyFont="1" applyBorder="1"/>
    <xf numFmtId="0" fontId="16" fillId="24" borderId="0" xfId="0" applyFont="1" applyFill="1" applyAlignment="1">
      <alignment horizontal="center"/>
    </xf>
    <xf numFmtId="0" fontId="16" fillId="23" borderId="0" xfId="0" applyFont="1" applyFill="1" applyAlignment="1">
      <alignment horizontal="center"/>
    </xf>
    <xf numFmtId="0" fontId="15" fillId="0" borderId="42" xfId="0" applyFont="1" applyBorder="1"/>
    <xf numFmtId="9" fontId="0" fillId="0" borderId="0" xfId="10" applyFont="1" applyAlignment="1">
      <alignment wrapText="1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19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1" borderId="0" xfId="0" applyFont="1" applyFill="1" applyAlignment="1">
      <alignment horizontal="left"/>
    </xf>
    <xf numFmtId="0" fontId="1" fillId="20" borderId="0" xfId="0" applyFont="1" applyFill="1" applyAlignment="1">
      <alignment horizontal="left"/>
    </xf>
    <xf numFmtId="0" fontId="1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6" fillId="23" borderId="22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6" fillId="24" borderId="17" xfId="0" applyFont="1" applyFill="1" applyBorder="1" applyAlignment="1">
      <alignment horizontal="center"/>
    </xf>
    <xf numFmtId="0" fontId="16" fillId="24" borderId="19" xfId="0" applyFont="1" applyFill="1" applyBorder="1" applyAlignment="1">
      <alignment horizontal="center"/>
    </xf>
    <xf numFmtId="0" fontId="16" fillId="24" borderId="20" xfId="0" applyFont="1" applyFill="1" applyBorder="1" applyAlignment="1">
      <alignment horizontal="center"/>
    </xf>
    <xf numFmtId="0" fontId="16" fillId="23" borderId="15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23" borderId="17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16" fillId="23" borderId="19" xfId="0" applyFont="1" applyFill="1" applyBorder="1" applyAlignment="1">
      <alignment horizontal="center"/>
    </xf>
    <xf numFmtId="0" fontId="16" fillId="23" borderId="20" xfId="0" applyFont="1" applyFill="1" applyBorder="1" applyAlignment="1">
      <alignment horizontal="center"/>
    </xf>
    <xf numFmtId="0" fontId="16" fillId="14" borderId="21" xfId="0" applyFont="1" applyFill="1" applyBorder="1" applyAlignment="1">
      <alignment horizontal="center" vertical="center"/>
    </xf>
    <xf numFmtId="0" fontId="16" fillId="14" borderId="22" xfId="0" applyFont="1" applyFill="1" applyBorder="1" applyAlignment="1">
      <alignment horizontal="center" vertical="center"/>
    </xf>
    <xf numFmtId="0" fontId="16" fillId="14" borderId="23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</cellXfs>
  <cellStyles count="11">
    <cellStyle name="20% - Accent2" xfId="5" builtinId="34"/>
    <cellStyle name="60% - Accent3" xfId="6" builtinId="40"/>
    <cellStyle name="60% - Accent4" xfId="7" builtinId="44"/>
    <cellStyle name="60% - Accent5" xfId="8" builtinId="48"/>
    <cellStyle name="Bad" xfId="2" builtinId="27"/>
    <cellStyle name="Good" xfId="1" builtinId="26"/>
    <cellStyle name="Hyperlink" xfId="9" builtinId="8"/>
    <cellStyle name="Input" xfId="4" builtinId="20"/>
    <cellStyle name="Neutral" xfId="3" builtinId="28"/>
    <cellStyle name="Normal" xfId="0" builtinId="0"/>
    <cellStyle name="Percent" xfId="10" builtinId="5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AD5050"/>
        </patternFill>
      </fill>
    </dxf>
    <dxf>
      <font>
        <color theme="0"/>
      </font>
      <fill>
        <patternFill patternType="solid"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font>
        <b/>
      </font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A8AFF"/>
      <color rgb="FFAD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atmuse.com/nba/player/anfernee-simons-9786" TargetMode="External"/><Relationship Id="rId18" Type="http://schemas.openxmlformats.org/officeDocument/2006/relationships/hyperlink" Target="https://www.statmuse.com/nba/team/2024-25-philadelphia-76ers-21/2025" TargetMode="External"/><Relationship Id="rId26" Type="http://schemas.openxmlformats.org/officeDocument/2006/relationships/hyperlink" Target="https://www.statmuse.com/nba/player/coby-white-9981" TargetMode="External"/><Relationship Id="rId39" Type="http://schemas.openxmlformats.org/officeDocument/2006/relationships/hyperlink" Target="https://www.statmuse.com/nba/team/2024-25-memphis-grizzlies-52/2025" TargetMode="External"/><Relationship Id="rId21" Type="http://schemas.openxmlformats.org/officeDocument/2006/relationships/hyperlink" Target="https://www.statmuse.com/nba/player/jalen-wilson-30293" TargetMode="External"/><Relationship Id="rId34" Type="http://schemas.openxmlformats.org/officeDocument/2006/relationships/hyperlink" Target="https://www.statmuse.com/nba/player/jalen-brunson-9795" TargetMode="External"/><Relationship Id="rId7" Type="http://schemas.openxmlformats.org/officeDocument/2006/relationships/hyperlink" Target="https://www.statmuse.com/nba/team/2024-25-san-antonio-spurs-27/2025" TargetMode="External"/><Relationship Id="rId12" Type="http://schemas.openxmlformats.org/officeDocument/2006/relationships/hyperlink" Target="https://www.statmuse.com/nba/player/jordan-poole-10002" TargetMode="External"/><Relationship Id="rId17" Type="http://schemas.openxmlformats.org/officeDocument/2006/relationships/hyperlink" Target="https://www.statmuse.com/nba/player/tyrese-maxey-10164" TargetMode="External"/><Relationship Id="rId25" Type="http://schemas.openxmlformats.org/officeDocument/2006/relationships/hyperlink" Target="https://www.statmuse.com/nba/player/zach-lavine-9198" TargetMode="External"/><Relationship Id="rId33" Type="http://schemas.openxmlformats.org/officeDocument/2006/relationships/hyperlink" Target="https://www.statmuse.com/nba/team/2024-25-dallas-mavericks-46/2025" TargetMode="External"/><Relationship Id="rId38" Type="http://schemas.openxmlformats.org/officeDocument/2006/relationships/hyperlink" Target="https://www.statmuse.com/nba/player/jaylen-wells-30440" TargetMode="External"/><Relationship Id="rId2" Type="http://schemas.openxmlformats.org/officeDocument/2006/relationships/hyperlink" Target="https://www.statmuse.com/nba/team/2024-25-utah-jazz-45/2025" TargetMode="External"/><Relationship Id="rId16" Type="http://schemas.openxmlformats.org/officeDocument/2006/relationships/hyperlink" Target="https://www.statmuse.com/nba/player/stephon-castle-30391" TargetMode="External"/><Relationship Id="rId20" Type="http://schemas.openxmlformats.org/officeDocument/2006/relationships/hyperlink" Target="https://www.statmuse.com/nba/team/2024-25-atlanta-hawks-22/2025" TargetMode="External"/><Relationship Id="rId29" Type="http://schemas.openxmlformats.org/officeDocument/2006/relationships/hyperlink" Target="https://www.statmuse.com/nba/player/yves-missi-30402" TargetMode="External"/><Relationship Id="rId1" Type="http://schemas.openxmlformats.org/officeDocument/2006/relationships/hyperlink" Target="https://www.statmuse.com/nba/player/keyonte-george-30250" TargetMode="External"/><Relationship Id="rId6" Type="http://schemas.openxmlformats.org/officeDocument/2006/relationships/hyperlink" Target="https://www.statmuse.com/nba/player/harrison-barnes-182" TargetMode="External"/><Relationship Id="rId11" Type="http://schemas.openxmlformats.org/officeDocument/2006/relationships/hyperlink" Target="https://www.statmuse.com/nba/team/2024-25-new-orleans-pelicans-47/2025" TargetMode="External"/><Relationship Id="rId24" Type="http://schemas.openxmlformats.org/officeDocument/2006/relationships/hyperlink" Target="https://www.statmuse.com/nba/team/2024-25-sacramento-kings-16/2025" TargetMode="External"/><Relationship Id="rId32" Type="http://schemas.openxmlformats.org/officeDocument/2006/relationships/hyperlink" Target="https://www.statmuse.com/nba/player/klay-thompson-3674" TargetMode="External"/><Relationship Id="rId37" Type="http://schemas.openxmlformats.org/officeDocument/2006/relationships/hyperlink" Target="https://www.statmuse.com/nba/player/spencer-dinwiddie-9223" TargetMode="External"/><Relationship Id="rId40" Type="http://schemas.openxmlformats.org/officeDocument/2006/relationships/hyperlink" Target="https://www.statmuse.com/nba/player/mikal-bridges-9772" TargetMode="External"/><Relationship Id="rId5" Type="http://schemas.openxmlformats.org/officeDocument/2006/relationships/hyperlink" Target="https://www.statmuse.com/nba/player/devin-booker-9301" TargetMode="External"/><Relationship Id="rId15" Type="http://schemas.openxmlformats.org/officeDocument/2006/relationships/hyperlink" Target="https://www.statmuse.com/nba/player/bilal-coulibaly-30267" TargetMode="External"/><Relationship Id="rId23" Type="http://schemas.openxmlformats.org/officeDocument/2006/relationships/hyperlink" Target="https://www.statmuse.com/nba/player/demar-derozan-890" TargetMode="External"/><Relationship Id="rId28" Type="http://schemas.openxmlformats.org/officeDocument/2006/relationships/hyperlink" Target="https://www.statmuse.com/nba/player/kevin-durant-985" TargetMode="External"/><Relationship Id="rId36" Type="http://schemas.openxmlformats.org/officeDocument/2006/relationships/hyperlink" Target="https://www.statmuse.com/nba/player/shaedon-sharpe-10502" TargetMode="External"/><Relationship Id="rId10" Type="http://schemas.openxmlformats.org/officeDocument/2006/relationships/hyperlink" Target="https://www.statmuse.com/nba/player/trey-murphy-iii-10300" TargetMode="External"/><Relationship Id="rId19" Type="http://schemas.openxmlformats.org/officeDocument/2006/relationships/hyperlink" Target="https://www.statmuse.com/nba/player/trae-young-9767" TargetMode="External"/><Relationship Id="rId31" Type="http://schemas.openxmlformats.org/officeDocument/2006/relationships/hyperlink" Target="https://www.statmuse.com/nba/team/2024-25-charlotte-hornets-53/2025" TargetMode="External"/><Relationship Id="rId4" Type="http://schemas.openxmlformats.org/officeDocument/2006/relationships/hyperlink" Target="https://www.statmuse.com/nba/team/2024-25-phoenix-suns-40/2025" TargetMode="External"/><Relationship Id="rId9" Type="http://schemas.openxmlformats.org/officeDocument/2006/relationships/hyperlink" Target="https://www.statmuse.com/nba/team/2024-25-washington-wizards-24/2025" TargetMode="External"/><Relationship Id="rId14" Type="http://schemas.openxmlformats.org/officeDocument/2006/relationships/hyperlink" Target="https://www.statmuse.com/nba/team/2024-25-portland-trail-blazers-43/2025" TargetMode="External"/><Relationship Id="rId22" Type="http://schemas.openxmlformats.org/officeDocument/2006/relationships/hyperlink" Target="https://www.statmuse.com/nba/team/2024-25-brooklyn-nets-33/2025" TargetMode="External"/><Relationship Id="rId27" Type="http://schemas.openxmlformats.org/officeDocument/2006/relationships/hyperlink" Target="https://www.statmuse.com/nba/team/2024-25-chicago-bulls-25/2025" TargetMode="External"/><Relationship Id="rId30" Type="http://schemas.openxmlformats.org/officeDocument/2006/relationships/hyperlink" Target="https://www.statmuse.com/nba/player/josh-green-10193" TargetMode="External"/><Relationship Id="rId35" Type="http://schemas.openxmlformats.org/officeDocument/2006/relationships/hyperlink" Target="https://www.statmuse.com/nba/team/2024-25-new-york-knicks-5/2025" TargetMode="External"/><Relationship Id="rId8" Type="http://schemas.openxmlformats.org/officeDocument/2006/relationships/hyperlink" Target="https://www.statmuse.com/nba/player/carlton-carrington-30409" TargetMode="External"/><Relationship Id="rId3" Type="http://schemas.openxmlformats.org/officeDocument/2006/relationships/hyperlink" Target="https://www.statmuse.com/nba/player/tyus-jones-9312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tatmuse.com/nba/team/2024-25-new-orleans-pelicans-47/2025" TargetMode="External"/><Relationship Id="rId1" Type="http://schemas.openxmlformats.org/officeDocument/2006/relationships/hyperlink" Target="https://www.statmuse.com/nba/player/trey-murphy-iii-10300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muse.com/nba/player/carlton-carrington-30409" TargetMode="External"/><Relationship Id="rId3" Type="http://schemas.openxmlformats.org/officeDocument/2006/relationships/hyperlink" Target="https://www.statmuse.com/nba/player/tyus-jones-9312" TargetMode="External"/><Relationship Id="rId7" Type="http://schemas.openxmlformats.org/officeDocument/2006/relationships/hyperlink" Target="https://www.statmuse.com/nba/team/2024-25-san-antonio-spurs-27/2025" TargetMode="External"/><Relationship Id="rId2" Type="http://schemas.openxmlformats.org/officeDocument/2006/relationships/hyperlink" Target="https://www.statmuse.com/nba/team/2024-25-utah-jazz-45/2025" TargetMode="External"/><Relationship Id="rId1" Type="http://schemas.openxmlformats.org/officeDocument/2006/relationships/hyperlink" Target="https://www.statmuse.com/nba/player/keyonte-george-30250" TargetMode="External"/><Relationship Id="rId6" Type="http://schemas.openxmlformats.org/officeDocument/2006/relationships/hyperlink" Target="https://www.statmuse.com/nba/player/harrison-barnes-182" TargetMode="External"/><Relationship Id="rId5" Type="http://schemas.openxmlformats.org/officeDocument/2006/relationships/hyperlink" Target="https://www.statmuse.com/nba/player/devin-booker-9301" TargetMode="External"/><Relationship Id="rId4" Type="http://schemas.openxmlformats.org/officeDocument/2006/relationships/hyperlink" Target="https://www.statmuse.com/nba/team/2024-25-phoenix-suns-40/2025" TargetMode="External"/><Relationship Id="rId9" Type="http://schemas.openxmlformats.org/officeDocument/2006/relationships/hyperlink" Target="https://www.statmuse.com/nba/team/2024-25-washington-wizards-24/2025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381000</xdr:colOff>
      <xdr:row>3</xdr:row>
      <xdr:rowOff>0</xdr:rowOff>
    </xdr:to>
    <xdr:sp macro="" textlink="">
      <xdr:nvSpPr>
        <xdr:cNvPr id="3121" name="AutoShape 49" descr="Keyonte George">
          <a:hlinkClick xmlns:r="http://schemas.openxmlformats.org/officeDocument/2006/relationships" r:id="rId1" tooltip="Keyonte George"/>
          <a:extLst>
            <a:ext uri="{FF2B5EF4-FFF2-40B4-BE49-F238E27FC236}">
              <a16:creationId xmlns:a16="http://schemas.microsoft.com/office/drawing/2014/main" id="{4A165EBD-4A72-563F-92D7-33CF41EC3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3122" name="AutoShape 50" descr="UTA">
          <a:hlinkClick xmlns:r="http://schemas.openxmlformats.org/officeDocument/2006/relationships" r:id="rId2" tooltip="2024-25 Utah Jazz"/>
          <a:extLst>
            <a:ext uri="{FF2B5EF4-FFF2-40B4-BE49-F238E27FC236}">
              <a16:creationId xmlns:a16="http://schemas.microsoft.com/office/drawing/2014/main" id="{1A876195-2947-1E35-3AC3-A15DEE8CAB49}"/>
            </a:ext>
            <a:ext uri="{147F2762-F138-4A5C-976F-8EAC2B608ADB}">
              <a16:predDERef xmlns:a16="http://schemas.microsoft.com/office/drawing/2014/main" pred="{4A165EBD-4A72-563F-92D7-33CF41EC397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2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381000</xdr:colOff>
      <xdr:row>6</xdr:row>
      <xdr:rowOff>0</xdr:rowOff>
    </xdr:to>
    <xdr:sp macro="" textlink="">
      <xdr:nvSpPr>
        <xdr:cNvPr id="3123" name="AutoShape 51" descr="Tyus Jones">
          <a:hlinkClick xmlns:r="http://schemas.openxmlformats.org/officeDocument/2006/relationships" r:id="rId3" tooltip="Tyus Jones"/>
          <a:extLst>
            <a:ext uri="{FF2B5EF4-FFF2-40B4-BE49-F238E27FC236}">
              <a16:creationId xmlns:a16="http://schemas.microsoft.com/office/drawing/2014/main" id="{743065D6-8EC2-6181-2DA2-538F557A57ED}"/>
            </a:ext>
            <a:ext uri="{147F2762-F138-4A5C-976F-8EAC2B608ADB}">
              <a16:predDERef xmlns:a16="http://schemas.microsoft.com/office/drawing/2014/main" pred="{1A876195-2947-1E35-3AC3-A15DEE8CA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3124" name="AutoShape 52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2492A1CA-FF45-7099-9377-F39194FE8BBA}"/>
            </a:ext>
            <a:ext uri="{147F2762-F138-4A5C-976F-8EAC2B608ADB}">
              <a16:predDERef xmlns:a16="http://schemas.microsoft.com/office/drawing/2014/main" pred="{743065D6-8EC2-6181-2DA2-538F557A57E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3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381000</xdr:colOff>
      <xdr:row>9</xdr:row>
      <xdr:rowOff>0</xdr:rowOff>
    </xdr:to>
    <xdr:sp macro="" textlink="">
      <xdr:nvSpPr>
        <xdr:cNvPr id="3125" name="AutoShape 53" descr="Devin Booker">
          <a:hlinkClick xmlns:r="http://schemas.openxmlformats.org/officeDocument/2006/relationships" r:id="rId5" tooltip="Devin Booker"/>
          <a:extLst>
            <a:ext uri="{FF2B5EF4-FFF2-40B4-BE49-F238E27FC236}">
              <a16:creationId xmlns:a16="http://schemas.microsoft.com/office/drawing/2014/main" id="{3E8B4EAE-A6F6-06B6-398A-AC3663D47458}"/>
            </a:ext>
            <a:ext uri="{147F2762-F138-4A5C-976F-8EAC2B608ADB}">
              <a16:predDERef xmlns:a16="http://schemas.microsoft.com/office/drawing/2014/main" pred="{2492A1CA-FF45-7099-9377-F39194FE8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3126" name="AutoShape 54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C5FFE550-6C4B-FF22-237D-CFB0E7BADCC8}"/>
            </a:ext>
            <a:ext uri="{147F2762-F138-4A5C-976F-8EAC2B608ADB}">
              <a16:predDERef xmlns:a16="http://schemas.microsoft.com/office/drawing/2014/main" pred="{3E8B4EAE-A6F6-06B6-398A-AC3663D4745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4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381000</xdr:colOff>
      <xdr:row>12</xdr:row>
      <xdr:rowOff>0</xdr:rowOff>
    </xdr:to>
    <xdr:sp macro="" textlink="">
      <xdr:nvSpPr>
        <xdr:cNvPr id="3127" name="AutoShape 55" descr="Harrison Barnes">
          <a:hlinkClick xmlns:r="http://schemas.openxmlformats.org/officeDocument/2006/relationships" r:id="rId6" tooltip="Harrison Barnes"/>
          <a:extLst>
            <a:ext uri="{FF2B5EF4-FFF2-40B4-BE49-F238E27FC236}">
              <a16:creationId xmlns:a16="http://schemas.microsoft.com/office/drawing/2014/main" id="{F819F2EE-CC2D-CB90-77E9-69A591F09EB4}"/>
            </a:ext>
            <a:ext uri="{147F2762-F138-4A5C-976F-8EAC2B608ADB}">
              <a16:predDERef xmlns:a16="http://schemas.microsoft.com/office/drawing/2014/main" pred="{C5FFE550-6C4B-FF22-237D-CFB0E7BAD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3128" name="AutoShape 56" descr="SAS">
          <a:hlinkClick xmlns:r="http://schemas.openxmlformats.org/officeDocument/2006/relationships" r:id="rId7" tooltip="2024-25 San Antonio Spurs"/>
          <a:extLst>
            <a:ext uri="{FF2B5EF4-FFF2-40B4-BE49-F238E27FC236}">
              <a16:creationId xmlns:a16="http://schemas.microsoft.com/office/drawing/2014/main" id="{DE927C79-F57A-76F4-BF9E-68F70ADADCD2}"/>
            </a:ext>
            <a:ext uri="{147F2762-F138-4A5C-976F-8EAC2B608ADB}">
              <a16:predDERef xmlns:a16="http://schemas.microsoft.com/office/drawing/2014/main" pred="{F819F2EE-CC2D-CB90-77E9-69A591F09EB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05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381000</xdr:colOff>
      <xdr:row>15</xdr:row>
      <xdr:rowOff>0</xdr:rowOff>
    </xdr:to>
    <xdr:sp macro="" textlink="">
      <xdr:nvSpPr>
        <xdr:cNvPr id="3129" name="AutoShape 57" descr="Carlton Carrington">
          <a:hlinkClick xmlns:r="http://schemas.openxmlformats.org/officeDocument/2006/relationships" r:id="rId8" tooltip="Carlton Carrington"/>
          <a:extLst>
            <a:ext uri="{FF2B5EF4-FFF2-40B4-BE49-F238E27FC236}">
              <a16:creationId xmlns:a16="http://schemas.microsoft.com/office/drawing/2014/main" id="{50DB4E92-1418-0F6F-188C-4D7D2546582A}"/>
            </a:ext>
            <a:ext uri="{147F2762-F138-4A5C-976F-8EAC2B608ADB}">
              <a16:predDERef xmlns:a16="http://schemas.microsoft.com/office/drawing/2014/main" pred="{DE927C79-F57A-76F4-BF9E-68F70ADAD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3130" name="AutoShape 58" descr="WAS">
          <a:hlinkClick xmlns:r="http://schemas.openxmlformats.org/officeDocument/2006/relationships" r:id="rId9" tooltip="2024-25 Washington Wizards"/>
          <a:extLst>
            <a:ext uri="{FF2B5EF4-FFF2-40B4-BE49-F238E27FC236}">
              <a16:creationId xmlns:a16="http://schemas.microsoft.com/office/drawing/2014/main" id="{89E00995-736E-CDEC-FB67-117341639798}"/>
            </a:ext>
            <a:ext uri="{147F2762-F138-4A5C-976F-8EAC2B608ADB}">
              <a16:predDERef xmlns:a16="http://schemas.microsoft.com/office/drawing/2014/main" pred="{50DB4E92-1418-0F6F-188C-4D7D2546582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381000</xdr:colOff>
      <xdr:row>18</xdr:row>
      <xdr:rowOff>0</xdr:rowOff>
    </xdr:to>
    <xdr:sp macro="" textlink="">
      <xdr:nvSpPr>
        <xdr:cNvPr id="3131" name="AutoShape 59" descr="Trey Murphy III">
          <a:hlinkClick xmlns:r="http://schemas.openxmlformats.org/officeDocument/2006/relationships" r:id="rId10" tooltip="Trey Murphy III"/>
          <a:extLst>
            <a:ext uri="{FF2B5EF4-FFF2-40B4-BE49-F238E27FC236}">
              <a16:creationId xmlns:a16="http://schemas.microsoft.com/office/drawing/2014/main" id="{ED9225CB-B996-4670-DEBF-CC7425D65225}"/>
            </a:ext>
            <a:ext uri="{147F2762-F138-4A5C-976F-8EAC2B608ADB}">
              <a16:predDERef xmlns:a16="http://schemas.microsoft.com/office/drawing/2014/main" pred="{89E00995-736E-CDEC-FB67-117341639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3132" name="AutoShape 60" descr="NOP">
          <a:hlinkClick xmlns:r="http://schemas.openxmlformats.org/officeDocument/2006/relationships" r:id="rId11" tooltip="2024-25 New Orleans Pelicans"/>
          <a:extLst>
            <a:ext uri="{FF2B5EF4-FFF2-40B4-BE49-F238E27FC236}">
              <a16:creationId xmlns:a16="http://schemas.microsoft.com/office/drawing/2014/main" id="{9F1441EA-4524-F614-C9F5-E3E180A58E24}"/>
            </a:ext>
            <a:ext uri="{147F2762-F138-4A5C-976F-8EAC2B608ADB}">
              <a16:predDERef xmlns:a16="http://schemas.microsoft.com/office/drawing/2014/main" pred="{ED9225CB-B996-4670-DEBF-CC7425D6522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381000</xdr:colOff>
      <xdr:row>21</xdr:row>
      <xdr:rowOff>0</xdr:rowOff>
    </xdr:to>
    <xdr:sp macro="" textlink="">
      <xdr:nvSpPr>
        <xdr:cNvPr id="3133" name="AutoShape 61" descr="Jordan Poole">
          <a:hlinkClick xmlns:r="http://schemas.openxmlformats.org/officeDocument/2006/relationships" r:id="rId12" tooltip="Jordan Poole"/>
          <a:extLst>
            <a:ext uri="{FF2B5EF4-FFF2-40B4-BE49-F238E27FC236}">
              <a16:creationId xmlns:a16="http://schemas.microsoft.com/office/drawing/2014/main" id="{03DBD9BD-03BA-4E46-251F-6E1A7E3DE565}"/>
            </a:ext>
            <a:ext uri="{147F2762-F138-4A5C-976F-8EAC2B608ADB}">
              <a16:predDERef xmlns:a16="http://schemas.microsoft.com/office/drawing/2014/main" pred="{9F1441EA-4524-F614-C9F5-E3E180A58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3134" name="AutoShape 62" descr="WAS">
          <a:hlinkClick xmlns:r="http://schemas.openxmlformats.org/officeDocument/2006/relationships" r:id="rId9" tooltip="2024-25 Washington Wizards"/>
          <a:extLst>
            <a:ext uri="{FF2B5EF4-FFF2-40B4-BE49-F238E27FC236}">
              <a16:creationId xmlns:a16="http://schemas.microsoft.com/office/drawing/2014/main" id="{CC311388-92AF-9439-FF4C-505122A36DF6}"/>
            </a:ext>
            <a:ext uri="{147F2762-F138-4A5C-976F-8EAC2B608ADB}">
              <a16:predDERef xmlns:a16="http://schemas.microsoft.com/office/drawing/2014/main" pred="{03DBD9BD-03BA-4E46-251F-6E1A7E3DE56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88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381000</xdr:colOff>
      <xdr:row>24</xdr:row>
      <xdr:rowOff>0</xdr:rowOff>
    </xdr:to>
    <xdr:sp macro="" textlink="">
      <xdr:nvSpPr>
        <xdr:cNvPr id="3135" name="AutoShape 63" descr="Anfernee Simons">
          <a:hlinkClick xmlns:r="http://schemas.openxmlformats.org/officeDocument/2006/relationships" r:id="rId13" tooltip="Anfernee Simons"/>
          <a:extLst>
            <a:ext uri="{FF2B5EF4-FFF2-40B4-BE49-F238E27FC236}">
              <a16:creationId xmlns:a16="http://schemas.microsoft.com/office/drawing/2014/main" id="{76932611-5D12-D934-DDA5-37F958C06F97}"/>
            </a:ext>
            <a:ext uri="{147F2762-F138-4A5C-976F-8EAC2B608ADB}">
              <a16:predDERef xmlns:a16="http://schemas.microsoft.com/office/drawing/2014/main" pred="{CC311388-92AF-9439-FF4C-505122A36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3136" name="AutoShape 64" descr="POR">
          <a:hlinkClick xmlns:r="http://schemas.openxmlformats.org/officeDocument/2006/relationships" r:id="rId14" tooltip="2024-25 Portland Trail Blazers"/>
          <a:extLst>
            <a:ext uri="{FF2B5EF4-FFF2-40B4-BE49-F238E27FC236}">
              <a16:creationId xmlns:a16="http://schemas.microsoft.com/office/drawing/2014/main" id="{F4784792-AE7E-13E6-1730-C33A8956A452}"/>
            </a:ext>
            <a:ext uri="{147F2762-F138-4A5C-976F-8EAC2B608ADB}">
              <a16:predDERef xmlns:a16="http://schemas.microsoft.com/office/drawing/2014/main" pred="{76932611-5D12-D934-DDA5-37F958C06F9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49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381000</xdr:colOff>
      <xdr:row>24</xdr:row>
      <xdr:rowOff>0</xdr:rowOff>
    </xdr:to>
    <xdr:sp macro="" textlink="">
      <xdr:nvSpPr>
        <xdr:cNvPr id="3137" name="AutoShape 65" descr="Bilal Coulibaly">
          <a:hlinkClick xmlns:r="http://schemas.openxmlformats.org/officeDocument/2006/relationships" r:id="rId15" tooltip="Bilal Coulibaly"/>
          <a:extLst>
            <a:ext uri="{FF2B5EF4-FFF2-40B4-BE49-F238E27FC236}">
              <a16:creationId xmlns:a16="http://schemas.microsoft.com/office/drawing/2014/main" id="{56F49CE7-EB32-1081-EAFA-007EE2975D39}"/>
            </a:ext>
            <a:ext uri="{147F2762-F138-4A5C-976F-8EAC2B608ADB}">
              <a16:predDERef xmlns:a16="http://schemas.microsoft.com/office/drawing/2014/main" pred="{F4784792-AE7E-13E6-1730-C33A8956A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54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3138" name="AutoShape 66" descr="WAS">
          <a:hlinkClick xmlns:r="http://schemas.openxmlformats.org/officeDocument/2006/relationships" r:id="rId9" tooltip="2024-25 Washington Wizards"/>
          <a:extLst>
            <a:ext uri="{FF2B5EF4-FFF2-40B4-BE49-F238E27FC236}">
              <a16:creationId xmlns:a16="http://schemas.microsoft.com/office/drawing/2014/main" id="{F5268098-2561-68D6-6AA6-A8C88D79B49B}"/>
            </a:ext>
            <a:ext uri="{147F2762-F138-4A5C-976F-8EAC2B608ADB}">
              <a16:predDERef xmlns:a16="http://schemas.microsoft.com/office/drawing/2014/main" pred="{56F49CE7-EB32-1081-EAFA-007EE2975D3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1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381000</xdr:colOff>
      <xdr:row>25</xdr:row>
      <xdr:rowOff>0</xdr:rowOff>
    </xdr:to>
    <xdr:sp macro="" textlink="">
      <xdr:nvSpPr>
        <xdr:cNvPr id="3139" name="AutoShape 67" descr="Stephon Castle">
          <a:hlinkClick xmlns:r="http://schemas.openxmlformats.org/officeDocument/2006/relationships" r:id="rId16" tooltip="Stephon Castle"/>
          <a:extLst>
            <a:ext uri="{FF2B5EF4-FFF2-40B4-BE49-F238E27FC236}">
              <a16:creationId xmlns:a16="http://schemas.microsoft.com/office/drawing/2014/main" id="{84C85134-5CA4-940F-6E50-155CF0BA1A11}"/>
            </a:ext>
            <a:ext uri="{147F2762-F138-4A5C-976F-8EAC2B608ADB}">
              <a16:predDERef xmlns:a16="http://schemas.microsoft.com/office/drawing/2014/main" pred="{F5268098-2561-68D6-6AA6-A8C88D79B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3140" name="AutoShape 68" descr="SAS">
          <a:hlinkClick xmlns:r="http://schemas.openxmlformats.org/officeDocument/2006/relationships" r:id="rId7" tooltip="2024-25 San Antonio Spurs"/>
          <a:extLst>
            <a:ext uri="{FF2B5EF4-FFF2-40B4-BE49-F238E27FC236}">
              <a16:creationId xmlns:a16="http://schemas.microsoft.com/office/drawing/2014/main" id="{A09098CA-18C9-1311-DCF4-695743BD90A0}"/>
            </a:ext>
            <a:ext uri="{147F2762-F138-4A5C-976F-8EAC2B608ADB}">
              <a16:predDERef xmlns:a16="http://schemas.microsoft.com/office/drawing/2014/main" pred="{84C85134-5CA4-940F-6E50-155CF0BA1A1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381000</xdr:colOff>
      <xdr:row>25</xdr:row>
      <xdr:rowOff>0</xdr:rowOff>
    </xdr:to>
    <xdr:sp macro="" textlink="">
      <xdr:nvSpPr>
        <xdr:cNvPr id="3141" name="AutoShape 69" descr="Tyrese Maxey">
          <a:hlinkClick xmlns:r="http://schemas.openxmlformats.org/officeDocument/2006/relationships" r:id="rId17" tooltip="Tyrese Maxey"/>
          <a:extLst>
            <a:ext uri="{FF2B5EF4-FFF2-40B4-BE49-F238E27FC236}">
              <a16:creationId xmlns:a16="http://schemas.microsoft.com/office/drawing/2014/main" id="{AA1114AD-CB9C-206D-DE1C-B1C4A397466A}"/>
            </a:ext>
            <a:ext uri="{147F2762-F138-4A5C-976F-8EAC2B608ADB}">
              <a16:predDERef xmlns:a16="http://schemas.microsoft.com/office/drawing/2014/main" pred="{A09098CA-18C9-1311-DCF4-695743BD9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24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3142" name="AutoShape 70" descr="PHI">
          <a:hlinkClick xmlns:r="http://schemas.openxmlformats.org/officeDocument/2006/relationships" r:id="rId18" tooltip="2024-25 Philadelphia 76ers"/>
          <a:extLst>
            <a:ext uri="{FF2B5EF4-FFF2-40B4-BE49-F238E27FC236}">
              <a16:creationId xmlns:a16="http://schemas.microsoft.com/office/drawing/2014/main" id="{6E698C75-8905-498B-E313-3728B7287101}"/>
            </a:ext>
            <a:ext uri="{147F2762-F138-4A5C-976F-8EAC2B608ADB}">
              <a16:predDERef xmlns:a16="http://schemas.microsoft.com/office/drawing/2014/main" pred="{AA1114AD-CB9C-206D-DE1C-B1C4A397466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32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381000</xdr:colOff>
      <xdr:row>26</xdr:row>
      <xdr:rowOff>0</xdr:rowOff>
    </xdr:to>
    <xdr:sp macro="" textlink="">
      <xdr:nvSpPr>
        <xdr:cNvPr id="3143" name="AutoShape 71" descr="Trae Young">
          <a:hlinkClick xmlns:r="http://schemas.openxmlformats.org/officeDocument/2006/relationships" r:id="rId19" tooltip="Trae Young"/>
          <a:extLst>
            <a:ext uri="{FF2B5EF4-FFF2-40B4-BE49-F238E27FC236}">
              <a16:creationId xmlns:a16="http://schemas.microsoft.com/office/drawing/2014/main" id="{B4691F3B-AAC0-BDA2-AD44-34E51951FBB3}"/>
            </a:ext>
            <a:ext uri="{147F2762-F138-4A5C-976F-8EAC2B608ADB}">
              <a16:predDERef xmlns:a16="http://schemas.microsoft.com/office/drawing/2014/main" pred="{6E698C75-8905-498B-E313-3728B7287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34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3144" name="AutoShape 72" descr="ATL">
          <a:hlinkClick xmlns:r="http://schemas.openxmlformats.org/officeDocument/2006/relationships" r:id="rId20" tooltip="2024-25 Atlanta Hawks"/>
          <a:extLst>
            <a:ext uri="{FF2B5EF4-FFF2-40B4-BE49-F238E27FC236}">
              <a16:creationId xmlns:a16="http://schemas.microsoft.com/office/drawing/2014/main" id="{5408C871-2F21-6C59-D596-7AC29296007F}"/>
            </a:ext>
            <a:ext uri="{147F2762-F138-4A5C-976F-8EAC2B608ADB}">
              <a16:predDERef xmlns:a16="http://schemas.microsoft.com/office/drawing/2014/main" pred="{B4691F3B-AAC0-BDA2-AD44-34E51951FBB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9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381000</xdr:colOff>
      <xdr:row>28</xdr:row>
      <xdr:rowOff>0</xdr:rowOff>
    </xdr:to>
    <xdr:sp macro="" textlink="">
      <xdr:nvSpPr>
        <xdr:cNvPr id="3145" name="AutoShape 73" descr="Jalen Wilson">
          <a:hlinkClick xmlns:r="http://schemas.openxmlformats.org/officeDocument/2006/relationships" r:id="rId21" tooltip="Jalen Wilson"/>
          <a:extLst>
            <a:ext uri="{FF2B5EF4-FFF2-40B4-BE49-F238E27FC236}">
              <a16:creationId xmlns:a16="http://schemas.microsoft.com/office/drawing/2014/main" id="{6B5CE216-13AC-EE2A-4549-C20F714C0DFA}"/>
            </a:ext>
            <a:ext uri="{147F2762-F138-4A5C-976F-8EAC2B608ADB}">
              <a16:predDERef xmlns:a16="http://schemas.microsoft.com/office/drawing/2014/main" pred="{5408C871-2F21-6C59-D596-7AC292960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3146" name="AutoShape 74" descr="BKN">
          <a:hlinkClick xmlns:r="http://schemas.openxmlformats.org/officeDocument/2006/relationships" r:id="rId22" tooltip="2024-25 Brooklyn Nets"/>
          <a:extLst>
            <a:ext uri="{FF2B5EF4-FFF2-40B4-BE49-F238E27FC236}">
              <a16:creationId xmlns:a16="http://schemas.microsoft.com/office/drawing/2014/main" id="{154E32D6-B099-1B8D-8453-143FEB3A6FDC}"/>
            </a:ext>
            <a:ext uri="{147F2762-F138-4A5C-976F-8EAC2B608ADB}">
              <a16:predDERef xmlns:a16="http://schemas.microsoft.com/office/drawing/2014/main" pred="{6B5CE216-13AC-EE2A-4549-C20F714C0DF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54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381000</xdr:colOff>
      <xdr:row>29</xdr:row>
      <xdr:rowOff>0</xdr:rowOff>
    </xdr:to>
    <xdr:sp macro="" textlink="">
      <xdr:nvSpPr>
        <xdr:cNvPr id="3147" name="AutoShape 75" descr="DeMar DeRozan">
          <a:hlinkClick xmlns:r="http://schemas.openxmlformats.org/officeDocument/2006/relationships" r:id="rId23" tooltip="DeMar DeRozan"/>
          <a:extLst>
            <a:ext uri="{FF2B5EF4-FFF2-40B4-BE49-F238E27FC236}">
              <a16:creationId xmlns:a16="http://schemas.microsoft.com/office/drawing/2014/main" id="{61B4A2A3-A6E8-286B-62CD-B99B77095187}"/>
            </a:ext>
            <a:ext uri="{147F2762-F138-4A5C-976F-8EAC2B608ADB}">
              <a16:predDERef xmlns:a16="http://schemas.microsoft.com/office/drawing/2014/main" pred="{154E32D6-B099-1B8D-8453-143FEB3A6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534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3148" name="AutoShape 76" descr="SAC">
          <a:hlinkClick xmlns:r="http://schemas.openxmlformats.org/officeDocument/2006/relationships" r:id="rId24" tooltip="2024-25 Sacramento Kings"/>
          <a:extLst>
            <a:ext uri="{FF2B5EF4-FFF2-40B4-BE49-F238E27FC236}">
              <a16:creationId xmlns:a16="http://schemas.microsoft.com/office/drawing/2014/main" id="{D0877FCB-45F1-0F94-9FEC-42C12A04BD36}"/>
            </a:ext>
            <a:ext uri="{147F2762-F138-4A5C-976F-8EAC2B608ADB}">
              <a16:predDERef xmlns:a16="http://schemas.microsoft.com/office/drawing/2014/main" pred="{61B4A2A3-A6E8-286B-62CD-B99B7709518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15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381000</xdr:colOff>
      <xdr:row>30</xdr:row>
      <xdr:rowOff>0</xdr:rowOff>
    </xdr:to>
    <xdr:sp macro="" textlink="">
      <xdr:nvSpPr>
        <xdr:cNvPr id="3149" name="AutoShape 77" descr="Zach LaVine">
          <a:hlinkClick xmlns:r="http://schemas.openxmlformats.org/officeDocument/2006/relationships" r:id="rId25" tooltip="Zach LaVine"/>
          <a:extLst>
            <a:ext uri="{FF2B5EF4-FFF2-40B4-BE49-F238E27FC236}">
              <a16:creationId xmlns:a16="http://schemas.microsoft.com/office/drawing/2014/main" id="{411FFB19-9D0D-1587-6422-2815AE95F8C7}"/>
            </a:ext>
            <a:ext uri="{147F2762-F138-4A5C-976F-8EAC2B608ADB}">
              <a16:predDERef xmlns:a16="http://schemas.microsoft.com/office/drawing/2014/main" pred="{D0877FCB-45F1-0F94-9FEC-42C12A04B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381000</xdr:colOff>
      <xdr:row>29</xdr:row>
      <xdr:rowOff>0</xdr:rowOff>
    </xdr:to>
    <xdr:sp macro="" textlink="">
      <xdr:nvSpPr>
        <xdr:cNvPr id="3150" name="AutoShape 78" descr="Coby White">
          <a:hlinkClick xmlns:r="http://schemas.openxmlformats.org/officeDocument/2006/relationships" r:id="rId26" tooltip="Coby White"/>
          <a:extLst>
            <a:ext uri="{FF2B5EF4-FFF2-40B4-BE49-F238E27FC236}">
              <a16:creationId xmlns:a16="http://schemas.microsoft.com/office/drawing/2014/main" id="{07BD2B4E-A6CC-434B-F02D-64B9D874B984}"/>
            </a:ext>
            <a:ext uri="{147F2762-F138-4A5C-976F-8EAC2B608ADB}">
              <a16:predDERef xmlns:a16="http://schemas.microsoft.com/office/drawing/2014/main" pred="{411FFB19-9D0D-1587-6422-2815AE95F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3151" name="AutoShape 79" descr="CHI">
          <a:hlinkClick xmlns:r="http://schemas.openxmlformats.org/officeDocument/2006/relationships" r:id="rId27" tooltip="2024-25 Chicago Bulls"/>
          <a:extLst>
            <a:ext uri="{FF2B5EF4-FFF2-40B4-BE49-F238E27FC236}">
              <a16:creationId xmlns:a16="http://schemas.microsoft.com/office/drawing/2014/main" id="{9CB852F8-2BF5-D278-3BC6-B51FD0B9EB1C}"/>
            </a:ext>
            <a:ext uri="{147F2762-F138-4A5C-976F-8EAC2B608ADB}">
              <a16:predDERef xmlns:a16="http://schemas.microsoft.com/office/drawing/2014/main" pred="{07BD2B4E-A6CC-434B-F02D-64B9D874B98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37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381000</xdr:colOff>
      <xdr:row>30</xdr:row>
      <xdr:rowOff>0</xdr:rowOff>
    </xdr:to>
    <xdr:sp macro="" textlink="">
      <xdr:nvSpPr>
        <xdr:cNvPr id="3152" name="AutoShape 80" descr="Kevin Durant">
          <a:hlinkClick xmlns:r="http://schemas.openxmlformats.org/officeDocument/2006/relationships" r:id="rId28" tooltip="Kevin Durant"/>
          <a:extLst>
            <a:ext uri="{FF2B5EF4-FFF2-40B4-BE49-F238E27FC236}">
              <a16:creationId xmlns:a16="http://schemas.microsoft.com/office/drawing/2014/main" id="{8D67B680-35CC-E755-1053-502CEEC206CE}"/>
            </a:ext>
            <a:ext uri="{147F2762-F138-4A5C-976F-8EAC2B608ADB}">
              <a16:predDERef xmlns:a16="http://schemas.microsoft.com/office/drawing/2014/main" pred="{9CB852F8-2BF5-D278-3BC6-B51FD0B9E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82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3153" name="AutoShape 81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ACB6453F-22CC-D071-B340-FB3EE661A604}"/>
            </a:ext>
            <a:ext uri="{147F2762-F138-4A5C-976F-8EAC2B608ADB}">
              <a16:predDERef xmlns:a16="http://schemas.microsoft.com/office/drawing/2014/main" pred="{8D67B680-35CC-E755-1053-502CEEC206C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98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381000</xdr:colOff>
      <xdr:row>42</xdr:row>
      <xdr:rowOff>0</xdr:rowOff>
    </xdr:to>
    <xdr:sp macro="" textlink="">
      <xdr:nvSpPr>
        <xdr:cNvPr id="3154" name="AutoShape 82" descr="Yves Missi">
          <a:hlinkClick xmlns:r="http://schemas.openxmlformats.org/officeDocument/2006/relationships" r:id="rId29" tooltip="Yves Missi"/>
          <a:extLst>
            <a:ext uri="{FF2B5EF4-FFF2-40B4-BE49-F238E27FC236}">
              <a16:creationId xmlns:a16="http://schemas.microsoft.com/office/drawing/2014/main" id="{5636DA00-06E6-4FE9-0499-49F2F6928EC6}"/>
            </a:ext>
            <a:ext uri="{147F2762-F138-4A5C-976F-8EAC2B608ADB}">
              <a16:predDERef xmlns:a16="http://schemas.microsoft.com/office/drawing/2014/main" pred="{ACB6453F-22CC-D071-B340-FB3EE661A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591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3155" name="AutoShape 83" descr="NOP">
          <a:hlinkClick xmlns:r="http://schemas.openxmlformats.org/officeDocument/2006/relationships" r:id="rId11" tooltip="2024-25 New Orleans Pelicans"/>
          <a:extLst>
            <a:ext uri="{FF2B5EF4-FFF2-40B4-BE49-F238E27FC236}">
              <a16:creationId xmlns:a16="http://schemas.microsoft.com/office/drawing/2014/main" id="{42316132-C83B-14C4-65BD-2555CD54256F}"/>
            </a:ext>
            <a:ext uri="{147F2762-F138-4A5C-976F-8EAC2B608ADB}">
              <a16:predDERef xmlns:a16="http://schemas.microsoft.com/office/drawing/2014/main" pred="{5636DA00-06E6-4FE9-0499-49F2F6928EC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5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381000</xdr:colOff>
      <xdr:row>43</xdr:row>
      <xdr:rowOff>0</xdr:rowOff>
    </xdr:to>
    <xdr:sp macro="" textlink="">
      <xdr:nvSpPr>
        <xdr:cNvPr id="3156" name="AutoShape 84" descr="Josh Green">
          <a:hlinkClick xmlns:r="http://schemas.openxmlformats.org/officeDocument/2006/relationships" r:id="rId30" tooltip="Josh Green"/>
          <a:extLst>
            <a:ext uri="{FF2B5EF4-FFF2-40B4-BE49-F238E27FC236}">
              <a16:creationId xmlns:a16="http://schemas.microsoft.com/office/drawing/2014/main" id="{E229920B-7E07-1143-1DBA-A629E46D8E12}"/>
            </a:ext>
            <a:ext uri="{147F2762-F138-4A5C-976F-8EAC2B608ADB}">
              <a16:predDERef xmlns:a16="http://schemas.microsoft.com/office/drawing/2014/main" pred="{42316132-C83B-14C4-65BD-2555CD542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157" name="AutoShape 85" descr="CHA">
          <a:hlinkClick xmlns:r="http://schemas.openxmlformats.org/officeDocument/2006/relationships" r:id="rId31" tooltip="2024-25 Charlotte Hornets"/>
          <a:extLst>
            <a:ext uri="{FF2B5EF4-FFF2-40B4-BE49-F238E27FC236}">
              <a16:creationId xmlns:a16="http://schemas.microsoft.com/office/drawing/2014/main" id="{1F0B12F9-CDD3-3D8C-9134-2407D054F85A}"/>
            </a:ext>
            <a:ext uri="{147F2762-F138-4A5C-976F-8EAC2B608ADB}">
              <a16:predDERef xmlns:a16="http://schemas.microsoft.com/office/drawing/2014/main" pred="{E229920B-7E07-1143-1DBA-A629E46D8E1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20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381000</xdr:colOff>
      <xdr:row>43</xdr:row>
      <xdr:rowOff>0</xdr:rowOff>
    </xdr:to>
    <xdr:sp macro="" textlink="">
      <xdr:nvSpPr>
        <xdr:cNvPr id="3158" name="AutoShape 86" descr="Klay Thompson">
          <a:hlinkClick xmlns:r="http://schemas.openxmlformats.org/officeDocument/2006/relationships" r:id="rId32" tooltip="Klay Thompson"/>
          <a:extLst>
            <a:ext uri="{FF2B5EF4-FFF2-40B4-BE49-F238E27FC236}">
              <a16:creationId xmlns:a16="http://schemas.microsoft.com/office/drawing/2014/main" id="{1FF4A522-EA36-0937-7F5D-8D2CE12F759E}"/>
            </a:ext>
            <a:ext uri="{147F2762-F138-4A5C-976F-8EAC2B608ADB}">
              <a16:predDERef xmlns:a16="http://schemas.microsoft.com/office/drawing/2014/main" pred="{1F0B12F9-CDD3-3D8C-9134-2407D054F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159" name="AutoShape 87" descr="DAL">
          <a:hlinkClick xmlns:r="http://schemas.openxmlformats.org/officeDocument/2006/relationships" r:id="rId33" tooltip="2024-25 Dallas Mavericks"/>
          <a:extLst>
            <a:ext uri="{FF2B5EF4-FFF2-40B4-BE49-F238E27FC236}">
              <a16:creationId xmlns:a16="http://schemas.microsoft.com/office/drawing/2014/main" id="{612B6B6D-1411-CF63-3BBF-05454D66F024}"/>
            </a:ext>
            <a:ext uri="{147F2762-F138-4A5C-976F-8EAC2B608ADB}">
              <a16:predDERef xmlns:a16="http://schemas.microsoft.com/office/drawing/2014/main" pred="{1FF4A522-EA36-0937-7F5D-8D2CE12F759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381000</xdr:colOff>
      <xdr:row>43</xdr:row>
      <xdr:rowOff>0</xdr:rowOff>
    </xdr:to>
    <xdr:sp macro="" textlink="">
      <xdr:nvSpPr>
        <xdr:cNvPr id="3160" name="AutoShape 88" descr="Jalen Brunson">
          <a:hlinkClick xmlns:r="http://schemas.openxmlformats.org/officeDocument/2006/relationships" r:id="rId34" tooltip="Jalen Brunson"/>
          <a:extLst>
            <a:ext uri="{FF2B5EF4-FFF2-40B4-BE49-F238E27FC236}">
              <a16:creationId xmlns:a16="http://schemas.microsoft.com/office/drawing/2014/main" id="{FF5F7A98-3B22-285A-27D7-EC3FA12915C3}"/>
            </a:ext>
            <a:ext uri="{147F2762-F138-4A5C-976F-8EAC2B608ADB}">
              <a16:predDERef xmlns:a16="http://schemas.microsoft.com/office/drawing/2014/main" pred="{612B6B6D-1411-CF63-3BBF-05454D66F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420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161" name="AutoShape 89" descr="NYK">
          <a:hlinkClick xmlns:r="http://schemas.openxmlformats.org/officeDocument/2006/relationships" r:id="rId35" tooltip="2024-25 New York Knicks"/>
          <a:extLst>
            <a:ext uri="{FF2B5EF4-FFF2-40B4-BE49-F238E27FC236}">
              <a16:creationId xmlns:a16="http://schemas.microsoft.com/office/drawing/2014/main" id="{C62DEB3C-2FC8-62C4-BE0E-C2ABBA4882F9}"/>
            </a:ext>
            <a:ext uri="{147F2762-F138-4A5C-976F-8EAC2B608ADB}">
              <a16:predDERef xmlns:a16="http://schemas.microsoft.com/office/drawing/2014/main" pred="{FF5F7A98-3B22-285A-27D7-EC3FA12915C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42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381000</xdr:colOff>
      <xdr:row>43</xdr:row>
      <xdr:rowOff>0</xdr:rowOff>
    </xdr:to>
    <xdr:sp macro="" textlink="">
      <xdr:nvSpPr>
        <xdr:cNvPr id="3162" name="AutoShape 90" descr="Shaedon Sharpe">
          <a:hlinkClick xmlns:r="http://schemas.openxmlformats.org/officeDocument/2006/relationships" r:id="rId36" tooltip="Shaedon Sharpe"/>
          <a:extLst>
            <a:ext uri="{FF2B5EF4-FFF2-40B4-BE49-F238E27FC236}">
              <a16:creationId xmlns:a16="http://schemas.microsoft.com/office/drawing/2014/main" id="{E3026A64-A74D-EA17-572A-FCB35FDB624E}"/>
            </a:ext>
            <a:ext uri="{147F2762-F138-4A5C-976F-8EAC2B608ADB}">
              <a16:predDERef xmlns:a16="http://schemas.microsoft.com/office/drawing/2014/main" pred="{C62DEB3C-2FC8-62C4-BE0E-C2ABBA488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163" name="AutoShape 91" descr="POR">
          <a:hlinkClick xmlns:r="http://schemas.openxmlformats.org/officeDocument/2006/relationships" r:id="rId14" tooltip="2024-25 Portland Trail Blazers"/>
          <a:extLst>
            <a:ext uri="{FF2B5EF4-FFF2-40B4-BE49-F238E27FC236}">
              <a16:creationId xmlns:a16="http://schemas.microsoft.com/office/drawing/2014/main" id="{C984CE3D-76B3-0049-5327-4E5ABCC25FF2}"/>
            </a:ext>
            <a:ext uri="{147F2762-F138-4A5C-976F-8EAC2B608ADB}">
              <a16:predDERef xmlns:a16="http://schemas.microsoft.com/office/drawing/2014/main" pred="{E3026A64-A74D-EA17-572A-FCB35FDB624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03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381000</xdr:colOff>
      <xdr:row>43</xdr:row>
      <xdr:rowOff>0</xdr:rowOff>
    </xdr:to>
    <xdr:sp macro="" textlink="">
      <xdr:nvSpPr>
        <xdr:cNvPr id="3164" name="AutoShape 92" descr="Spencer Dinwiddie">
          <a:hlinkClick xmlns:r="http://schemas.openxmlformats.org/officeDocument/2006/relationships" r:id="rId37" tooltip="Spencer Dinwiddie"/>
          <a:extLst>
            <a:ext uri="{FF2B5EF4-FFF2-40B4-BE49-F238E27FC236}">
              <a16:creationId xmlns:a16="http://schemas.microsoft.com/office/drawing/2014/main" id="{3F9893D0-3222-4779-0F29-520488E9A944}"/>
            </a:ext>
            <a:ext uri="{147F2762-F138-4A5C-976F-8EAC2B608ADB}">
              <a16:predDERef xmlns:a16="http://schemas.microsoft.com/office/drawing/2014/main" pred="{C984CE3D-76B3-0049-5327-4E5ABCC25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39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165" name="AutoShape 93" descr="DAL">
          <a:hlinkClick xmlns:r="http://schemas.openxmlformats.org/officeDocument/2006/relationships" r:id="rId33" tooltip="2024-25 Dallas Mavericks"/>
          <a:extLst>
            <a:ext uri="{FF2B5EF4-FFF2-40B4-BE49-F238E27FC236}">
              <a16:creationId xmlns:a16="http://schemas.microsoft.com/office/drawing/2014/main" id="{71FC9EC8-7519-16C5-BF30-9ECD9E291792}"/>
            </a:ext>
            <a:ext uri="{147F2762-F138-4A5C-976F-8EAC2B608ADB}">
              <a16:predDERef xmlns:a16="http://schemas.microsoft.com/office/drawing/2014/main" pred="{3F9893D0-3222-4779-0F29-520488E9A94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63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381000</xdr:colOff>
      <xdr:row>43</xdr:row>
      <xdr:rowOff>0</xdr:rowOff>
    </xdr:to>
    <xdr:sp macro="" textlink="">
      <xdr:nvSpPr>
        <xdr:cNvPr id="3166" name="AutoShape 94" descr="Jaylen Wells">
          <a:hlinkClick xmlns:r="http://schemas.openxmlformats.org/officeDocument/2006/relationships" r:id="rId38" tooltip="Jaylen Wells"/>
          <a:extLst>
            <a:ext uri="{FF2B5EF4-FFF2-40B4-BE49-F238E27FC236}">
              <a16:creationId xmlns:a16="http://schemas.microsoft.com/office/drawing/2014/main" id="{C8EA1065-C7BC-B4C4-2CE4-8FABEA6E4A85}"/>
            </a:ext>
            <a:ext uri="{147F2762-F138-4A5C-976F-8EAC2B608ADB}">
              <a16:predDERef xmlns:a16="http://schemas.microsoft.com/office/drawing/2014/main" pred="{71FC9EC8-7519-16C5-BF30-9ECD9E291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494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167" name="AutoShape 95" descr="MEM">
          <a:hlinkClick xmlns:r="http://schemas.openxmlformats.org/officeDocument/2006/relationships" r:id="rId39" tooltip="2024-25 Memphis Grizzlies"/>
          <a:extLst>
            <a:ext uri="{FF2B5EF4-FFF2-40B4-BE49-F238E27FC236}">
              <a16:creationId xmlns:a16="http://schemas.microsoft.com/office/drawing/2014/main" id="{B92CA94B-32A0-719A-6750-D4EF20F95FCB}"/>
            </a:ext>
            <a:ext uri="{147F2762-F138-4A5C-976F-8EAC2B608ADB}">
              <a16:predDERef xmlns:a16="http://schemas.microsoft.com/office/drawing/2014/main" pred="{C8EA1065-C7BC-B4C4-2CE4-8FABEA6E4A8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24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381000</xdr:colOff>
      <xdr:row>43</xdr:row>
      <xdr:rowOff>0</xdr:rowOff>
    </xdr:to>
    <xdr:sp macro="" textlink="">
      <xdr:nvSpPr>
        <xdr:cNvPr id="3168" name="AutoShape 96" descr="Mikal Bridges">
          <a:hlinkClick xmlns:r="http://schemas.openxmlformats.org/officeDocument/2006/relationships" r:id="rId40" tooltip="Mikal Bridges"/>
          <a:extLst>
            <a:ext uri="{FF2B5EF4-FFF2-40B4-BE49-F238E27FC236}">
              <a16:creationId xmlns:a16="http://schemas.microsoft.com/office/drawing/2014/main" id="{FD40D50D-D8BB-E872-BAD4-6036E2A2B656}"/>
            </a:ext>
            <a:ext uri="{147F2762-F138-4A5C-976F-8EAC2B608ADB}">
              <a16:predDERef xmlns:a16="http://schemas.microsoft.com/office/drawing/2014/main" pred="{B92CA94B-32A0-719A-6750-D4EF20F95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3169" name="AutoShape 97" descr="NYK">
          <a:hlinkClick xmlns:r="http://schemas.openxmlformats.org/officeDocument/2006/relationships" r:id="rId35" tooltip="2024-25 New York Knicks"/>
          <a:extLst>
            <a:ext uri="{FF2B5EF4-FFF2-40B4-BE49-F238E27FC236}">
              <a16:creationId xmlns:a16="http://schemas.microsoft.com/office/drawing/2014/main" id="{54A21722-AD40-397D-8391-F95A3D5F09BC}"/>
            </a:ext>
            <a:ext uri="{147F2762-F138-4A5C-976F-8EAC2B608ADB}">
              <a16:predDERef xmlns:a16="http://schemas.microsoft.com/office/drawing/2014/main" pred="{FD40D50D-D8BB-E872-BAD4-6036E2A2B65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81000" cy="381000"/>
    <xdr:sp macro="" textlink="">
      <xdr:nvSpPr>
        <xdr:cNvPr id="2" name="AutoShape 49" descr="Keyonte George">
          <a:hlinkClick xmlns:r="http://schemas.openxmlformats.org/officeDocument/2006/relationships" r:id="rId1" tooltip="Keyonte George"/>
          <a:extLst>
            <a:ext uri="{FF2B5EF4-FFF2-40B4-BE49-F238E27FC236}">
              <a16:creationId xmlns:a16="http://schemas.microsoft.com/office/drawing/2014/main" id="{F672F622-29FC-4153-A184-CAD779C586D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" name="AutoShape 50" descr="UTA">
          <a:hlinkClick xmlns:r="http://schemas.openxmlformats.org/officeDocument/2006/relationships" r:id="rId2" tooltip="2024-25 Utah Jazz"/>
          <a:extLst>
            <a:ext uri="{FF2B5EF4-FFF2-40B4-BE49-F238E27FC236}">
              <a16:creationId xmlns:a16="http://schemas.microsoft.com/office/drawing/2014/main" id="{A352AF2A-DBD8-4E50-A3C7-A5F302D0027C}"/>
            </a:ext>
            <a:ext uri="{147F2762-F138-4A5C-976F-8EAC2B608ADB}">
              <a16:predDERef xmlns:a16="http://schemas.microsoft.com/office/drawing/2014/main" pred="{4A165EBD-4A72-563F-92D7-33CF41EC397D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</xdr:row>
      <xdr:rowOff>0</xdr:rowOff>
    </xdr:from>
    <xdr:ext cx="381000" cy="381000"/>
    <xdr:sp macro="" textlink="">
      <xdr:nvSpPr>
        <xdr:cNvPr id="4" name="AutoShape 51" descr="Tyus Jones">
          <a:hlinkClick xmlns:r="http://schemas.openxmlformats.org/officeDocument/2006/relationships" r:id="rId3" tooltip="Tyus Jones"/>
          <a:extLst>
            <a:ext uri="{FF2B5EF4-FFF2-40B4-BE49-F238E27FC236}">
              <a16:creationId xmlns:a16="http://schemas.microsoft.com/office/drawing/2014/main" id="{8F6A7927-FE13-4420-80DB-D8C9A8F6EA6D}"/>
            </a:ext>
            <a:ext uri="{147F2762-F138-4A5C-976F-8EAC2B608ADB}">
              <a16:predDERef xmlns:a16="http://schemas.microsoft.com/office/drawing/2014/main" pred="{1A876195-2947-1E35-3AC3-A15DEE8CAB49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</xdr:row>
      <xdr:rowOff>0</xdr:rowOff>
    </xdr:from>
    <xdr:ext cx="152400" cy="152400"/>
    <xdr:sp macro="" textlink="">
      <xdr:nvSpPr>
        <xdr:cNvPr id="5" name="AutoShape 52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F7CD0FC1-9E1A-48B6-B6C2-769A2FB04D70}"/>
            </a:ext>
            <a:ext uri="{147F2762-F138-4A5C-976F-8EAC2B608ADB}">
              <a16:predDERef xmlns:a16="http://schemas.microsoft.com/office/drawing/2014/main" pred="{743065D6-8EC2-6181-2DA2-538F557A57ED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81000" cy="381000"/>
    <xdr:sp macro="" textlink="">
      <xdr:nvSpPr>
        <xdr:cNvPr id="6" name="AutoShape 53" descr="Devin Booker">
          <a:hlinkClick xmlns:r="http://schemas.openxmlformats.org/officeDocument/2006/relationships" r:id="rId5" tooltip="Devin Booker"/>
          <a:extLst>
            <a:ext uri="{FF2B5EF4-FFF2-40B4-BE49-F238E27FC236}">
              <a16:creationId xmlns:a16="http://schemas.microsoft.com/office/drawing/2014/main" id="{631A9601-F534-4B3B-B597-75D4BBBD47A4}"/>
            </a:ext>
            <a:ext uri="{147F2762-F138-4A5C-976F-8EAC2B608ADB}">
              <a16:predDERef xmlns:a16="http://schemas.microsoft.com/office/drawing/2014/main" pred="{2492A1CA-FF45-7099-9377-F39194FE8BBA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152400" cy="152400"/>
    <xdr:sp macro="" textlink="">
      <xdr:nvSpPr>
        <xdr:cNvPr id="7" name="AutoShape 54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EF640D72-DAD3-48A5-A1E2-40CF54ED172A}"/>
            </a:ext>
            <a:ext uri="{147F2762-F138-4A5C-976F-8EAC2B608ADB}">
              <a16:predDERef xmlns:a16="http://schemas.microsoft.com/office/drawing/2014/main" pred="{3E8B4EAE-A6F6-06B6-398A-AC3663D47458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81000" cy="381000"/>
    <xdr:sp macro="" textlink="">
      <xdr:nvSpPr>
        <xdr:cNvPr id="8" name="AutoShape 55" descr="Harrison Barnes">
          <a:hlinkClick xmlns:r="http://schemas.openxmlformats.org/officeDocument/2006/relationships" r:id="rId6" tooltip="Harrison Barnes"/>
          <a:extLst>
            <a:ext uri="{FF2B5EF4-FFF2-40B4-BE49-F238E27FC236}">
              <a16:creationId xmlns:a16="http://schemas.microsoft.com/office/drawing/2014/main" id="{7D8E0F51-561F-46BC-8346-C3141054E262}"/>
            </a:ext>
            <a:ext uri="{147F2762-F138-4A5C-976F-8EAC2B608ADB}">
              <a16:predDERef xmlns:a16="http://schemas.microsoft.com/office/drawing/2014/main" pred="{C5FFE550-6C4B-FF22-237D-CFB0E7BADCC8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152400" cy="152400"/>
    <xdr:sp macro="" textlink="">
      <xdr:nvSpPr>
        <xdr:cNvPr id="9" name="AutoShape 56" descr="SAS">
          <a:hlinkClick xmlns:r="http://schemas.openxmlformats.org/officeDocument/2006/relationships" r:id="rId7" tooltip="2024-25 San Antonio Spurs"/>
          <a:extLst>
            <a:ext uri="{FF2B5EF4-FFF2-40B4-BE49-F238E27FC236}">
              <a16:creationId xmlns:a16="http://schemas.microsoft.com/office/drawing/2014/main" id="{4CF3CB96-EE3D-4C24-B210-53177B45BA21}"/>
            </a:ext>
            <a:ext uri="{147F2762-F138-4A5C-976F-8EAC2B608ADB}">
              <a16:predDERef xmlns:a16="http://schemas.microsoft.com/office/drawing/2014/main" pred="{F819F2EE-CC2D-CB90-77E9-69A591F09EB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</xdr:row>
      <xdr:rowOff>0</xdr:rowOff>
    </xdr:from>
    <xdr:ext cx="381000" cy="381000"/>
    <xdr:sp macro="" textlink="">
      <xdr:nvSpPr>
        <xdr:cNvPr id="10" name="AutoShape 57" descr="Carlton Carrington">
          <a:hlinkClick xmlns:r="http://schemas.openxmlformats.org/officeDocument/2006/relationships" r:id="rId8" tooltip="Carlton Carrington"/>
          <a:extLst>
            <a:ext uri="{FF2B5EF4-FFF2-40B4-BE49-F238E27FC236}">
              <a16:creationId xmlns:a16="http://schemas.microsoft.com/office/drawing/2014/main" id="{5DBF8B47-CD39-4B05-A688-2DDF7C3F2360}"/>
            </a:ext>
            <a:ext uri="{147F2762-F138-4A5C-976F-8EAC2B608ADB}">
              <a16:predDERef xmlns:a16="http://schemas.microsoft.com/office/drawing/2014/main" pred="{DE927C79-F57A-76F4-BF9E-68F70ADADCD2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</xdr:row>
      <xdr:rowOff>0</xdr:rowOff>
    </xdr:from>
    <xdr:ext cx="152400" cy="152400"/>
    <xdr:sp macro="" textlink="">
      <xdr:nvSpPr>
        <xdr:cNvPr id="11" name="AutoShape 58" descr="WAS">
          <a:hlinkClick xmlns:r="http://schemas.openxmlformats.org/officeDocument/2006/relationships" r:id="rId9" tooltip="2024-25 Washington Wizards"/>
          <a:extLst>
            <a:ext uri="{FF2B5EF4-FFF2-40B4-BE49-F238E27FC236}">
              <a16:creationId xmlns:a16="http://schemas.microsoft.com/office/drawing/2014/main" id="{48F674FF-D699-4EC6-A103-32FB6E99B443}"/>
            </a:ext>
            <a:ext uri="{147F2762-F138-4A5C-976F-8EAC2B608ADB}">
              <a16:predDERef xmlns:a16="http://schemas.microsoft.com/office/drawing/2014/main" pred="{50DB4E92-1418-0F6F-188C-4D7D2546582A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381000" cy="381000"/>
    <xdr:sp macro="" textlink="">
      <xdr:nvSpPr>
        <xdr:cNvPr id="12" name="AutoShape 59" descr="Trey Murphy III">
          <a:hlinkClick xmlns:r="http://schemas.openxmlformats.org/officeDocument/2006/relationships" r:id="rId10" tooltip="Trey Murphy III"/>
          <a:extLst>
            <a:ext uri="{FF2B5EF4-FFF2-40B4-BE49-F238E27FC236}">
              <a16:creationId xmlns:a16="http://schemas.microsoft.com/office/drawing/2014/main" id="{BF4C8256-4625-4852-853A-C1C24AF024BF}"/>
            </a:ext>
            <a:ext uri="{147F2762-F138-4A5C-976F-8EAC2B608ADB}">
              <a16:predDERef xmlns:a16="http://schemas.microsoft.com/office/drawing/2014/main" pred="{89E00995-736E-CDEC-FB67-117341639798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152400" cy="152400"/>
    <xdr:sp macro="" textlink="">
      <xdr:nvSpPr>
        <xdr:cNvPr id="13" name="AutoShape 60" descr="NOP">
          <a:hlinkClick xmlns:r="http://schemas.openxmlformats.org/officeDocument/2006/relationships" r:id="rId11" tooltip="2024-25 New Orleans Pelicans"/>
          <a:extLst>
            <a:ext uri="{FF2B5EF4-FFF2-40B4-BE49-F238E27FC236}">
              <a16:creationId xmlns:a16="http://schemas.microsoft.com/office/drawing/2014/main" id="{4A8FDA28-22FB-4227-862D-D93A00AE7B35}"/>
            </a:ext>
            <a:ext uri="{147F2762-F138-4A5C-976F-8EAC2B608ADB}">
              <a16:predDERef xmlns:a16="http://schemas.microsoft.com/office/drawing/2014/main" pred="{ED9225CB-B996-4670-DEBF-CC7425D65225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81000" cy="381000"/>
    <xdr:sp macro="" textlink="">
      <xdr:nvSpPr>
        <xdr:cNvPr id="14" name="AutoShape 61" descr="Jordan Poole">
          <a:hlinkClick xmlns:r="http://schemas.openxmlformats.org/officeDocument/2006/relationships" r:id="rId12" tooltip="Jordan Poole"/>
          <a:extLst>
            <a:ext uri="{FF2B5EF4-FFF2-40B4-BE49-F238E27FC236}">
              <a16:creationId xmlns:a16="http://schemas.microsoft.com/office/drawing/2014/main" id="{597A1890-FDBB-4489-81DE-E25B13E4CBF9}"/>
            </a:ext>
            <a:ext uri="{147F2762-F138-4A5C-976F-8EAC2B608ADB}">
              <a16:predDERef xmlns:a16="http://schemas.microsoft.com/office/drawing/2014/main" pred="{9F1441EA-4524-F614-C9F5-E3E180A58E24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152400" cy="152400"/>
    <xdr:sp macro="" textlink="">
      <xdr:nvSpPr>
        <xdr:cNvPr id="15" name="AutoShape 62" descr="WAS">
          <a:hlinkClick xmlns:r="http://schemas.openxmlformats.org/officeDocument/2006/relationships" r:id="rId9" tooltip="2024-25 Washington Wizards"/>
          <a:extLst>
            <a:ext uri="{FF2B5EF4-FFF2-40B4-BE49-F238E27FC236}">
              <a16:creationId xmlns:a16="http://schemas.microsoft.com/office/drawing/2014/main" id="{E3CADC2D-67AA-43A1-A6C7-59864DB178F3}"/>
            </a:ext>
            <a:ext uri="{147F2762-F138-4A5C-976F-8EAC2B608ADB}">
              <a16:predDERef xmlns:a16="http://schemas.microsoft.com/office/drawing/2014/main" pred="{03DBD9BD-03BA-4E46-251F-6E1A7E3DE565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381000" cy="381000"/>
    <xdr:sp macro="" textlink="">
      <xdr:nvSpPr>
        <xdr:cNvPr id="16" name="AutoShape 63" descr="Anfernee Simons">
          <a:hlinkClick xmlns:r="http://schemas.openxmlformats.org/officeDocument/2006/relationships" r:id="rId13" tooltip="Anfernee Simons"/>
          <a:extLst>
            <a:ext uri="{FF2B5EF4-FFF2-40B4-BE49-F238E27FC236}">
              <a16:creationId xmlns:a16="http://schemas.microsoft.com/office/drawing/2014/main" id="{2B2A3870-F46F-4C36-806D-467417CBAF7B}"/>
            </a:ext>
            <a:ext uri="{147F2762-F138-4A5C-976F-8EAC2B608ADB}">
              <a16:predDERef xmlns:a16="http://schemas.microsoft.com/office/drawing/2014/main" pred="{CC311388-92AF-9439-FF4C-505122A36DF6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152400" cy="152400"/>
    <xdr:sp macro="" textlink="">
      <xdr:nvSpPr>
        <xdr:cNvPr id="17" name="AutoShape 64" descr="POR">
          <a:hlinkClick xmlns:r="http://schemas.openxmlformats.org/officeDocument/2006/relationships" r:id="rId14" tooltip="2024-25 Portland Trail Blazers"/>
          <a:extLst>
            <a:ext uri="{FF2B5EF4-FFF2-40B4-BE49-F238E27FC236}">
              <a16:creationId xmlns:a16="http://schemas.microsoft.com/office/drawing/2014/main" id="{1B32B472-8BA2-4E71-8136-CB25E760AAAF}"/>
            </a:ext>
            <a:ext uri="{147F2762-F138-4A5C-976F-8EAC2B608ADB}">
              <a16:predDERef xmlns:a16="http://schemas.microsoft.com/office/drawing/2014/main" pred="{76932611-5D12-D934-DDA5-37F958C06F97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381000" cy="381000"/>
    <xdr:sp macro="" textlink="">
      <xdr:nvSpPr>
        <xdr:cNvPr id="18" name="AutoShape 65" descr="Bilal Coulibaly">
          <a:hlinkClick xmlns:r="http://schemas.openxmlformats.org/officeDocument/2006/relationships" r:id="rId15" tooltip="Bilal Coulibaly"/>
          <a:extLst>
            <a:ext uri="{FF2B5EF4-FFF2-40B4-BE49-F238E27FC236}">
              <a16:creationId xmlns:a16="http://schemas.microsoft.com/office/drawing/2014/main" id="{52CB3DF6-5E95-4369-BD05-6A86A0B0BD8A}"/>
            </a:ext>
            <a:ext uri="{147F2762-F138-4A5C-976F-8EAC2B608ADB}">
              <a16:predDERef xmlns:a16="http://schemas.microsoft.com/office/drawing/2014/main" pred="{F4784792-AE7E-13E6-1730-C33A8956A452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152400" cy="152400"/>
    <xdr:sp macro="" textlink="">
      <xdr:nvSpPr>
        <xdr:cNvPr id="19" name="AutoShape 66" descr="WAS">
          <a:hlinkClick xmlns:r="http://schemas.openxmlformats.org/officeDocument/2006/relationships" r:id="rId9" tooltip="2024-25 Washington Wizards"/>
          <a:extLst>
            <a:ext uri="{FF2B5EF4-FFF2-40B4-BE49-F238E27FC236}">
              <a16:creationId xmlns:a16="http://schemas.microsoft.com/office/drawing/2014/main" id="{C6D7AED0-79B3-4F63-9BB5-607B28B303AE}"/>
            </a:ext>
            <a:ext uri="{147F2762-F138-4A5C-976F-8EAC2B608ADB}">
              <a16:predDERef xmlns:a16="http://schemas.microsoft.com/office/drawing/2014/main" pred="{56F49CE7-EB32-1081-EAFA-007EE2975D39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81000" cy="381000"/>
    <xdr:sp macro="" textlink="">
      <xdr:nvSpPr>
        <xdr:cNvPr id="20" name="AutoShape 67" descr="Stephon Castle">
          <a:hlinkClick xmlns:r="http://schemas.openxmlformats.org/officeDocument/2006/relationships" r:id="rId16" tooltip="Stephon Castle"/>
          <a:extLst>
            <a:ext uri="{FF2B5EF4-FFF2-40B4-BE49-F238E27FC236}">
              <a16:creationId xmlns:a16="http://schemas.microsoft.com/office/drawing/2014/main" id="{742F138F-F5F7-469C-87B4-A7BEFC6A80D6}"/>
            </a:ext>
            <a:ext uri="{147F2762-F138-4A5C-976F-8EAC2B608ADB}">
              <a16:predDERef xmlns:a16="http://schemas.microsoft.com/office/drawing/2014/main" pred="{F5268098-2561-68D6-6AA6-A8C88D79B49B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52400" cy="152400"/>
    <xdr:sp macro="" textlink="">
      <xdr:nvSpPr>
        <xdr:cNvPr id="21" name="AutoShape 68" descr="SAS">
          <a:hlinkClick xmlns:r="http://schemas.openxmlformats.org/officeDocument/2006/relationships" r:id="rId7" tooltip="2024-25 San Antonio Spurs"/>
          <a:extLst>
            <a:ext uri="{FF2B5EF4-FFF2-40B4-BE49-F238E27FC236}">
              <a16:creationId xmlns:a16="http://schemas.microsoft.com/office/drawing/2014/main" id="{475044F4-5406-4383-9B04-568F523B1F0E}"/>
            </a:ext>
            <a:ext uri="{147F2762-F138-4A5C-976F-8EAC2B608ADB}">
              <a16:predDERef xmlns:a16="http://schemas.microsoft.com/office/drawing/2014/main" pred="{84C85134-5CA4-940F-6E50-155CF0BA1A11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81000" cy="381000"/>
    <xdr:sp macro="" textlink="">
      <xdr:nvSpPr>
        <xdr:cNvPr id="22" name="AutoShape 69" descr="Tyrese Maxey">
          <a:hlinkClick xmlns:r="http://schemas.openxmlformats.org/officeDocument/2006/relationships" r:id="rId17" tooltip="Tyrese Maxey"/>
          <a:extLst>
            <a:ext uri="{FF2B5EF4-FFF2-40B4-BE49-F238E27FC236}">
              <a16:creationId xmlns:a16="http://schemas.microsoft.com/office/drawing/2014/main" id="{4C13EA63-B61F-431C-A7AE-C903DB47441C}"/>
            </a:ext>
            <a:ext uri="{147F2762-F138-4A5C-976F-8EAC2B608ADB}">
              <a16:predDERef xmlns:a16="http://schemas.microsoft.com/office/drawing/2014/main" pred="{A09098CA-18C9-1311-DCF4-695743BD90A0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52400" cy="152400"/>
    <xdr:sp macro="" textlink="">
      <xdr:nvSpPr>
        <xdr:cNvPr id="23" name="AutoShape 70" descr="PHI">
          <a:hlinkClick xmlns:r="http://schemas.openxmlformats.org/officeDocument/2006/relationships" r:id="rId18" tooltip="2024-25 Philadelphia 76ers"/>
          <a:extLst>
            <a:ext uri="{FF2B5EF4-FFF2-40B4-BE49-F238E27FC236}">
              <a16:creationId xmlns:a16="http://schemas.microsoft.com/office/drawing/2014/main" id="{D85C7AC1-D475-4677-92F0-7AD1624AA3C1}"/>
            </a:ext>
            <a:ext uri="{147F2762-F138-4A5C-976F-8EAC2B608ADB}">
              <a16:predDERef xmlns:a16="http://schemas.microsoft.com/office/drawing/2014/main" pred="{AA1114AD-CB9C-206D-DE1C-B1C4A397466A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81000" cy="381000"/>
    <xdr:sp macro="" textlink="">
      <xdr:nvSpPr>
        <xdr:cNvPr id="24" name="AutoShape 71" descr="Trae Young">
          <a:hlinkClick xmlns:r="http://schemas.openxmlformats.org/officeDocument/2006/relationships" r:id="rId19" tooltip="Trae Young"/>
          <a:extLst>
            <a:ext uri="{FF2B5EF4-FFF2-40B4-BE49-F238E27FC236}">
              <a16:creationId xmlns:a16="http://schemas.microsoft.com/office/drawing/2014/main" id="{2F6ADC61-FC8A-4E04-A664-F58B7DE77141}"/>
            </a:ext>
            <a:ext uri="{147F2762-F138-4A5C-976F-8EAC2B608ADB}">
              <a16:predDERef xmlns:a16="http://schemas.microsoft.com/office/drawing/2014/main" pred="{6E698C75-8905-498B-E313-3728B7287101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52400" cy="152400"/>
    <xdr:sp macro="" textlink="">
      <xdr:nvSpPr>
        <xdr:cNvPr id="25" name="AutoShape 72" descr="ATL">
          <a:hlinkClick xmlns:r="http://schemas.openxmlformats.org/officeDocument/2006/relationships" r:id="rId20" tooltip="2024-25 Atlanta Hawks"/>
          <a:extLst>
            <a:ext uri="{FF2B5EF4-FFF2-40B4-BE49-F238E27FC236}">
              <a16:creationId xmlns:a16="http://schemas.microsoft.com/office/drawing/2014/main" id="{E67AE3C8-A378-4A53-A66D-12FF8797761D}"/>
            </a:ext>
            <a:ext uri="{147F2762-F138-4A5C-976F-8EAC2B608ADB}">
              <a16:predDERef xmlns:a16="http://schemas.microsoft.com/office/drawing/2014/main" pred="{B4691F3B-AAC0-BDA2-AD44-34E51951FBB3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81000" cy="381000"/>
    <xdr:sp macro="" textlink="">
      <xdr:nvSpPr>
        <xdr:cNvPr id="26" name="AutoShape 73" descr="Jalen Wilson">
          <a:hlinkClick xmlns:r="http://schemas.openxmlformats.org/officeDocument/2006/relationships" r:id="rId21" tooltip="Jalen Wilson"/>
          <a:extLst>
            <a:ext uri="{FF2B5EF4-FFF2-40B4-BE49-F238E27FC236}">
              <a16:creationId xmlns:a16="http://schemas.microsoft.com/office/drawing/2014/main" id="{BBAD2592-F4AE-4D43-BB73-DDEC612C2354}"/>
            </a:ext>
            <a:ext uri="{147F2762-F138-4A5C-976F-8EAC2B608ADB}">
              <a16:predDERef xmlns:a16="http://schemas.microsoft.com/office/drawing/2014/main" pred="{5408C871-2F21-6C59-D596-7AC29296007F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52400" cy="152400"/>
    <xdr:sp macro="" textlink="">
      <xdr:nvSpPr>
        <xdr:cNvPr id="27" name="AutoShape 74" descr="BKN">
          <a:hlinkClick xmlns:r="http://schemas.openxmlformats.org/officeDocument/2006/relationships" r:id="rId22" tooltip="2024-25 Brooklyn Nets"/>
          <a:extLst>
            <a:ext uri="{FF2B5EF4-FFF2-40B4-BE49-F238E27FC236}">
              <a16:creationId xmlns:a16="http://schemas.microsoft.com/office/drawing/2014/main" id="{214697D3-4FD5-493F-BF0F-F27840D2BFA4}"/>
            </a:ext>
            <a:ext uri="{147F2762-F138-4A5C-976F-8EAC2B608ADB}">
              <a16:predDERef xmlns:a16="http://schemas.microsoft.com/office/drawing/2014/main" pred="{6B5CE216-13AC-EE2A-4549-C20F714C0DFA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81000" cy="381000"/>
    <xdr:sp macro="" textlink="">
      <xdr:nvSpPr>
        <xdr:cNvPr id="28" name="AutoShape 75" descr="DeMar DeRozan">
          <a:hlinkClick xmlns:r="http://schemas.openxmlformats.org/officeDocument/2006/relationships" r:id="rId23" tooltip="DeMar DeRozan"/>
          <a:extLst>
            <a:ext uri="{FF2B5EF4-FFF2-40B4-BE49-F238E27FC236}">
              <a16:creationId xmlns:a16="http://schemas.microsoft.com/office/drawing/2014/main" id="{862A891C-07C2-49AA-AF28-1A08F1D42BB4}"/>
            </a:ext>
            <a:ext uri="{147F2762-F138-4A5C-976F-8EAC2B608ADB}">
              <a16:predDERef xmlns:a16="http://schemas.microsoft.com/office/drawing/2014/main" pred="{154E32D6-B099-1B8D-8453-143FEB3A6FDC}"/>
            </a:ext>
          </a:extLst>
        </xdr:cNvPr>
        <xdr:cNvSpPr>
          <a:spLocks noChangeAspect="1" noChangeArrowheads="1"/>
        </xdr:cNvSpPr>
      </xdr:nvSpPr>
      <xdr:spPr bwMode="auto">
        <a:xfrm>
          <a:off x="0" y="514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52400" cy="152400"/>
    <xdr:sp macro="" textlink="">
      <xdr:nvSpPr>
        <xdr:cNvPr id="29" name="AutoShape 76" descr="SAC">
          <a:hlinkClick xmlns:r="http://schemas.openxmlformats.org/officeDocument/2006/relationships" r:id="rId24" tooltip="2024-25 Sacramento Kings"/>
          <a:extLst>
            <a:ext uri="{FF2B5EF4-FFF2-40B4-BE49-F238E27FC236}">
              <a16:creationId xmlns:a16="http://schemas.microsoft.com/office/drawing/2014/main" id="{1B643811-3EEF-4816-9400-754969AF5DC6}"/>
            </a:ext>
            <a:ext uri="{147F2762-F138-4A5C-976F-8EAC2B608ADB}">
              <a16:predDERef xmlns:a16="http://schemas.microsoft.com/office/drawing/2014/main" pred="{61B4A2A3-A6E8-286B-62CD-B99B77095187}"/>
            </a:ext>
          </a:extLst>
        </xdr:cNvPr>
        <xdr:cNvSpPr>
          <a:spLocks noChangeAspect="1" noChangeArrowheads="1"/>
        </xdr:cNvSpPr>
      </xdr:nvSpPr>
      <xdr:spPr bwMode="auto">
        <a:xfrm>
          <a:off x="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381000" cy="381000"/>
    <xdr:sp macro="" textlink="">
      <xdr:nvSpPr>
        <xdr:cNvPr id="30" name="AutoShape 77" descr="Zach LaVine">
          <a:hlinkClick xmlns:r="http://schemas.openxmlformats.org/officeDocument/2006/relationships" r:id="rId25" tooltip="Zach LaVine"/>
          <a:extLst>
            <a:ext uri="{FF2B5EF4-FFF2-40B4-BE49-F238E27FC236}">
              <a16:creationId xmlns:a16="http://schemas.microsoft.com/office/drawing/2014/main" id="{128316FD-CB7C-4CF0-878A-9D97A6EA4FF1}"/>
            </a:ext>
            <a:ext uri="{147F2762-F138-4A5C-976F-8EAC2B608ADB}">
              <a16:predDERef xmlns:a16="http://schemas.microsoft.com/office/drawing/2014/main" pred="{D0877FCB-45F1-0F94-9FEC-42C12A04BD3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81000" cy="381000"/>
    <xdr:sp macro="" textlink="">
      <xdr:nvSpPr>
        <xdr:cNvPr id="31" name="AutoShape 78" descr="Coby White">
          <a:hlinkClick xmlns:r="http://schemas.openxmlformats.org/officeDocument/2006/relationships" r:id="rId26" tooltip="Coby White"/>
          <a:extLst>
            <a:ext uri="{FF2B5EF4-FFF2-40B4-BE49-F238E27FC236}">
              <a16:creationId xmlns:a16="http://schemas.microsoft.com/office/drawing/2014/main" id="{BE106855-BA3B-43D1-B5A5-506A96CAAE02}"/>
            </a:ext>
            <a:ext uri="{147F2762-F138-4A5C-976F-8EAC2B608ADB}">
              <a16:predDERef xmlns:a16="http://schemas.microsoft.com/office/drawing/2014/main" pred="{411FFB19-9D0D-1587-6422-2815AE95F8C7}"/>
            </a:ext>
          </a:extLst>
        </xdr:cNvPr>
        <xdr:cNvSpPr>
          <a:spLocks noChangeAspect="1" noChangeArrowheads="1"/>
        </xdr:cNvSpPr>
      </xdr:nvSpPr>
      <xdr:spPr bwMode="auto">
        <a:xfrm>
          <a:off x="0" y="514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52400" cy="152400"/>
    <xdr:sp macro="" textlink="">
      <xdr:nvSpPr>
        <xdr:cNvPr id="32" name="AutoShape 79" descr="CHI">
          <a:hlinkClick xmlns:r="http://schemas.openxmlformats.org/officeDocument/2006/relationships" r:id="rId27" tooltip="2024-25 Chicago Bulls"/>
          <a:extLst>
            <a:ext uri="{FF2B5EF4-FFF2-40B4-BE49-F238E27FC236}">
              <a16:creationId xmlns:a16="http://schemas.microsoft.com/office/drawing/2014/main" id="{8294D891-20A8-4D0B-822F-1747988B2F2D}"/>
            </a:ext>
            <a:ext uri="{147F2762-F138-4A5C-976F-8EAC2B608ADB}">
              <a16:predDERef xmlns:a16="http://schemas.microsoft.com/office/drawing/2014/main" pred="{07BD2B4E-A6CC-434B-F02D-64B9D874B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381000" cy="381000"/>
    <xdr:sp macro="" textlink="">
      <xdr:nvSpPr>
        <xdr:cNvPr id="33" name="AutoShape 80" descr="Kevin Durant">
          <a:hlinkClick xmlns:r="http://schemas.openxmlformats.org/officeDocument/2006/relationships" r:id="rId28" tooltip="Kevin Durant"/>
          <a:extLst>
            <a:ext uri="{FF2B5EF4-FFF2-40B4-BE49-F238E27FC236}">
              <a16:creationId xmlns:a16="http://schemas.microsoft.com/office/drawing/2014/main" id="{07F9583E-AE91-4910-99B8-5DCE52474590}"/>
            </a:ext>
            <a:ext uri="{147F2762-F138-4A5C-976F-8EAC2B608ADB}">
              <a16:predDERef xmlns:a16="http://schemas.microsoft.com/office/drawing/2014/main" pred="{9CB852F8-2BF5-D278-3BC6-B51FD0B9EB1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52400" cy="152400"/>
    <xdr:sp macro="" textlink="">
      <xdr:nvSpPr>
        <xdr:cNvPr id="34" name="AutoShape 81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AF31601C-1EE6-4FFB-9D08-928C556B9089}"/>
            </a:ext>
            <a:ext uri="{147F2762-F138-4A5C-976F-8EAC2B608ADB}">
              <a16:predDERef xmlns:a16="http://schemas.microsoft.com/office/drawing/2014/main" pred="{8D67B680-35CC-E755-1053-502CEEC206CE}"/>
            </a:ext>
          </a:extLst>
        </xdr:cNvPr>
        <xdr:cNvSpPr>
          <a:spLocks noChangeAspect="1" noChangeArrowheads="1"/>
        </xdr:cNvSpPr>
      </xdr:nvSpPr>
      <xdr:spPr bwMode="auto">
        <a:xfrm>
          <a:off x="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381000" cy="381000"/>
    <xdr:sp macro="" textlink="">
      <xdr:nvSpPr>
        <xdr:cNvPr id="35" name="AutoShape 82" descr="Yves Missi">
          <a:hlinkClick xmlns:r="http://schemas.openxmlformats.org/officeDocument/2006/relationships" r:id="rId29" tooltip="Yves Missi"/>
          <a:extLst>
            <a:ext uri="{FF2B5EF4-FFF2-40B4-BE49-F238E27FC236}">
              <a16:creationId xmlns:a16="http://schemas.microsoft.com/office/drawing/2014/main" id="{0593F516-7E0F-4A31-843C-7E945E3AB3E3}"/>
            </a:ext>
            <a:ext uri="{147F2762-F138-4A5C-976F-8EAC2B608ADB}">
              <a16:predDERef xmlns:a16="http://schemas.microsoft.com/office/drawing/2014/main" pred="{ACB6453F-22CC-D071-B340-FB3EE661A604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52400" cy="152400"/>
    <xdr:sp macro="" textlink="">
      <xdr:nvSpPr>
        <xdr:cNvPr id="36" name="AutoShape 83" descr="NOP">
          <a:hlinkClick xmlns:r="http://schemas.openxmlformats.org/officeDocument/2006/relationships" r:id="rId11" tooltip="2024-25 New Orleans Pelicans"/>
          <a:extLst>
            <a:ext uri="{FF2B5EF4-FFF2-40B4-BE49-F238E27FC236}">
              <a16:creationId xmlns:a16="http://schemas.microsoft.com/office/drawing/2014/main" id="{BC55B0B9-7E09-4356-9CE2-7B102BD3E1B1}"/>
            </a:ext>
            <a:ext uri="{147F2762-F138-4A5C-976F-8EAC2B608ADB}">
              <a16:predDERef xmlns:a16="http://schemas.microsoft.com/office/drawing/2014/main" pred="{5636DA00-06E6-4FE9-0499-49F2F6928EC6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381000" cy="381000"/>
    <xdr:sp macro="" textlink="">
      <xdr:nvSpPr>
        <xdr:cNvPr id="37" name="AutoShape 84" descr="Josh Green">
          <a:hlinkClick xmlns:r="http://schemas.openxmlformats.org/officeDocument/2006/relationships" r:id="rId30" tooltip="Josh Green"/>
          <a:extLst>
            <a:ext uri="{FF2B5EF4-FFF2-40B4-BE49-F238E27FC236}">
              <a16:creationId xmlns:a16="http://schemas.microsoft.com/office/drawing/2014/main" id="{80A11F36-9A36-4DD9-9F46-A42C245B4B20}"/>
            </a:ext>
            <a:ext uri="{147F2762-F138-4A5C-976F-8EAC2B608ADB}">
              <a16:predDERef xmlns:a16="http://schemas.microsoft.com/office/drawing/2014/main" pred="{42316132-C83B-14C4-65BD-2555CD54256F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52400" cy="152400"/>
    <xdr:sp macro="" textlink="">
      <xdr:nvSpPr>
        <xdr:cNvPr id="38" name="AutoShape 85" descr="CHA">
          <a:hlinkClick xmlns:r="http://schemas.openxmlformats.org/officeDocument/2006/relationships" r:id="rId31" tooltip="2024-25 Charlotte Hornets"/>
          <a:extLst>
            <a:ext uri="{FF2B5EF4-FFF2-40B4-BE49-F238E27FC236}">
              <a16:creationId xmlns:a16="http://schemas.microsoft.com/office/drawing/2014/main" id="{44C48611-E433-4DC4-8687-AD1420152107}"/>
            </a:ext>
            <a:ext uri="{147F2762-F138-4A5C-976F-8EAC2B608ADB}">
              <a16:predDERef xmlns:a16="http://schemas.microsoft.com/office/drawing/2014/main" pred="{E229920B-7E07-1143-1DBA-A629E46D8E12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381000" cy="381000"/>
    <xdr:sp macro="" textlink="">
      <xdr:nvSpPr>
        <xdr:cNvPr id="39" name="AutoShape 86" descr="Klay Thompson">
          <a:hlinkClick xmlns:r="http://schemas.openxmlformats.org/officeDocument/2006/relationships" r:id="rId32" tooltip="Klay Thompson"/>
          <a:extLst>
            <a:ext uri="{FF2B5EF4-FFF2-40B4-BE49-F238E27FC236}">
              <a16:creationId xmlns:a16="http://schemas.microsoft.com/office/drawing/2014/main" id="{E2BF5F1B-5D77-4737-B94E-EDA5089E4F69}"/>
            </a:ext>
            <a:ext uri="{147F2762-F138-4A5C-976F-8EAC2B608ADB}">
              <a16:predDERef xmlns:a16="http://schemas.microsoft.com/office/drawing/2014/main" pred="{1F0B12F9-CDD3-3D8C-9134-2407D054F85A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52400" cy="152400"/>
    <xdr:sp macro="" textlink="">
      <xdr:nvSpPr>
        <xdr:cNvPr id="40" name="AutoShape 87" descr="DAL">
          <a:hlinkClick xmlns:r="http://schemas.openxmlformats.org/officeDocument/2006/relationships" r:id="rId33" tooltip="2024-25 Dallas Mavericks"/>
          <a:extLst>
            <a:ext uri="{FF2B5EF4-FFF2-40B4-BE49-F238E27FC236}">
              <a16:creationId xmlns:a16="http://schemas.microsoft.com/office/drawing/2014/main" id="{1092B68E-D3C2-41BE-97EF-6485A6E571DB}"/>
            </a:ext>
            <a:ext uri="{147F2762-F138-4A5C-976F-8EAC2B608ADB}">
              <a16:predDERef xmlns:a16="http://schemas.microsoft.com/office/drawing/2014/main" pred="{1FF4A522-EA36-0937-7F5D-8D2CE12F759E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381000" cy="381000"/>
    <xdr:sp macro="" textlink="">
      <xdr:nvSpPr>
        <xdr:cNvPr id="41" name="AutoShape 88" descr="Jalen Brunson">
          <a:hlinkClick xmlns:r="http://schemas.openxmlformats.org/officeDocument/2006/relationships" r:id="rId34" tooltip="Jalen Brunson"/>
          <a:extLst>
            <a:ext uri="{FF2B5EF4-FFF2-40B4-BE49-F238E27FC236}">
              <a16:creationId xmlns:a16="http://schemas.microsoft.com/office/drawing/2014/main" id="{CFB9C3D8-06A6-4FFE-89F5-A9D37ABA8F33}"/>
            </a:ext>
            <a:ext uri="{147F2762-F138-4A5C-976F-8EAC2B608ADB}">
              <a16:predDERef xmlns:a16="http://schemas.microsoft.com/office/drawing/2014/main" pred="{612B6B6D-1411-CF63-3BBF-05454D66F024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52400" cy="152400"/>
    <xdr:sp macro="" textlink="">
      <xdr:nvSpPr>
        <xdr:cNvPr id="42" name="AutoShape 89" descr="NYK">
          <a:hlinkClick xmlns:r="http://schemas.openxmlformats.org/officeDocument/2006/relationships" r:id="rId35" tooltip="2024-25 New York Knicks"/>
          <a:extLst>
            <a:ext uri="{FF2B5EF4-FFF2-40B4-BE49-F238E27FC236}">
              <a16:creationId xmlns:a16="http://schemas.microsoft.com/office/drawing/2014/main" id="{38F2CCC3-4A2D-4E40-9445-82472F921B91}"/>
            </a:ext>
            <a:ext uri="{147F2762-F138-4A5C-976F-8EAC2B608ADB}">
              <a16:predDERef xmlns:a16="http://schemas.microsoft.com/office/drawing/2014/main" pred="{FF5F7A98-3B22-285A-27D7-EC3FA12915C3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381000" cy="381000"/>
    <xdr:sp macro="" textlink="">
      <xdr:nvSpPr>
        <xdr:cNvPr id="43" name="AutoShape 90" descr="Shaedon Sharpe">
          <a:hlinkClick xmlns:r="http://schemas.openxmlformats.org/officeDocument/2006/relationships" r:id="rId36" tooltip="Shaedon Sharpe"/>
          <a:extLst>
            <a:ext uri="{FF2B5EF4-FFF2-40B4-BE49-F238E27FC236}">
              <a16:creationId xmlns:a16="http://schemas.microsoft.com/office/drawing/2014/main" id="{A0F02716-276C-4E47-B4DA-D50337F97205}"/>
            </a:ext>
            <a:ext uri="{147F2762-F138-4A5C-976F-8EAC2B608ADB}">
              <a16:predDERef xmlns:a16="http://schemas.microsoft.com/office/drawing/2014/main" pred="{C62DEB3C-2FC8-62C4-BE0E-C2ABBA4882F9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52400" cy="152400"/>
    <xdr:sp macro="" textlink="">
      <xdr:nvSpPr>
        <xdr:cNvPr id="44" name="AutoShape 91" descr="POR">
          <a:hlinkClick xmlns:r="http://schemas.openxmlformats.org/officeDocument/2006/relationships" r:id="rId14" tooltip="2024-25 Portland Trail Blazers"/>
          <a:extLst>
            <a:ext uri="{FF2B5EF4-FFF2-40B4-BE49-F238E27FC236}">
              <a16:creationId xmlns:a16="http://schemas.microsoft.com/office/drawing/2014/main" id="{04E81A0A-2860-4E5D-B70A-6FE6495FC8D1}"/>
            </a:ext>
            <a:ext uri="{147F2762-F138-4A5C-976F-8EAC2B608ADB}">
              <a16:predDERef xmlns:a16="http://schemas.microsoft.com/office/drawing/2014/main" pred="{E3026A64-A74D-EA17-572A-FCB35FDB624E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381000" cy="381000"/>
    <xdr:sp macro="" textlink="">
      <xdr:nvSpPr>
        <xdr:cNvPr id="45" name="AutoShape 92" descr="Spencer Dinwiddie">
          <a:hlinkClick xmlns:r="http://schemas.openxmlformats.org/officeDocument/2006/relationships" r:id="rId37" tooltip="Spencer Dinwiddie"/>
          <a:extLst>
            <a:ext uri="{FF2B5EF4-FFF2-40B4-BE49-F238E27FC236}">
              <a16:creationId xmlns:a16="http://schemas.microsoft.com/office/drawing/2014/main" id="{4289257E-012C-4A1A-9963-FE95452BA366}"/>
            </a:ext>
            <a:ext uri="{147F2762-F138-4A5C-976F-8EAC2B608ADB}">
              <a16:predDERef xmlns:a16="http://schemas.microsoft.com/office/drawing/2014/main" pred="{C984CE3D-76B3-0049-5327-4E5ABCC25FF2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52400" cy="152400"/>
    <xdr:sp macro="" textlink="">
      <xdr:nvSpPr>
        <xdr:cNvPr id="46" name="AutoShape 93" descr="DAL">
          <a:hlinkClick xmlns:r="http://schemas.openxmlformats.org/officeDocument/2006/relationships" r:id="rId33" tooltip="2024-25 Dallas Mavericks"/>
          <a:extLst>
            <a:ext uri="{FF2B5EF4-FFF2-40B4-BE49-F238E27FC236}">
              <a16:creationId xmlns:a16="http://schemas.microsoft.com/office/drawing/2014/main" id="{2EBB72FF-491A-4057-8701-4571AE3D6661}"/>
            </a:ext>
            <a:ext uri="{147F2762-F138-4A5C-976F-8EAC2B608ADB}">
              <a16:predDERef xmlns:a16="http://schemas.microsoft.com/office/drawing/2014/main" pred="{3F9893D0-3222-4779-0F29-520488E9A944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381000" cy="381000"/>
    <xdr:sp macro="" textlink="">
      <xdr:nvSpPr>
        <xdr:cNvPr id="47" name="AutoShape 94" descr="Jaylen Wells">
          <a:hlinkClick xmlns:r="http://schemas.openxmlformats.org/officeDocument/2006/relationships" r:id="rId38" tooltip="Jaylen Wells"/>
          <a:extLst>
            <a:ext uri="{FF2B5EF4-FFF2-40B4-BE49-F238E27FC236}">
              <a16:creationId xmlns:a16="http://schemas.microsoft.com/office/drawing/2014/main" id="{969EE1E2-56F9-41CA-A1A8-A798E16CE99D}"/>
            </a:ext>
            <a:ext uri="{147F2762-F138-4A5C-976F-8EAC2B608ADB}">
              <a16:predDERef xmlns:a16="http://schemas.microsoft.com/office/drawing/2014/main" pred="{71FC9EC8-7519-16C5-BF30-9ECD9E291792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52400" cy="152400"/>
    <xdr:sp macro="" textlink="">
      <xdr:nvSpPr>
        <xdr:cNvPr id="48" name="AutoShape 95" descr="MEM">
          <a:hlinkClick xmlns:r="http://schemas.openxmlformats.org/officeDocument/2006/relationships" r:id="rId39" tooltip="2024-25 Memphis Grizzlies"/>
          <a:extLst>
            <a:ext uri="{FF2B5EF4-FFF2-40B4-BE49-F238E27FC236}">
              <a16:creationId xmlns:a16="http://schemas.microsoft.com/office/drawing/2014/main" id="{BFD9D4E4-6DEE-4228-9549-E175961F8AA0}"/>
            </a:ext>
            <a:ext uri="{147F2762-F138-4A5C-976F-8EAC2B608ADB}">
              <a16:predDERef xmlns:a16="http://schemas.microsoft.com/office/drawing/2014/main" pred="{C8EA1065-C7BC-B4C4-2CE4-8FABEA6E4A85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381000" cy="381000"/>
    <xdr:sp macro="" textlink="">
      <xdr:nvSpPr>
        <xdr:cNvPr id="49" name="AutoShape 96" descr="Mikal Bridges">
          <a:hlinkClick xmlns:r="http://schemas.openxmlformats.org/officeDocument/2006/relationships" r:id="rId40" tooltip="Mikal Bridges"/>
          <a:extLst>
            <a:ext uri="{FF2B5EF4-FFF2-40B4-BE49-F238E27FC236}">
              <a16:creationId xmlns:a16="http://schemas.microsoft.com/office/drawing/2014/main" id="{A200946E-6FCE-45E2-9DB7-4E6C9D9F3228}"/>
            </a:ext>
            <a:ext uri="{147F2762-F138-4A5C-976F-8EAC2B608ADB}">
              <a16:predDERef xmlns:a16="http://schemas.microsoft.com/office/drawing/2014/main" pred="{B92CA94B-32A0-719A-6750-D4EF20F95FCB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52400" cy="152400"/>
    <xdr:sp macro="" textlink="">
      <xdr:nvSpPr>
        <xdr:cNvPr id="50" name="AutoShape 97" descr="NYK">
          <a:hlinkClick xmlns:r="http://schemas.openxmlformats.org/officeDocument/2006/relationships" r:id="rId35" tooltip="2024-25 New York Knicks"/>
          <a:extLst>
            <a:ext uri="{FF2B5EF4-FFF2-40B4-BE49-F238E27FC236}">
              <a16:creationId xmlns:a16="http://schemas.microsoft.com/office/drawing/2014/main" id="{842C3B3F-7BB3-4804-9F3E-C393FE1D4614}"/>
            </a:ext>
            <a:ext uri="{147F2762-F138-4A5C-976F-8EAC2B608ADB}">
              <a16:predDERef xmlns:a16="http://schemas.microsoft.com/office/drawing/2014/main" pred="{FD40D50D-D8BB-E872-BAD4-6036E2A2B656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909</xdr:row>
      <xdr:rowOff>0</xdr:rowOff>
    </xdr:from>
    <xdr:to>
      <xdr:col>0</xdr:col>
      <xdr:colOff>247650</xdr:colOff>
      <xdr:row>910</xdr:row>
      <xdr:rowOff>66675</xdr:rowOff>
    </xdr:to>
    <xdr:pic>
      <xdr:nvPicPr>
        <xdr:cNvPr id="31" name="Picture 2" descr="Trending">
          <a:extLst>
            <a:ext uri="{FF2B5EF4-FFF2-40B4-BE49-F238E27FC236}">
              <a16:creationId xmlns:a16="http://schemas.microsoft.com/office/drawing/2014/main" id="{0CC7EA99-ADB8-4B8C-A541-21D50C931D1C}"/>
            </a:ext>
            <a:ext uri="{147F2762-F138-4A5C-976F-8EAC2B608ADB}">
              <a16:predDERef xmlns:a16="http://schemas.microsoft.com/office/drawing/2014/main" pred="{65C4AD10-525C-4164-BD71-ED9AEE5E8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355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247650</xdr:colOff>
      <xdr:row>941</xdr:row>
      <xdr:rowOff>66675</xdr:rowOff>
    </xdr:to>
    <xdr:pic>
      <xdr:nvPicPr>
        <xdr:cNvPr id="32" name="Picture 3" descr="Trending">
          <a:extLst>
            <a:ext uri="{FF2B5EF4-FFF2-40B4-BE49-F238E27FC236}">
              <a16:creationId xmlns:a16="http://schemas.microsoft.com/office/drawing/2014/main" id="{6274DCDA-5615-4725-91B5-121150ED0C16}"/>
            </a:ext>
            <a:ext uri="{147F2762-F138-4A5C-976F-8EAC2B608ADB}">
              <a16:predDERef xmlns:a16="http://schemas.microsoft.com/office/drawing/2014/main" pred="{0CC7EA99-ADB8-4B8C-A541-21D50C931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410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0</xdr:col>
      <xdr:colOff>247650</xdr:colOff>
      <xdr:row>1017</xdr:row>
      <xdr:rowOff>66675</xdr:rowOff>
    </xdr:to>
    <xdr:pic>
      <xdr:nvPicPr>
        <xdr:cNvPr id="33" name="Picture 4" descr="Trending">
          <a:extLst>
            <a:ext uri="{FF2B5EF4-FFF2-40B4-BE49-F238E27FC236}">
              <a16:creationId xmlns:a16="http://schemas.microsoft.com/office/drawing/2014/main" id="{8AEAD736-8639-435D-B813-4973679C3278}"/>
            </a:ext>
            <a:ext uri="{147F2762-F138-4A5C-976F-8EAC2B608ADB}">
              <a16:predDERef xmlns:a16="http://schemas.microsoft.com/office/drawing/2014/main" pred="{6274DCDA-5615-4725-91B5-121150ED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7190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247650</xdr:colOff>
      <xdr:row>1314</xdr:row>
      <xdr:rowOff>66675</xdr:rowOff>
    </xdr:to>
    <xdr:pic>
      <xdr:nvPicPr>
        <xdr:cNvPr id="35" name="Picture 6" descr="Trending">
          <a:extLst>
            <a:ext uri="{FF2B5EF4-FFF2-40B4-BE49-F238E27FC236}">
              <a16:creationId xmlns:a16="http://schemas.microsoft.com/office/drawing/2014/main" id="{A686BECA-97A4-44B2-8F67-AC7221C4FC93}"/>
            </a:ext>
            <a:ext uri="{147F2762-F138-4A5C-976F-8EAC2B608ADB}">
              <a16:predDERef xmlns:a16="http://schemas.microsoft.com/office/drawing/2014/main" pred="{49474348-F06D-4DBE-BE3F-A5036DBB6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2975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247650</xdr:colOff>
      <xdr:row>1320</xdr:row>
      <xdr:rowOff>66675</xdr:rowOff>
    </xdr:to>
    <xdr:pic>
      <xdr:nvPicPr>
        <xdr:cNvPr id="36" name="Picture 7" descr="Trending">
          <a:extLst>
            <a:ext uri="{FF2B5EF4-FFF2-40B4-BE49-F238E27FC236}">
              <a16:creationId xmlns:a16="http://schemas.microsoft.com/office/drawing/2014/main" id="{63ABFF93-D699-4BA8-8447-3054B030A55D}"/>
            </a:ext>
            <a:ext uri="{147F2762-F138-4A5C-976F-8EAC2B608ADB}">
              <a16:predDERef xmlns:a16="http://schemas.microsoft.com/office/drawing/2014/main" pred="{A686BECA-97A4-44B2-8F67-AC7221C4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4405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247650</xdr:colOff>
      <xdr:row>1326</xdr:row>
      <xdr:rowOff>66675</xdr:rowOff>
    </xdr:to>
    <xdr:pic>
      <xdr:nvPicPr>
        <xdr:cNvPr id="37" name="Picture 8" descr="Trending">
          <a:extLst>
            <a:ext uri="{FF2B5EF4-FFF2-40B4-BE49-F238E27FC236}">
              <a16:creationId xmlns:a16="http://schemas.microsoft.com/office/drawing/2014/main" id="{108E0D9C-056E-4946-8CE4-A7707ED5ED94}"/>
            </a:ext>
            <a:ext uri="{147F2762-F138-4A5C-976F-8EAC2B608ADB}">
              <a16:predDERef xmlns:a16="http://schemas.microsoft.com/office/drawing/2014/main" pred="{63ABFF93-D699-4BA8-8447-3054B030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5835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247650</xdr:colOff>
      <xdr:row>1332</xdr:row>
      <xdr:rowOff>66675</xdr:rowOff>
    </xdr:to>
    <xdr:pic>
      <xdr:nvPicPr>
        <xdr:cNvPr id="38" name="Picture 9" descr="Trending">
          <a:extLst>
            <a:ext uri="{FF2B5EF4-FFF2-40B4-BE49-F238E27FC236}">
              <a16:creationId xmlns:a16="http://schemas.microsoft.com/office/drawing/2014/main" id="{46960B1E-725A-4CBA-B5FB-25C00583FCF1}"/>
            </a:ext>
            <a:ext uri="{147F2762-F138-4A5C-976F-8EAC2B608ADB}">
              <a16:predDERef xmlns:a16="http://schemas.microsoft.com/office/drawing/2014/main" pred="{108E0D9C-056E-4946-8CE4-A7707ED5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7265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1342</xdr:row>
      <xdr:rowOff>0</xdr:rowOff>
    </xdr:from>
    <xdr:to>
      <xdr:col>0</xdr:col>
      <xdr:colOff>247650</xdr:colOff>
      <xdr:row>1343</xdr:row>
      <xdr:rowOff>66675</xdr:rowOff>
    </xdr:to>
    <xdr:pic>
      <xdr:nvPicPr>
        <xdr:cNvPr id="39" name="Picture 10" descr="Trending">
          <a:extLst>
            <a:ext uri="{FF2B5EF4-FFF2-40B4-BE49-F238E27FC236}">
              <a16:creationId xmlns:a16="http://schemas.microsoft.com/office/drawing/2014/main" id="{E06FF50F-6760-4DB9-9EF0-9BF9B32898D3}"/>
            </a:ext>
            <a:ext uri="{147F2762-F138-4A5C-976F-8EAC2B608ADB}">
              <a16:predDERef xmlns:a16="http://schemas.microsoft.com/office/drawing/2014/main" pred="{46960B1E-725A-4CBA-B5FB-25C00583F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8220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1348</xdr:row>
      <xdr:rowOff>0</xdr:rowOff>
    </xdr:from>
    <xdr:to>
      <xdr:col>0</xdr:col>
      <xdr:colOff>247650</xdr:colOff>
      <xdr:row>1349</xdr:row>
      <xdr:rowOff>66675</xdr:rowOff>
    </xdr:to>
    <xdr:pic>
      <xdr:nvPicPr>
        <xdr:cNvPr id="40" name="Picture 11" descr="Trending">
          <a:extLst>
            <a:ext uri="{FF2B5EF4-FFF2-40B4-BE49-F238E27FC236}">
              <a16:creationId xmlns:a16="http://schemas.microsoft.com/office/drawing/2014/main" id="{58A25061-97EC-4941-A8FE-C6E355F88C68}"/>
            </a:ext>
            <a:ext uri="{147F2762-F138-4A5C-976F-8EAC2B608ADB}">
              <a16:predDERef xmlns:a16="http://schemas.microsoft.com/office/drawing/2014/main" pred="{E06FF50F-6760-4DB9-9EF0-9BF9B328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9650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1354</xdr:row>
      <xdr:rowOff>0</xdr:rowOff>
    </xdr:from>
    <xdr:to>
      <xdr:col>0</xdr:col>
      <xdr:colOff>247650</xdr:colOff>
      <xdr:row>1355</xdr:row>
      <xdr:rowOff>66675</xdr:rowOff>
    </xdr:to>
    <xdr:pic>
      <xdr:nvPicPr>
        <xdr:cNvPr id="41" name="Picture 12" descr="Trending">
          <a:extLst>
            <a:ext uri="{FF2B5EF4-FFF2-40B4-BE49-F238E27FC236}">
              <a16:creationId xmlns:a16="http://schemas.microsoft.com/office/drawing/2014/main" id="{3E4D6176-D688-4857-8CEE-34BB6412D185}"/>
            </a:ext>
            <a:ext uri="{147F2762-F138-4A5C-976F-8EAC2B608ADB}">
              <a16:predDERef xmlns:a16="http://schemas.microsoft.com/office/drawing/2014/main" pred="{58A25061-97EC-4941-A8FE-C6E355F8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1080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247650</xdr:colOff>
      <xdr:row>1366</xdr:row>
      <xdr:rowOff>66675</xdr:rowOff>
    </xdr:to>
    <xdr:pic>
      <xdr:nvPicPr>
        <xdr:cNvPr id="42" name="Picture 13" descr="Trending">
          <a:extLst>
            <a:ext uri="{FF2B5EF4-FFF2-40B4-BE49-F238E27FC236}">
              <a16:creationId xmlns:a16="http://schemas.microsoft.com/office/drawing/2014/main" id="{352FB3A5-4EA9-4C6C-8DFC-168751FB3088}"/>
            </a:ext>
            <a:ext uri="{147F2762-F138-4A5C-976F-8EAC2B608ADB}">
              <a16:predDERef xmlns:a16="http://schemas.microsoft.com/office/drawing/2014/main" pred="{3E4D6176-D688-4857-8CEE-34BB6412D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203500"/>
          <a:ext cx="247650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1486</xdr:row>
      <xdr:rowOff>0</xdr:rowOff>
    </xdr:from>
    <xdr:to>
      <xdr:col>0</xdr:col>
      <xdr:colOff>247650</xdr:colOff>
      <xdr:row>1487</xdr:row>
      <xdr:rowOff>66675</xdr:rowOff>
    </xdr:to>
    <xdr:pic>
      <xdr:nvPicPr>
        <xdr:cNvPr id="43" name="Picture 14" descr="Trending">
          <a:extLst>
            <a:ext uri="{FF2B5EF4-FFF2-40B4-BE49-F238E27FC236}">
              <a16:creationId xmlns:a16="http://schemas.microsoft.com/office/drawing/2014/main" id="{21EEA28F-B14E-473A-8609-687BC4E6CA7B}"/>
            </a:ext>
            <a:ext uri="{147F2762-F138-4A5C-976F-8EAC2B608ADB}">
              <a16:predDERef xmlns:a16="http://schemas.microsoft.com/office/drawing/2014/main" pred="{352FB3A5-4EA9-4C6C-8DFC-168751FB3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254000"/>
          <a:ext cx="247650" cy="257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381000</xdr:colOff>
      <xdr:row>9</xdr:row>
      <xdr:rowOff>0</xdr:rowOff>
    </xdr:to>
    <xdr:sp macro="" textlink="">
      <xdr:nvSpPr>
        <xdr:cNvPr id="2" name="AutoShape 59" descr="Trey Murphy III">
          <a:hlinkClick xmlns:r="http://schemas.openxmlformats.org/officeDocument/2006/relationships" r:id="rId1" tooltip="Trey Murphy III"/>
          <a:extLst>
            <a:ext uri="{FF2B5EF4-FFF2-40B4-BE49-F238E27FC236}">
              <a16:creationId xmlns:a16="http://schemas.microsoft.com/office/drawing/2014/main" id="{1DE0BF72-95C0-4087-A160-24F096A34AC5}"/>
            </a:ext>
            <a:ext uri="{147F2762-F138-4A5C-976F-8EAC2B608ADB}">
              <a16:predDERef xmlns:a16="http://schemas.microsoft.com/office/drawing/2014/main" pred="{89E00995-736E-CDEC-FB67-117341639798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sp macro="" textlink="">
      <xdr:nvSpPr>
        <xdr:cNvPr id="3" name="AutoShape 60" descr="NOP">
          <a:hlinkClick xmlns:r="http://schemas.openxmlformats.org/officeDocument/2006/relationships" r:id="rId2" tooltip="2024-25 New Orleans Pelicans"/>
          <a:extLst>
            <a:ext uri="{FF2B5EF4-FFF2-40B4-BE49-F238E27FC236}">
              <a16:creationId xmlns:a16="http://schemas.microsoft.com/office/drawing/2014/main" id="{B37B163C-4017-4B4B-86FE-ACA449A6491A}"/>
            </a:ext>
            <a:ext uri="{147F2762-F138-4A5C-976F-8EAC2B608ADB}">
              <a16:predDERef xmlns:a16="http://schemas.microsoft.com/office/drawing/2014/main" pred="{ED9225CB-B996-4670-DEBF-CC7425D65225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13</xdr:row>
      <xdr:rowOff>114300</xdr:rowOff>
    </xdr:from>
    <xdr:to>
      <xdr:col>7</xdr:col>
      <xdr:colOff>0</xdr:colOff>
      <xdr:row>18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7460F75-05DE-1CE3-F0C9-590F645D7D2B}"/>
            </a:ext>
          </a:extLst>
        </xdr:cNvPr>
        <xdr:cNvSpPr/>
      </xdr:nvSpPr>
      <xdr:spPr>
        <a:xfrm>
          <a:off x="3286125" y="3028950"/>
          <a:ext cx="1809750" cy="933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9525</xdr:colOff>
      <xdr:row>12</xdr:row>
      <xdr:rowOff>104775</xdr:rowOff>
    </xdr:from>
    <xdr:to>
      <xdr:col>18</xdr:col>
      <xdr:colOff>885825</xdr:colOff>
      <xdr:row>17</xdr:row>
      <xdr:rowOff>85725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E5F04439-750D-4B7B-A1E0-D725861F993F}"/>
            </a:ext>
          </a:extLst>
        </xdr:cNvPr>
        <xdr:cNvSpPr/>
      </xdr:nvSpPr>
      <xdr:spPr>
        <a:xfrm>
          <a:off x="11249025" y="2828925"/>
          <a:ext cx="1847850" cy="933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51</xdr:row>
      <xdr:rowOff>0</xdr:rowOff>
    </xdr:from>
    <xdr:to>
      <xdr:col>11</xdr:col>
      <xdr:colOff>381000</xdr:colOff>
      <xdr:row>53</xdr:row>
      <xdr:rowOff>0</xdr:rowOff>
    </xdr:to>
    <xdr:sp macro="" textlink="">
      <xdr:nvSpPr>
        <xdr:cNvPr id="2" name="AutoShape 49" descr="Keyonte George">
          <a:hlinkClick xmlns:r="http://schemas.openxmlformats.org/officeDocument/2006/relationships" r:id="rId1" tooltip="Keyonte George"/>
          <a:extLst>
            <a:ext uri="{FF2B5EF4-FFF2-40B4-BE49-F238E27FC236}">
              <a16:creationId xmlns:a16="http://schemas.microsoft.com/office/drawing/2014/main" id="{DE3F3B86-EB80-4024-9029-647A2A8D70EA}"/>
            </a:ext>
          </a:extLst>
        </xdr:cNvPr>
        <xdr:cNvSpPr>
          <a:spLocks noChangeAspect="1" noChangeArrowheads="1"/>
        </xdr:cNvSpPr>
      </xdr:nvSpPr>
      <xdr:spPr bwMode="auto">
        <a:xfrm>
          <a:off x="9172575" y="7239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152400</xdr:colOff>
      <xdr:row>51</xdr:row>
      <xdr:rowOff>152400</xdr:rowOff>
    </xdr:to>
    <xdr:sp macro="" textlink="">
      <xdr:nvSpPr>
        <xdr:cNvPr id="3" name="AutoShape 50" descr="UTA">
          <a:hlinkClick xmlns:r="http://schemas.openxmlformats.org/officeDocument/2006/relationships" r:id="rId2" tooltip="2024-25 Utah Jazz"/>
          <a:extLst>
            <a:ext uri="{FF2B5EF4-FFF2-40B4-BE49-F238E27FC236}">
              <a16:creationId xmlns:a16="http://schemas.microsoft.com/office/drawing/2014/main" id="{DECBA6E4-2362-4B54-A083-46F18814E078}"/>
            </a:ext>
            <a:ext uri="{147F2762-F138-4A5C-976F-8EAC2B608ADB}">
              <a16:predDERef xmlns:a16="http://schemas.microsoft.com/office/drawing/2014/main" pred="{DE3F3B86-EB80-4024-9029-647A2A8D70EA}"/>
            </a:ext>
          </a:extLst>
        </xdr:cNvPr>
        <xdr:cNvSpPr>
          <a:spLocks noChangeAspect="1" noChangeArrowheads="1"/>
        </xdr:cNvSpPr>
      </xdr:nvSpPr>
      <xdr:spPr bwMode="auto">
        <a:xfrm>
          <a:off x="9172575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381000</xdr:colOff>
      <xdr:row>56</xdr:row>
      <xdr:rowOff>0</xdr:rowOff>
    </xdr:to>
    <xdr:sp macro="" textlink="">
      <xdr:nvSpPr>
        <xdr:cNvPr id="4" name="AutoShape 51" descr="Tyus Jones">
          <a:hlinkClick xmlns:r="http://schemas.openxmlformats.org/officeDocument/2006/relationships" r:id="rId3" tooltip="Tyus Jones"/>
          <a:extLst>
            <a:ext uri="{FF2B5EF4-FFF2-40B4-BE49-F238E27FC236}">
              <a16:creationId xmlns:a16="http://schemas.microsoft.com/office/drawing/2014/main" id="{A52DE0E1-E08A-4159-B351-77B151076873}"/>
            </a:ext>
            <a:ext uri="{147F2762-F138-4A5C-976F-8EAC2B608ADB}">
              <a16:predDERef xmlns:a16="http://schemas.microsoft.com/office/drawing/2014/main" pred="{DECBA6E4-2362-4B54-A083-46F18814E078}"/>
            </a:ext>
          </a:extLst>
        </xdr:cNvPr>
        <xdr:cNvSpPr>
          <a:spLocks noChangeAspect="1" noChangeArrowheads="1"/>
        </xdr:cNvSpPr>
      </xdr:nvSpPr>
      <xdr:spPr bwMode="auto">
        <a:xfrm>
          <a:off x="9172575" y="781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152400</xdr:colOff>
      <xdr:row>54</xdr:row>
      <xdr:rowOff>152400</xdr:rowOff>
    </xdr:to>
    <xdr:sp macro="" textlink="">
      <xdr:nvSpPr>
        <xdr:cNvPr id="5" name="AutoShape 52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4FA0FEF1-FC3F-4A4D-8144-F0B7C110262C}"/>
            </a:ext>
            <a:ext uri="{147F2762-F138-4A5C-976F-8EAC2B608ADB}">
              <a16:predDERef xmlns:a16="http://schemas.microsoft.com/office/drawing/2014/main" pred="{A52DE0E1-E08A-4159-B351-77B151076873}"/>
            </a:ext>
          </a:extLst>
        </xdr:cNvPr>
        <xdr:cNvSpPr>
          <a:spLocks noChangeAspect="1" noChangeArrowheads="1"/>
        </xdr:cNvSpPr>
      </xdr:nvSpPr>
      <xdr:spPr bwMode="auto">
        <a:xfrm>
          <a:off x="9172575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381000</xdr:colOff>
      <xdr:row>59</xdr:row>
      <xdr:rowOff>0</xdr:rowOff>
    </xdr:to>
    <xdr:sp macro="" textlink="">
      <xdr:nvSpPr>
        <xdr:cNvPr id="6" name="AutoShape 53" descr="Devin Booker">
          <a:hlinkClick xmlns:r="http://schemas.openxmlformats.org/officeDocument/2006/relationships" r:id="rId5" tooltip="Devin Booker"/>
          <a:extLst>
            <a:ext uri="{FF2B5EF4-FFF2-40B4-BE49-F238E27FC236}">
              <a16:creationId xmlns:a16="http://schemas.microsoft.com/office/drawing/2014/main" id="{A18E6B74-E1F8-420B-9C70-F47C8B20A017}"/>
            </a:ext>
            <a:ext uri="{147F2762-F138-4A5C-976F-8EAC2B608ADB}">
              <a16:predDERef xmlns:a16="http://schemas.microsoft.com/office/drawing/2014/main" pred="{4FA0FEF1-FC3F-4A4D-8144-F0B7C110262C}"/>
            </a:ext>
          </a:extLst>
        </xdr:cNvPr>
        <xdr:cNvSpPr>
          <a:spLocks noChangeAspect="1" noChangeArrowheads="1"/>
        </xdr:cNvSpPr>
      </xdr:nvSpPr>
      <xdr:spPr bwMode="auto">
        <a:xfrm>
          <a:off x="9172575" y="8382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152400</xdr:colOff>
      <xdr:row>57</xdr:row>
      <xdr:rowOff>152400</xdr:rowOff>
    </xdr:to>
    <xdr:sp macro="" textlink="">
      <xdr:nvSpPr>
        <xdr:cNvPr id="7" name="AutoShape 54" descr="PHX">
          <a:hlinkClick xmlns:r="http://schemas.openxmlformats.org/officeDocument/2006/relationships" r:id="rId4" tooltip="2024-25 Phoenix Suns"/>
          <a:extLst>
            <a:ext uri="{FF2B5EF4-FFF2-40B4-BE49-F238E27FC236}">
              <a16:creationId xmlns:a16="http://schemas.microsoft.com/office/drawing/2014/main" id="{E0C2E7F4-3EB1-4EAD-A54E-79DFC8D33132}"/>
            </a:ext>
            <a:ext uri="{147F2762-F138-4A5C-976F-8EAC2B608ADB}">
              <a16:predDERef xmlns:a16="http://schemas.microsoft.com/office/drawing/2014/main" pred="{A18E6B74-E1F8-420B-9C70-F47C8B20A017}"/>
            </a:ext>
          </a:extLst>
        </xdr:cNvPr>
        <xdr:cNvSpPr>
          <a:spLocks noChangeAspect="1" noChangeArrowheads="1"/>
        </xdr:cNvSpPr>
      </xdr:nvSpPr>
      <xdr:spPr bwMode="auto">
        <a:xfrm>
          <a:off x="9172575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381000</xdr:colOff>
      <xdr:row>62</xdr:row>
      <xdr:rowOff>0</xdr:rowOff>
    </xdr:to>
    <xdr:sp macro="" textlink="">
      <xdr:nvSpPr>
        <xdr:cNvPr id="8" name="AutoShape 55" descr="Harrison Barnes">
          <a:hlinkClick xmlns:r="http://schemas.openxmlformats.org/officeDocument/2006/relationships" r:id="rId6" tooltip="Harrison Barnes"/>
          <a:extLst>
            <a:ext uri="{FF2B5EF4-FFF2-40B4-BE49-F238E27FC236}">
              <a16:creationId xmlns:a16="http://schemas.microsoft.com/office/drawing/2014/main" id="{209BD9AE-7D1A-4DB4-A1EE-62232BA4A568}"/>
            </a:ext>
            <a:ext uri="{147F2762-F138-4A5C-976F-8EAC2B608ADB}">
              <a16:predDERef xmlns:a16="http://schemas.microsoft.com/office/drawing/2014/main" pred="{E0C2E7F4-3EB1-4EAD-A54E-79DFC8D33132}"/>
            </a:ext>
          </a:extLst>
        </xdr:cNvPr>
        <xdr:cNvSpPr>
          <a:spLocks noChangeAspect="1" noChangeArrowheads="1"/>
        </xdr:cNvSpPr>
      </xdr:nvSpPr>
      <xdr:spPr bwMode="auto">
        <a:xfrm>
          <a:off x="9172575" y="895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152400</xdr:colOff>
      <xdr:row>60</xdr:row>
      <xdr:rowOff>152400</xdr:rowOff>
    </xdr:to>
    <xdr:sp macro="" textlink="">
      <xdr:nvSpPr>
        <xdr:cNvPr id="9" name="AutoShape 56" descr="SAS">
          <a:hlinkClick xmlns:r="http://schemas.openxmlformats.org/officeDocument/2006/relationships" r:id="rId7" tooltip="2024-25 San Antonio Spurs"/>
          <a:extLst>
            <a:ext uri="{FF2B5EF4-FFF2-40B4-BE49-F238E27FC236}">
              <a16:creationId xmlns:a16="http://schemas.microsoft.com/office/drawing/2014/main" id="{DEC560BC-FE85-447A-BBB0-E2F059CFF3AB}"/>
            </a:ext>
            <a:ext uri="{147F2762-F138-4A5C-976F-8EAC2B608ADB}">
              <a16:predDERef xmlns:a16="http://schemas.microsoft.com/office/drawing/2014/main" pred="{209BD9AE-7D1A-4DB4-A1EE-62232BA4A568}"/>
            </a:ext>
          </a:extLst>
        </xdr:cNvPr>
        <xdr:cNvSpPr>
          <a:spLocks noChangeAspect="1" noChangeArrowheads="1"/>
        </xdr:cNvSpPr>
      </xdr:nvSpPr>
      <xdr:spPr bwMode="auto">
        <a:xfrm>
          <a:off x="9172575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</xdr:row>
      <xdr:rowOff>0</xdr:rowOff>
    </xdr:from>
    <xdr:to>
      <xdr:col>11</xdr:col>
      <xdr:colOff>381000</xdr:colOff>
      <xdr:row>65</xdr:row>
      <xdr:rowOff>0</xdr:rowOff>
    </xdr:to>
    <xdr:sp macro="" textlink="">
      <xdr:nvSpPr>
        <xdr:cNvPr id="10" name="AutoShape 57" descr="Carlton Carrington">
          <a:hlinkClick xmlns:r="http://schemas.openxmlformats.org/officeDocument/2006/relationships" r:id="rId8" tooltip="Carlton Carrington"/>
          <a:extLst>
            <a:ext uri="{FF2B5EF4-FFF2-40B4-BE49-F238E27FC236}">
              <a16:creationId xmlns:a16="http://schemas.microsoft.com/office/drawing/2014/main" id="{DB304314-93A3-48C0-903A-41553DAA0069}"/>
            </a:ext>
            <a:ext uri="{147F2762-F138-4A5C-976F-8EAC2B608ADB}">
              <a16:predDERef xmlns:a16="http://schemas.microsoft.com/office/drawing/2014/main" pred="{DEC560BC-FE85-447A-BBB0-E2F059CFF3AB}"/>
            </a:ext>
          </a:extLst>
        </xdr:cNvPr>
        <xdr:cNvSpPr>
          <a:spLocks noChangeAspect="1" noChangeArrowheads="1"/>
        </xdr:cNvSpPr>
      </xdr:nvSpPr>
      <xdr:spPr bwMode="auto">
        <a:xfrm>
          <a:off x="9172575" y="9525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</xdr:row>
      <xdr:rowOff>0</xdr:rowOff>
    </xdr:from>
    <xdr:to>
      <xdr:col>11</xdr:col>
      <xdr:colOff>152400</xdr:colOff>
      <xdr:row>63</xdr:row>
      <xdr:rowOff>152400</xdr:rowOff>
    </xdr:to>
    <xdr:sp macro="" textlink="">
      <xdr:nvSpPr>
        <xdr:cNvPr id="11" name="AutoShape 58" descr="WAS">
          <a:hlinkClick xmlns:r="http://schemas.openxmlformats.org/officeDocument/2006/relationships" r:id="rId9" tooltip="2024-25 Washington Wizards"/>
          <a:extLst>
            <a:ext uri="{FF2B5EF4-FFF2-40B4-BE49-F238E27FC236}">
              <a16:creationId xmlns:a16="http://schemas.microsoft.com/office/drawing/2014/main" id="{D2C200AF-DF6F-48B7-8DAC-8DE113C30F73}"/>
            </a:ext>
            <a:ext uri="{147F2762-F138-4A5C-976F-8EAC2B608ADB}">
              <a16:predDERef xmlns:a16="http://schemas.microsoft.com/office/drawing/2014/main" pred="{DB304314-93A3-48C0-903A-41553DAA0069}"/>
            </a:ext>
          </a:extLst>
        </xdr:cNvPr>
        <xdr:cNvSpPr>
          <a:spLocks noChangeAspect="1" noChangeArrowheads="1"/>
        </xdr:cNvSpPr>
      </xdr:nvSpPr>
      <xdr:spPr bwMode="auto">
        <a:xfrm>
          <a:off x="9172575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4</xdr:col>
      <xdr:colOff>124012</xdr:colOff>
      <xdr:row>19</xdr:row>
      <xdr:rowOff>152581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4C271-FE58-94F4-3EC7-859866A27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476500"/>
          <a:ext cx="1343212" cy="129558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60A245-432F-4F3D-882D-6546221D7AC4}" autoFormatId="16" applyNumberFormats="0" applyBorderFormats="0" applyFontFormats="0" applyPatternFormats="0" applyAlignmentFormats="0" applyWidthHeightFormats="0">
  <queryTableRefresh nextId="38" unboundColumnsRight="2">
    <queryTableFields count="33">
      <queryTableField id="1" name="Column1" tableColumnId="32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7" name="Column31" tableColumnId="1"/>
      <queryTableField id="33" dataBound="0" tableColumnId="34"/>
      <queryTableField id="32" dataBound="0" tableColumnId="33"/>
    </queryTableFields>
    <queryTableDeletedFields count="1">
      <deletedField name="Column3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FA68AE6-D908-4AB6-8D60-341E0C37FE10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FCCE1E-FA0B-46CF-9A8F-AD600CFCAECB}" autoFormatId="16" applyNumberFormats="0" applyBorderFormats="0" applyFontFormats="0" applyPatternFormats="0" applyAlignmentFormats="0" applyWidthHeightFormats="0">
  <queryTableRefresh nextId="33">
    <queryTableFields count="32">
      <queryTableField id="1" name="Rk" tableColumnId="32"/>
      <queryTableField id="2" name="Player" tableColumnId="2"/>
      <queryTableField id="3" name="Age" tableColumnId="3"/>
      <queryTableField id="4" name="Team" tableColumnId="4"/>
      <queryTableField id="5" name="Pos" tableColumnId="5"/>
      <queryTableField id="6" name="G" tableColumnId="6"/>
      <queryTableField id="7" name="GS" tableColumnId="7"/>
      <queryTableField id="8" name="MP" tableColumnId="8"/>
      <queryTableField id="9" name="FG" tableColumnId="9"/>
      <queryTableField id="10" name="FGA" tableColumnId="10"/>
      <queryTableField id="11" name="FG%" tableColumnId="11"/>
      <queryTableField id="12" name="3P" tableColumnId="12"/>
      <queryTableField id="13" name="3PA" tableColumnId="13"/>
      <queryTableField id="14" name="3P%" tableColumnId="14"/>
      <queryTableField id="15" name="2P" tableColumnId="15"/>
      <queryTableField id="16" name="2PA" tableColumnId="16"/>
      <queryTableField id="17" name="2P%" tableColumnId="17"/>
      <queryTableField id="18" name="eFG%" tableColumnId="18"/>
      <queryTableField id="19" name="FT" tableColumnId="19"/>
      <queryTableField id="20" name="FTA" tableColumnId="20"/>
      <queryTableField id="21" name="FT%" tableColumnId="21"/>
      <queryTableField id="22" name="ORB" tableColumnId="22"/>
      <queryTableField id="23" name="DRB" tableColumnId="23"/>
      <queryTableField id="24" name="TRB" tableColumnId="24"/>
      <queryTableField id="25" name="AST" tableColumnId="25"/>
      <queryTableField id="26" name="STL" tableColumnId="26"/>
      <queryTableField id="27" name="BLK" tableColumnId="27"/>
      <queryTableField id="28" name="TOV" tableColumnId="28"/>
      <queryTableField id="29" name="PF" tableColumnId="29"/>
      <queryTableField id="30" name="PTS" tableColumnId="30"/>
      <queryTableField id="32" dataBound="0" tableColumnId="33"/>
      <queryTableField id="31" name="Awards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33BFBB-579F-4470-8CE6-49E2470889AD}" autoFormatId="16" applyNumberFormats="0" applyBorderFormats="0" applyFontFormats="0" applyPatternFormats="0" applyAlignmentFormats="0" applyWidthHeightFormats="0">
  <queryTableRefresh nextId="15">
    <queryTableFields count="12">
      <queryTableField id="1" name="Date" tableColumnId="13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13" name="Column1" tableColumnId="14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6689DB-9000-403D-9568-5E4E5F0E9DDA}" name="Per_Game_Table" displayName="Per_Game_Table" ref="A1:AG751" tableType="queryTable" totalsRowShown="0">
  <autoFilter ref="A1:AG751" xr:uid="{916689DB-9000-403D-9568-5E4E5F0E9DDA}"/>
  <tableColumns count="33">
    <tableColumn id="32" xr3:uid="{7C9FB27A-D361-453A-BDD1-21CC5AF78B57}" uniqueName="32" name="Column1" queryTableFieldId="1" dataDxfId="136"/>
    <tableColumn id="2" xr3:uid="{D5C66214-CA3D-46F4-875D-E440CD441F79}" uniqueName="2" name="Column2" queryTableFieldId="2" dataDxfId="135"/>
    <tableColumn id="3" xr3:uid="{E7422EC2-8B5D-4565-9DF7-B83E22A2241B}" uniqueName="3" name="Column3" queryTableFieldId="3" dataDxfId="134"/>
    <tableColumn id="4" xr3:uid="{82B9E296-BBC4-496A-B126-EF7842AAFACC}" uniqueName="4" name="Column4" queryTableFieldId="4" dataDxfId="133"/>
    <tableColumn id="5" xr3:uid="{52F0C6F9-A33C-4462-8D91-42D0C6FA60C9}" uniqueName="5" name="Column5" queryTableFieldId="5" dataDxfId="132"/>
    <tableColumn id="6" xr3:uid="{8B2C7F2D-61EB-4945-9078-5AE731B841BE}" uniqueName="6" name="Column6" queryTableFieldId="6" dataDxfId="131"/>
    <tableColumn id="7" xr3:uid="{910116BF-9892-4CEE-916A-A29421998690}" uniqueName="7" name="Column7" queryTableFieldId="7" dataDxfId="130"/>
    <tableColumn id="8" xr3:uid="{C2EC8A7C-2125-42E4-B277-3F0D765898B4}" uniqueName="8" name="Column8" queryTableFieldId="8" dataDxfId="129"/>
    <tableColumn id="9" xr3:uid="{4A42B54A-D79F-4C6C-813C-84D549EE3FF9}" uniqueName="9" name="Column9" queryTableFieldId="9" dataDxfId="128"/>
    <tableColumn id="10" xr3:uid="{038617F0-7E03-492A-887F-1082C2138CA9}" uniqueName="10" name="Column10" queryTableFieldId="10" dataDxfId="127"/>
    <tableColumn id="11" xr3:uid="{5861D0D0-7615-4C4B-9DDA-D5F8E5F021BB}" uniqueName="11" name="Column11" queryTableFieldId="11" dataDxfId="126"/>
    <tableColumn id="12" xr3:uid="{A8BF885E-1CD6-4679-8C4E-12B357B311DA}" uniqueName="12" name="Column12" queryTableFieldId="12" dataDxfId="125"/>
    <tableColumn id="13" xr3:uid="{4B5FDE4D-3B55-4DCF-AA64-DEBAB35973C7}" uniqueName="13" name="Column13" queryTableFieldId="13" dataDxfId="124"/>
    <tableColumn id="14" xr3:uid="{D46A5064-5D2B-4F56-8325-DD737E1761B3}" uniqueName="14" name="Column14" queryTableFieldId="14" dataDxfId="123"/>
    <tableColumn id="15" xr3:uid="{B27F0A3A-54DD-42CE-AE02-8256A7147F2E}" uniqueName="15" name="Column15" queryTableFieldId="15" dataDxfId="122"/>
    <tableColumn id="16" xr3:uid="{F51CC28F-5A85-4C48-8D62-6C72E1AA417B}" uniqueName="16" name="Column16" queryTableFieldId="16" dataDxfId="121"/>
    <tableColumn id="17" xr3:uid="{B7260EC1-50AF-4C27-A1CB-10DBDB84466F}" uniqueName="17" name="Column17" queryTableFieldId="17" dataDxfId="120"/>
    <tableColumn id="18" xr3:uid="{E103E822-D79A-428F-B13A-4A8FF3DB66F3}" uniqueName="18" name="Column18" queryTableFieldId="18" dataDxfId="119"/>
    <tableColumn id="19" xr3:uid="{EC3F8BE4-60E0-4B4A-A508-80F9FF26E9F5}" uniqueName="19" name="Column19" queryTableFieldId="19" dataDxfId="118"/>
    <tableColumn id="20" xr3:uid="{9B968873-C976-4553-A305-D21814120B25}" uniqueName="20" name="Column20" queryTableFieldId="20" dataDxfId="117"/>
    <tableColumn id="21" xr3:uid="{47C70543-3197-4D08-B884-1D569C70F16B}" uniqueName="21" name="Column21" queryTableFieldId="21" dataDxfId="116"/>
    <tableColumn id="22" xr3:uid="{6E19CBB7-AF9D-4398-BDEA-D64BB654006C}" uniqueName="22" name="Column22" queryTableFieldId="22" dataDxfId="115"/>
    <tableColumn id="23" xr3:uid="{5BA5CB4A-8F1E-420C-BD19-63D2292A3945}" uniqueName="23" name="Column23" queryTableFieldId="23" dataDxfId="114"/>
    <tableColumn id="24" xr3:uid="{3BBA28D4-5DE6-48A5-A0B8-4BB0F9B97E21}" uniqueName="24" name="Column24" queryTableFieldId="24" dataDxfId="113"/>
    <tableColumn id="25" xr3:uid="{B7F66026-E65A-49B9-8C71-C05D677A6D8A}" uniqueName="25" name="Column25" queryTableFieldId="25" dataDxfId="112"/>
    <tableColumn id="26" xr3:uid="{FF9F50E7-3B75-485B-894E-ED32A92981B6}" uniqueName="26" name="Column26" queryTableFieldId="26" dataDxfId="111"/>
    <tableColumn id="27" xr3:uid="{0D7C1F2E-D0D5-4217-ABA7-EDA0786592CF}" uniqueName="27" name="Column27" queryTableFieldId="27" dataDxfId="110"/>
    <tableColumn id="28" xr3:uid="{3311B96D-724C-497D-94C6-319A3D75D8D6}" uniqueName="28" name="Column28" queryTableFieldId="28" dataDxfId="109"/>
    <tableColumn id="29" xr3:uid="{6C8B7055-4DBB-48BA-A6B0-377BB610B958}" uniqueName="29" name="Column29" queryTableFieldId="29" dataDxfId="108"/>
    <tableColumn id="30" xr3:uid="{D6465301-4048-42E7-88D7-E11F13B6718E}" uniqueName="30" name="Column30" queryTableFieldId="30" dataDxfId="107"/>
    <tableColumn id="1" xr3:uid="{8DE48092-94F8-4B19-9239-E80C4AD4A2C2}" uniqueName="1" name="Column31" queryTableFieldId="37" dataDxfId="106"/>
    <tableColumn id="34" xr3:uid="{93C7298B-62BD-4022-9626-0EC2308B2729}" uniqueName="34" name="Actual Pts Formula" queryTableFieldId="33" dataDxfId="105"/>
    <tableColumn id="33" xr3:uid="{E2231830-E197-4A43-9687-C80A57FB4483}" uniqueName="33" name="ProjectedPtsFormula" queryTableFieldId="32" dataDxfId="10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25DA7-2942-4513-970C-352B36B74F79}" name="Team_Ratings_Table" displayName="Team_Ratings_Table" ref="A1:O32" tableType="queryTable" totalsRowShown="0">
  <autoFilter ref="A1:O32" xr:uid="{CF325DA7-2942-4513-970C-352B36B74F79}"/>
  <tableColumns count="15">
    <tableColumn id="1" xr3:uid="{38DCE5F5-827E-4002-8988-908EACC59C9E}" uniqueName="1" name="Column1" queryTableFieldId="1" dataDxfId="103"/>
    <tableColumn id="2" xr3:uid="{9A86EBE8-22A6-44F2-B080-9CC5ECBA780F}" uniqueName="2" name="Column2" queryTableFieldId="2" dataDxfId="102"/>
    <tableColumn id="3" xr3:uid="{4A499C13-DC80-4C40-AAF8-2E3BEF90897D}" uniqueName="3" name="Column3" queryTableFieldId="3" dataDxfId="101"/>
    <tableColumn id="4" xr3:uid="{11A32857-6279-4A3E-A67E-1358B351B35D}" uniqueName="4" name="Column4" queryTableFieldId="4" dataDxfId="100"/>
    <tableColumn id="5" xr3:uid="{39A2CCD6-4069-4085-91AC-8A5B4B4BE67D}" uniqueName="5" name="Column5" queryTableFieldId="5" dataDxfId="99"/>
    <tableColumn id="6" xr3:uid="{E50E1781-C71B-4BD7-9B91-81ADFC0865D5}" uniqueName="6" name="Column6" queryTableFieldId="6" dataDxfId="98"/>
    <tableColumn id="7" xr3:uid="{63B56AEE-7678-44DE-A814-AE45DB8D178F}" uniqueName="7" name="Column7" queryTableFieldId="7" dataDxfId="97"/>
    <tableColumn id="8" xr3:uid="{490B8C59-58F0-499E-9C93-75368CCA6C6A}" uniqueName="8" name="Column8" queryTableFieldId="8" dataDxfId="96"/>
    <tableColumn id="9" xr3:uid="{CEF1E4B6-EC25-476A-9A4F-57EE0754D2F0}" uniqueName="9" name="Column9" queryTableFieldId="9" dataDxfId="95"/>
    <tableColumn id="10" xr3:uid="{6F6EC96B-C182-4645-8A1D-076E60EE0468}" uniqueName="10" name="Column10" queryTableFieldId="10" dataDxfId="94"/>
    <tableColumn id="11" xr3:uid="{C14AA082-6F39-4D47-A36E-66B38A4D1F6F}" uniqueName="11" name="Column11" queryTableFieldId="11" dataDxfId="93"/>
    <tableColumn id="12" xr3:uid="{F69E7181-90C9-4089-B78B-606E862EE05A}" uniqueName="12" name="Column12" queryTableFieldId="12" dataDxfId="92"/>
    <tableColumn id="13" xr3:uid="{48052F4D-7D43-4FD5-8DA3-E7FDCFC2C78B}" uniqueName="13" name="Column13" queryTableFieldId="13" dataDxfId="91"/>
    <tableColumn id="14" xr3:uid="{E90DFF16-746A-4E51-B496-90B77E7069CF}" uniqueName="14" name="Column14" queryTableFieldId="14" dataDxfId="90"/>
    <tableColumn id="15" xr3:uid="{A218F9B9-6DC7-4CE9-99F1-28A86553C646}" uniqueName="15" name="Column15" queryTableFieldId="15" dataDxfId="8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CA526E-0F4D-4E34-B055-7C9BF3CDA135}" name="Per_Game_Table__2" displayName="Per_Game_Table__2" ref="A1:AF211" tableType="queryTable" totalsRowShown="0">
  <autoFilter ref="A1:AF211" xr:uid="{ABCA526E-0F4D-4E34-B055-7C9BF3CDA135}"/>
  <tableColumns count="32">
    <tableColumn id="32" xr3:uid="{9452106B-B291-41E4-AFAA-9303FCF03EEC}" uniqueName="32" name="Rk" queryTableFieldId="1"/>
    <tableColumn id="2" xr3:uid="{7F3AE176-61C3-4FF5-813E-899C2ADB6A17}" uniqueName="2" name="Player" queryTableFieldId="2" dataDxfId="88"/>
    <tableColumn id="3" xr3:uid="{7861911D-3238-4FCE-8752-DD9E41C8AD00}" uniqueName="3" name="Age" queryTableFieldId="3"/>
    <tableColumn id="4" xr3:uid="{1E71EB04-2203-43A6-AD49-D72B83B46418}" uniqueName="4" name="Team" queryTableFieldId="4" dataDxfId="87"/>
    <tableColumn id="5" xr3:uid="{1CD08AAE-7D0A-4A97-8021-D2FA5EB1F948}" uniqueName="5" name="Pos" queryTableFieldId="5" dataDxfId="86"/>
    <tableColumn id="6" xr3:uid="{61973811-FAC0-432C-B7E9-F5A4352FBEA2}" uniqueName="6" name="G" queryTableFieldId="6"/>
    <tableColumn id="7" xr3:uid="{D357D008-438F-43A9-B12A-4AC71F2782F9}" uniqueName="7" name="GS" queryTableFieldId="7"/>
    <tableColumn id="8" xr3:uid="{EE7647F0-2C14-4FF7-9719-98BC5ABBEE36}" uniqueName="8" name="MP" queryTableFieldId="8"/>
    <tableColumn id="9" xr3:uid="{30C19DB4-748A-473F-8D5C-56D6E42260CB}" uniqueName="9" name="FG" queryTableFieldId="9"/>
    <tableColumn id="10" xr3:uid="{09D49711-1132-46F9-8FAD-649393362ECB}" uniqueName="10" name="FGA" queryTableFieldId="10"/>
    <tableColumn id="11" xr3:uid="{5BC268FB-EAEF-42CC-ACDB-3B79D48F7CCD}" uniqueName="11" name="FG%" queryTableFieldId="11"/>
    <tableColumn id="12" xr3:uid="{5CAAC47F-97BC-4D5F-BD8C-DECD5EAAB079}" uniqueName="12" name="3P" queryTableFieldId="12"/>
    <tableColumn id="13" xr3:uid="{2621E55E-930D-45AF-87D5-6CC5A4E375A4}" uniqueName="13" name="3PA" queryTableFieldId="13"/>
    <tableColumn id="14" xr3:uid="{4606FB72-9E0F-45D9-94F2-E7BBC4DE06F9}" uniqueName="14" name="3P%" queryTableFieldId="14"/>
    <tableColumn id="15" xr3:uid="{B8D4EC0D-A060-462E-8CAA-ED91D86DFC40}" uniqueName="15" name="2P" queryTableFieldId="15"/>
    <tableColumn id="16" xr3:uid="{7F89D6D8-04D5-4797-9B09-295802E6FD2D}" uniqueName="16" name="2PA" queryTableFieldId="16"/>
    <tableColumn id="17" xr3:uid="{283FFA59-D58E-47A0-BE23-12E781C5DB92}" uniqueName="17" name="2P%" queryTableFieldId="17"/>
    <tableColumn id="18" xr3:uid="{5BD66742-EE2B-4C7D-A0AF-44C3D90B3235}" uniqueName="18" name="eFG%" queryTableFieldId="18"/>
    <tableColumn id="19" xr3:uid="{0B7C6144-E952-4B7D-A1BC-9745EFD3656F}" uniqueName="19" name="FT" queryTableFieldId="19"/>
    <tableColumn id="20" xr3:uid="{629CCC9D-D649-4522-B370-6148DF097AE1}" uniqueName="20" name="FTA" queryTableFieldId="20"/>
    <tableColumn id="21" xr3:uid="{C7AEA39A-3089-4A6B-8003-066F38BC9550}" uniqueName="21" name="FT%" queryTableFieldId="21"/>
    <tableColumn id="22" xr3:uid="{A10958F6-FF66-4439-B277-C95D881F80E2}" uniqueName="22" name="ORB" queryTableFieldId="22"/>
    <tableColumn id="23" xr3:uid="{7B483F9C-B356-4616-AC85-F093821D85CE}" uniqueName="23" name="DRB" queryTableFieldId="23"/>
    <tableColumn id="24" xr3:uid="{A6DEECD8-8D9C-4899-A85B-46079BC142FF}" uniqueName="24" name="TRB" queryTableFieldId="24"/>
    <tableColumn id="25" xr3:uid="{F90EAF4A-4C33-444E-9131-3F41EB243437}" uniqueName="25" name="AST" queryTableFieldId="25"/>
    <tableColumn id="26" xr3:uid="{FC677946-7C54-4248-B958-C4EC23499068}" uniqueName="26" name="STL" queryTableFieldId="26"/>
    <tableColumn id="27" xr3:uid="{FA7973AA-24AB-401B-A597-0B23C1C1FBEB}" uniqueName="27" name="BLK" queryTableFieldId="27"/>
    <tableColumn id="28" xr3:uid="{2C1BD483-5C87-48B7-B43B-08E19625A55C}" uniqueName="28" name="TOV" queryTableFieldId="28"/>
    <tableColumn id="29" xr3:uid="{8AB655A2-EB3F-4CD2-AE76-F4FAD73D31BD}" uniqueName="29" name="PF" queryTableFieldId="29"/>
    <tableColumn id="30" xr3:uid="{EF3DA3C2-E1C3-483C-84DE-AA7BE0AF6424}" uniqueName="30" name="PTS" queryTableFieldId="30"/>
    <tableColumn id="33" xr3:uid="{FE0F05C5-DA3F-499E-BD45-AFA9CCFE5A43}" uniqueName="33" name="Actual Pts Formula" queryTableFieldId="32" dataDxfId="85">
      <calculatedColumnFormula>(L2 * 3) + ((I2 - L2) * 2) + S2</calculatedColumnFormula>
    </tableColumn>
    <tableColumn id="31" xr3:uid="{B7FD746B-F449-4039-A13A-AAD9C9E18299}" uniqueName="31" name="Awards" queryTableFieldId="31" dataDxfId="8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2DF7DA-0D5E-4416-B269-4ACCAD442B35}" name="May_Schedule_Table" displayName="May_Schedule_Table" ref="A1:L33" tableType="queryTable" totalsRowShown="0">
  <autoFilter ref="A1:L33" xr:uid="{7E2DF7DA-0D5E-4416-B269-4ACCAD442B35}"/>
  <tableColumns count="12">
    <tableColumn id="13" xr3:uid="{661AA3CF-D396-47DD-82FC-5C1A8F0CD7FF}" uniqueName="13" name="Date" queryTableFieldId="1" dataDxfId="83"/>
    <tableColumn id="2" xr3:uid="{C2992D6A-B116-491C-83ED-404F271D6097}" uniqueName="2" name="Start (ET)" queryTableFieldId="2" dataDxfId="82"/>
    <tableColumn id="3" xr3:uid="{83FED62F-102E-4B37-BA56-85A7B69ADA47}" uniqueName="3" name="Visitor/Neutral" queryTableFieldId="3" dataDxfId="81"/>
    <tableColumn id="4" xr3:uid="{DF30178B-F5BD-402E-B4DD-B8CA432538CF}" uniqueName="4" name="PTS" queryTableFieldId="4"/>
    <tableColumn id="5" xr3:uid="{BE28ED08-EE6E-4271-897F-D3090B51482E}" uniqueName="5" name="Home/Neutral" queryTableFieldId="5" dataDxfId="80"/>
    <tableColumn id="6" xr3:uid="{A13D4133-0BA1-421A-B286-9B7177104137}" uniqueName="6" name="PTS_1" queryTableFieldId="6"/>
    <tableColumn id="14" xr3:uid="{8FCFAE7E-BADD-437D-904D-B37E78ADC823}" uniqueName="14" name="Column1" queryTableFieldId="13" dataDxfId="79"/>
    <tableColumn id="8" xr3:uid="{9747C29C-EFAC-40DC-8B25-E9CEB50B4766}" uniqueName="8" name="_2" queryTableFieldId="8" dataDxfId="78"/>
    <tableColumn id="9" xr3:uid="{90C283F7-0DE5-426E-B9C6-9A01A1C0CA43}" uniqueName="9" name="Attend." queryTableFieldId="9"/>
    <tableColumn id="10" xr3:uid="{6B12C155-FC20-47D1-AB4F-C14A34606FD1}" uniqueName="10" name="LOG" queryTableFieldId="10" dataDxfId="77"/>
    <tableColumn id="11" xr3:uid="{941AAD2D-CD5B-43E6-95D8-FB84813AFD0E}" uniqueName="11" name="Arena" queryTableFieldId="11" dataDxfId="76"/>
    <tableColumn id="12" xr3:uid="{38563B4E-011E-4445-8520-30B97D242A6C}" uniqueName="12" name="Notes" queryTableFieldId="12" dataDxfId="7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200D7-34BF-436F-9188-F983E9002C9F}" name="Table1" displayName="Table1" ref="A1:L55" totalsRowShown="0" headerRowDxfId="74">
  <autoFilter ref="A1:L55" xr:uid="{357200D7-34BF-436F-9188-F983E9002C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3658BEA-5C5C-4EB1-B3A3-136FE2263A29}" name="FLA"/>
    <tableColumn id="6" xr3:uid="{E59AAAD3-A550-4F8F-99D1-EC77A07A7774}" name="MIN"/>
    <tableColumn id="2" xr3:uid="{EE6961EE-9880-4B69-B0A2-8C0E01683CB1}" name="3PT" dataDxfId="73"/>
    <tableColumn id="3" xr3:uid="{009ECD44-A834-4D56-8ADF-F66296D3781E}" name="REB"/>
    <tableColumn id="4" xr3:uid="{72A57BB3-5528-42A6-8966-B2342C9661BA}" name="AST"/>
    <tableColumn id="5" xr3:uid="{DD446A1B-FA22-440E-925C-0F9E5ADF2AA4}" name="PTS"/>
    <tableColumn id="7" xr3:uid="{50E66D60-EE03-4F38-B775-CB02C327F2A0}" name="AUB"/>
    <tableColumn id="8" xr3:uid="{6C79E9C5-668B-4624-AE2F-86A7198DA205}" name="MIN2"/>
    <tableColumn id="9" xr3:uid="{C48107CB-0E90-4615-9ED9-2F71E4C2BB99}" name="3PT3" dataDxfId="72"/>
    <tableColumn id="10" xr3:uid="{B2693B18-D01B-4772-B636-AF2B1711C1CA}" name="REB4"/>
    <tableColumn id="11" xr3:uid="{39592DAF-A70A-4DF8-ABDE-2B5C5BCF48B3}" name="AST5"/>
    <tableColumn id="12" xr3:uid="{34A02742-A82D-47CE-8F3A-6769F6F26A47}" name="PTS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2B5923-C8C9-413E-A067-D3A65229724E}" name="Table2" displayName="Table2" ref="N1:T25" totalsRowShown="0" headerRowDxfId="71">
  <autoFilter ref="N1:T25" xr:uid="{5A2B5923-C8C9-413E-A067-D3A65229724E}"/>
  <sortState xmlns:xlrd2="http://schemas.microsoft.com/office/spreadsheetml/2017/richdata2" ref="N2:T25">
    <sortCondition descending="1" ref="R1:R25"/>
  </sortState>
  <tableColumns count="7">
    <tableColumn id="1" xr3:uid="{7A252C77-2C3F-421C-83DC-5B4097E932F3}" name="Player Spreads" dataDxfId="70"/>
    <tableColumn id="2" xr3:uid="{6498C93D-6E00-4B12-B4C8-BF4BC9B170B2}" name="Column1" dataDxfId="69" dataCellStyle="Good"/>
    <tableColumn id="3" xr3:uid="{E450FC8C-43F8-46EA-B5FA-9D6D61F0263C}" name="Category" dataDxfId="68" dataCellStyle="Good"/>
    <tableColumn id="4" xr3:uid="{26CE34EF-3ACF-4E8C-9013-EB0D3AE00621}" name="Over/Under" dataDxfId="67" dataCellStyle="Good">
      <calculatedColumnFormula>IF(S2 - T2 &gt; 0, "Under", "Over")</calculatedColumnFormula>
    </tableColumn>
    <tableColumn id="5" xr3:uid="{6AEA00F0-7F54-4CD1-AEB5-A7E20F166238}" name="Spread" dataDxfId="66">
      <calculatedColumnFormula>ABS(T2-S2)</calculatedColumnFormula>
    </tableColumn>
    <tableColumn id="6" xr3:uid="{DC4478A2-ECFF-45E5-BF28-0E11E8A60337}" name="Line" dataDxfId="65"/>
    <tableColumn id="7" xr3:uid="{A34F0C71-E0C6-41D0-A756-40384823C82D}" name="Avg" dataDxfId="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.com/nba/player/_/id/4066218/grant-williams" TargetMode="External"/><Relationship Id="rId299" Type="http://schemas.openxmlformats.org/officeDocument/2006/relationships/hyperlink" Target="https://www.espn.com/nba/player/_/id/4431671/jaden-mcdaniels" TargetMode="External"/><Relationship Id="rId21" Type="http://schemas.openxmlformats.org/officeDocument/2006/relationships/hyperlink" Target="https://www.espn.com/nba/player/_/id/4397134/cole-swider" TargetMode="External"/><Relationship Id="rId63" Type="http://schemas.openxmlformats.org/officeDocument/2006/relationships/hyperlink" Target="https://www.espn.com/nba/player/_/id/4592427/spencer-jones" TargetMode="External"/><Relationship Id="rId159" Type="http://schemas.openxmlformats.org/officeDocument/2006/relationships/hyperlink" Target="https://www.espn.com/nba/player/_/id/4683689/jordan-walsh" TargetMode="External"/><Relationship Id="rId324" Type="http://schemas.openxmlformats.org/officeDocument/2006/relationships/hyperlink" Target="https://www.espn.com/nba/player/_/id/4066261/bam-adebayo" TargetMode="External"/><Relationship Id="rId366" Type="http://schemas.openxmlformats.org/officeDocument/2006/relationships/hyperlink" Target="https://www.espn.com/nba/player/_/id/3934719/og-anunoby" TargetMode="External"/><Relationship Id="rId170" Type="http://schemas.openxmlformats.org/officeDocument/2006/relationships/hyperlink" Target="https://www.espn.com/nba/player/_/id/4431828/kj-martin" TargetMode="External"/><Relationship Id="rId226" Type="http://schemas.openxmlformats.org/officeDocument/2006/relationships/hyperlink" Target="https://www.espn.com/nba/player/_/id/2991350/alex-caruso" TargetMode="External"/><Relationship Id="rId268" Type="http://schemas.openxmlformats.org/officeDocument/2006/relationships/hyperlink" Target="https://www.espn.com/nba/player/_/id/4702233/jt-thor" TargetMode="External"/><Relationship Id="rId32" Type="http://schemas.openxmlformats.org/officeDocument/2006/relationships/hyperlink" Target="https://www.espn.com/nba/player/_/id/4869342/dyson-daniels" TargetMode="External"/><Relationship Id="rId74" Type="http://schemas.openxmlformats.org/officeDocument/2006/relationships/hyperlink" Target="https://www.espn.com/nba/player/_/id/4997536/gui-santos" TargetMode="External"/><Relationship Id="rId128" Type="http://schemas.openxmlformats.org/officeDocument/2006/relationships/hyperlink" Target="https://www.espn.com/nba/player/_/id/4066636/markelle-fultz" TargetMode="External"/><Relationship Id="rId335" Type="http://schemas.openxmlformats.org/officeDocument/2006/relationships/hyperlink" Target="https://www.espn.com/nba/player/_/id/3074752/terry-rozier" TargetMode="External"/><Relationship Id="rId377" Type="http://schemas.openxmlformats.org/officeDocument/2006/relationships/hyperlink" Target="https://www.espn.com/nba/player/_/id/4593125/santi-aldama" TargetMode="External"/><Relationship Id="rId5" Type="http://schemas.openxmlformats.org/officeDocument/2006/relationships/hyperlink" Target="https://www.espn.com/nba/player/_/id/3907822/malik-beasley" TargetMode="External"/><Relationship Id="rId181" Type="http://schemas.openxmlformats.org/officeDocument/2006/relationships/hyperlink" Target="https://www.espn.com/nba/player/_/id/3934723/thomas-bryant" TargetMode="External"/><Relationship Id="rId237" Type="http://schemas.openxmlformats.org/officeDocument/2006/relationships/hyperlink" Target="https://www.espn.com/nba/player/_/id/5105592/cam-whitmore" TargetMode="External"/><Relationship Id="rId279" Type="http://schemas.openxmlformats.org/officeDocument/2006/relationships/hyperlink" Target="https://www.espn.com/nba/player/_/id/2578239/pat-connaughton" TargetMode="External"/><Relationship Id="rId43" Type="http://schemas.openxmlformats.org/officeDocument/2006/relationships/hyperlink" Target="https://www.espn.com/nba/player/_/id/2580782/spencer-dinwiddie" TargetMode="External"/><Relationship Id="rId139" Type="http://schemas.openxmlformats.org/officeDocument/2006/relationships/hyperlink" Target="https://www.espn.com/nba/player/_/id/3135046/tyus-jones" TargetMode="External"/><Relationship Id="rId290" Type="http://schemas.openxmlformats.org/officeDocument/2006/relationships/hyperlink" Target="https://www.espn.com/nba/player/_/id/4397014/quentin-grimes" TargetMode="External"/><Relationship Id="rId304" Type="http://schemas.openxmlformats.org/officeDocument/2006/relationships/hyperlink" Target="https://www.espn.com/nba/player/_/id/5044385/leonard-miller" TargetMode="External"/><Relationship Id="rId346" Type="http://schemas.openxmlformats.org/officeDocument/2006/relationships/hyperlink" Target="https://www.espn.com/nba/player/_/id/4395723/keldon-johnson" TargetMode="External"/><Relationship Id="rId85" Type="http://schemas.openxmlformats.org/officeDocument/2006/relationships/hyperlink" Target="https://www.espn.com/nba/player/_/id/5061589/yves-missi" TargetMode="External"/><Relationship Id="rId150" Type="http://schemas.openxmlformats.org/officeDocument/2006/relationships/hyperlink" Target="https://www.espn.com/nba/player/_/id/3917376/jaylen-brown" TargetMode="External"/><Relationship Id="rId192" Type="http://schemas.openxmlformats.org/officeDocument/2006/relationships/hyperlink" Target="https://www.espn.com/nba/player/_/id/4397885/dalano-banton" TargetMode="External"/><Relationship Id="rId206" Type="http://schemas.openxmlformats.org/officeDocument/2006/relationships/hyperlink" Target="https://www.espn.com/nba/player/_/id/4066372/kevin-huerter" TargetMode="External"/><Relationship Id="rId248" Type="http://schemas.openxmlformats.org/officeDocument/2006/relationships/hyperlink" Target="https://www.espn.com/nba/player/_/id/6446/cory-joseph" TargetMode="External"/><Relationship Id="rId12" Type="http://schemas.openxmlformats.org/officeDocument/2006/relationships/hyperlink" Target="https://www.espn.com/nba/player/_/id/4906923/bobi-klintman" TargetMode="External"/><Relationship Id="rId108" Type="http://schemas.openxmlformats.org/officeDocument/2006/relationships/hyperlink" Target="https://www.espn.com/nba/player/_/id/3102530/jusuf-nurkic" TargetMode="External"/><Relationship Id="rId315" Type="http://schemas.openxmlformats.org/officeDocument/2006/relationships/hyperlink" Target="https://www.espn.com/nba/player/_/id/4278067/nic-claxton" TargetMode="External"/><Relationship Id="rId357" Type="http://schemas.openxmlformats.org/officeDocument/2006/relationships/hyperlink" Target="https://www.espn.com/nba/player/_/id/3914285/drew-eubanks" TargetMode="External"/><Relationship Id="rId54" Type="http://schemas.openxmlformats.org/officeDocument/2006/relationships/hyperlink" Target="https://www.espn.com/nba/player/_/id/4278104/michael-porter-jr" TargetMode="External"/><Relationship Id="rId96" Type="http://schemas.openxmlformats.org/officeDocument/2006/relationships/hyperlink" Target="https://www.espn.com/nba/player/_/id/4397077/jaxson-hayes" TargetMode="External"/><Relationship Id="rId161" Type="http://schemas.openxmlformats.org/officeDocument/2006/relationships/hyperlink" Target="https://www.espn.com/nba/player/_/id/4684793/kyle-filipowski" TargetMode="External"/><Relationship Id="rId217" Type="http://schemas.openxmlformats.org/officeDocument/2006/relationships/hyperlink" Target="https://www.espn.com/nba/player/_/id/4433133/jahmir-young" TargetMode="External"/><Relationship Id="rId259" Type="http://schemas.openxmlformats.org/officeDocument/2006/relationships/hyperlink" Target="https://www.espn.com/nba/player/_/id/5160992/alex-sarr" TargetMode="External"/><Relationship Id="rId23" Type="http://schemas.openxmlformats.org/officeDocument/2006/relationships/hyperlink" Target="https://www.espn.com/nba/player/_/id/4067017/aj-lawson" TargetMode="External"/><Relationship Id="rId119" Type="http://schemas.openxmlformats.org/officeDocument/2006/relationships/hyperlink" Target="https://www.espn.com/nba/player/_/id/3978/demar-derozan" TargetMode="External"/><Relationship Id="rId270" Type="http://schemas.openxmlformats.org/officeDocument/2006/relationships/hyperlink" Target="https://www.espn.com/nba/player/_/id/2566769/malcolm-brogdon" TargetMode="External"/><Relationship Id="rId326" Type="http://schemas.openxmlformats.org/officeDocument/2006/relationships/hyperlink" Target="https://www.espn.com/nba/player/_/id/4395725/tyler-herro" TargetMode="External"/><Relationship Id="rId65" Type="http://schemas.openxmlformats.org/officeDocument/2006/relationships/hyperlink" Target="https://www.espn.com/nba/player/_/id/4432181/julian-strawther" TargetMode="External"/><Relationship Id="rId130" Type="http://schemas.openxmlformats.org/officeDocument/2006/relationships/hyperlink" Target="https://www.espn.com/nba/player/_/id/4433188/devin-carter" TargetMode="External"/><Relationship Id="rId368" Type="http://schemas.openxmlformats.org/officeDocument/2006/relationships/hyperlink" Target="https://www.espn.com/nba/player/_/id/3062679/josh-hart" TargetMode="External"/><Relationship Id="rId172" Type="http://schemas.openxmlformats.org/officeDocument/2006/relationships/hyperlink" Target="https://www.espn.com/nba/player/_/id/4433136/walker-kessler" TargetMode="External"/><Relationship Id="rId228" Type="http://schemas.openxmlformats.org/officeDocument/2006/relationships/hyperlink" Target="https://www.espn.com/nba/player/_/id/4683692/cason-wallace" TargetMode="External"/><Relationship Id="rId281" Type="http://schemas.openxmlformats.org/officeDocument/2006/relationships/hyperlink" Target="https://www.espn.com/nba/player/_/id/4280245/jamaree-bouyea" TargetMode="External"/><Relationship Id="rId337" Type="http://schemas.openxmlformats.org/officeDocument/2006/relationships/hyperlink" Target="https://www.espn.com/nba/player/_/id/4432117/isaiah-stevens" TargetMode="External"/><Relationship Id="rId34" Type="http://schemas.openxmlformats.org/officeDocument/2006/relationships/hyperlink" Target="https://www.espn.com/nba/player/_/id/2990969/georges-niang" TargetMode="External"/><Relationship Id="rId76" Type="http://schemas.openxmlformats.org/officeDocument/2006/relationships/hyperlink" Target="https://www.espn.com/nba/player/_/id/2990984/buddy-hield" TargetMode="External"/><Relationship Id="rId141" Type="http://schemas.openxmlformats.org/officeDocument/2006/relationships/hyperlink" Target="https://www.espn.com/nba/player/_/id/3135045/grayson-allen" TargetMode="External"/><Relationship Id="rId379" Type="http://schemas.openxmlformats.org/officeDocument/2006/relationships/hyperlink" Target="https://www.espn.com/nba/player/_/id/3913174/luke-kennard" TargetMode="External"/><Relationship Id="rId7" Type="http://schemas.openxmlformats.org/officeDocument/2006/relationships/hyperlink" Target="https://www.espn.com/nba/player/_/id/4066317/lindy-waters-iii" TargetMode="External"/><Relationship Id="rId183" Type="http://schemas.openxmlformats.org/officeDocument/2006/relationships/hyperlink" Target="https://www.espn.com/nba/player/_/id/2530530/tj-mcconnell" TargetMode="External"/><Relationship Id="rId239" Type="http://schemas.openxmlformats.org/officeDocument/2006/relationships/hyperlink" Target="https://www.espn.com/nba/player/_/id/3922230/aaron-holiday" TargetMode="External"/><Relationship Id="rId250" Type="http://schemas.openxmlformats.org/officeDocument/2006/relationships/hyperlink" Target="https://www.espn.com/nba/player/_/id/4065654/jonathan-isaac" TargetMode="External"/><Relationship Id="rId292" Type="http://schemas.openxmlformats.org/officeDocument/2006/relationships/hyperlink" Target="https://www.espn.com/nba/player/_/id/4397204/colin-castleton" TargetMode="External"/><Relationship Id="rId306" Type="http://schemas.openxmlformats.org/officeDocument/2006/relationships/hyperlink" Target="https://www.espn.com/nba/player/_/id/4396971/naz-reid" TargetMode="External"/><Relationship Id="rId45" Type="http://schemas.openxmlformats.org/officeDocument/2006/relationships/hyperlink" Target="https://www.espn.com/nba/player/_/id/4431699/kai-jones" TargetMode="External"/><Relationship Id="rId87" Type="http://schemas.openxmlformats.org/officeDocument/2006/relationships/hyperlink" Target="https://www.espn.com/nba/player/_/id/4278572/jamal-cain" TargetMode="External"/><Relationship Id="rId110" Type="http://schemas.openxmlformats.org/officeDocument/2006/relationships/hyperlink" Target="https://www.espn.com/nba/player/_/id/3913220/daquan-jeffries" TargetMode="External"/><Relationship Id="rId348" Type="http://schemas.openxmlformats.org/officeDocument/2006/relationships/hyperlink" Target="https://www.espn.com/nba/player/_/id/3134916/jordan-mclaughlin" TargetMode="External"/><Relationship Id="rId152" Type="http://schemas.openxmlformats.org/officeDocument/2006/relationships/hyperlink" Target="https://www.espn.com/nba/player/_/id/4397689/drew-peterson" TargetMode="External"/><Relationship Id="rId194" Type="http://schemas.openxmlformats.org/officeDocument/2006/relationships/hyperlink" Target="https://www.espn.com/nba/player/_/id/4432446/jabari-walker" TargetMode="External"/><Relationship Id="rId208" Type="http://schemas.openxmlformats.org/officeDocument/2006/relationships/hyperlink" Target="https://www.espn.com/nba/player/_/id/4066650/zach-collins" TargetMode="External"/><Relationship Id="rId261" Type="http://schemas.openxmlformats.org/officeDocument/2006/relationships/hyperlink" Target="https://www.espn.com/nba/player/_/id/2990992/marcus-smart" TargetMode="External"/><Relationship Id="rId14" Type="http://schemas.openxmlformats.org/officeDocument/2006/relationships/hyperlink" Target="https://www.espn.com/nba/player/_/id/4397251/ron-harper-jr" TargetMode="External"/><Relationship Id="rId56" Type="http://schemas.openxmlformats.org/officeDocument/2006/relationships/hyperlink" Target="https://www.espn.com/nba/player/_/id/4431767/christian-braun" TargetMode="External"/><Relationship Id="rId317" Type="http://schemas.openxmlformats.org/officeDocument/2006/relationships/hyperlink" Target="https://www.espn.com/nba/player/_/id/4432192/keon-johnson" TargetMode="External"/><Relationship Id="rId359" Type="http://schemas.openxmlformats.org/officeDocument/2006/relationships/hyperlink" Target="https://www.espn.com/nba/player/_/id/3037789/bogdan-bogdanovic" TargetMode="External"/><Relationship Id="rId98" Type="http://schemas.openxmlformats.org/officeDocument/2006/relationships/hyperlink" Target="https://www.espn.com/nba/player/_/id/4066457/austin-reaves" TargetMode="External"/><Relationship Id="rId121" Type="http://schemas.openxmlformats.org/officeDocument/2006/relationships/hyperlink" Target="https://www.espn.com/nba/player/_/id/3064440/zach-lavine" TargetMode="External"/><Relationship Id="rId163" Type="http://schemas.openxmlformats.org/officeDocument/2006/relationships/hyperlink" Target="https://www.espn.com/nba/player/_/id/4277811/collin-sexton" TargetMode="External"/><Relationship Id="rId219" Type="http://schemas.openxmlformats.org/officeDocument/2006/relationships/hyperlink" Target="https://www.espn.com/nba/player/_/id/4593803/jalen-williams" TargetMode="External"/><Relationship Id="rId370" Type="http://schemas.openxmlformats.org/officeDocument/2006/relationships/hyperlink" Target="https://www.espn.com/nba/player/_/id/4431679/precious-achiuwa" TargetMode="External"/><Relationship Id="rId230" Type="http://schemas.openxmlformats.org/officeDocument/2006/relationships/hyperlink" Target="https://www.espn.com/nba/player/_/id/4684740/amen-thompson" TargetMode="External"/><Relationship Id="rId25" Type="http://schemas.openxmlformats.org/officeDocument/2006/relationships/hyperlink" Target="https://www.espn.com/nba/player/_/id/4432241/jamal-shead" TargetMode="External"/><Relationship Id="rId67" Type="http://schemas.openxmlformats.org/officeDocument/2006/relationships/hyperlink" Target="https://www.espn.com/nba/player/_/id/6589/draymond-green" TargetMode="External"/><Relationship Id="rId272" Type="http://schemas.openxmlformats.org/officeDocument/2006/relationships/hyperlink" Target="https://www.espn.com/nba/player/_/id/3032977/giannis-antetokounmpo" TargetMode="External"/><Relationship Id="rId328" Type="http://schemas.openxmlformats.org/officeDocument/2006/relationships/hyperlink" Target="https://www.espn.com/nba/player/_/id/4601025/pelle-larsson" TargetMode="External"/><Relationship Id="rId132" Type="http://schemas.openxmlformats.org/officeDocument/2006/relationships/hyperlink" Target="https://www.espn.com/nba/player/_/id/4888725/ryan-dunn" TargetMode="External"/><Relationship Id="rId174" Type="http://schemas.openxmlformats.org/officeDocument/2006/relationships/hyperlink" Target="https://www.espn.com/nba/player/_/id/4396909/aaron-nesmith" TargetMode="External"/><Relationship Id="rId381" Type="http://schemas.openxmlformats.org/officeDocument/2006/relationships/hyperlink" Target="https://www.espn.com/nba/player/_/id/4277848/marvin-bagley-iii" TargetMode="External"/><Relationship Id="rId241" Type="http://schemas.openxmlformats.org/officeDocument/2006/relationships/hyperlink" Target="https://www.espn.com/nba/player/_/id/4711272/reed-sheppard" TargetMode="External"/><Relationship Id="rId36" Type="http://schemas.openxmlformats.org/officeDocument/2006/relationships/hyperlink" Target="https://www.espn.com/nba/player/_/id/3907823/terance-mann" TargetMode="External"/><Relationship Id="rId283" Type="http://schemas.openxmlformats.org/officeDocument/2006/relationships/hyperlink" Target="https://www.espn.com/nba/player/_/id/4397475/aj-green" TargetMode="External"/><Relationship Id="rId339" Type="http://schemas.openxmlformats.org/officeDocument/2006/relationships/hyperlink" Target="https://www.espn.com/nba/player/_/id/6578/harrison-barnes" TargetMode="External"/><Relationship Id="rId78" Type="http://schemas.openxmlformats.org/officeDocument/2006/relationships/hyperlink" Target="https://www.espn.com/nba/player/_/id/4066240/braxton-key" TargetMode="External"/><Relationship Id="rId101" Type="http://schemas.openxmlformats.org/officeDocument/2006/relationships/hyperlink" Target="https://www.espn.com/nba/player/_/id/4278402/jordan-goodwin" TargetMode="External"/><Relationship Id="rId143" Type="http://schemas.openxmlformats.org/officeDocument/2006/relationships/hyperlink" Target="https://www.espn.com/nba/player/_/id/4278585/collin-gillespie" TargetMode="External"/><Relationship Id="rId185" Type="http://schemas.openxmlformats.org/officeDocument/2006/relationships/hyperlink" Target="https://www.espn.com/nba/player/_/id/4431941/rayj-dennis" TargetMode="External"/><Relationship Id="rId350" Type="http://schemas.openxmlformats.org/officeDocument/2006/relationships/hyperlink" Target="https://www.espn.com/nba/player/_/id/4565201/malaki-branham" TargetMode="External"/><Relationship Id="rId9" Type="http://schemas.openxmlformats.org/officeDocument/2006/relationships/hyperlink" Target="https://www.espn.com/nba/player/_/id/4683771/ronald-holland-ii" TargetMode="External"/><Relationship Id="rId210" Type="http://schemas.openxmlformats.org/officeDocument/2006/relationships/hyperlink" Target="https://www.espn.com/nba/player/_/id/4433159/dalen-terry" TargetMode="External"/><Relationship Id="rId252" Type="http://schemas.openxmlformats.org/officeDocument/2006/relationships/hyperlink" Target="https://www.espn.com/nba/player/_/id/4432809/cole-anthony" TargetMode="External"/><Relationship Id="rId294" Type="http://schemas.openxmlformats.org/officeDocument/2006/relationships/hyperlink" Target="https://www.espn.com/nba/player/_/id/4433626/jalen-hood-schifino" TargetMode="External"/><Relationship Id="rId308" Type="http://schemas.openxmlformats.org/officeDocument/2006/relationships/hyperlink" Target="https://www.espn.com/nba/player/_/id/3934673/donte-divincenzo" TargetMode="External"/><Relationship Id="rId47" Type="http://schemas.openxmlformats.org/officeDocument/2006/relationships/hyperlink" Target="https://www.espn.com/nba/player/_/id/4278049/daniel-gafford" TargetMode="External"/><Relationship Id="rId68" Type="http://schemas.openxmlformats.org/officeDocument/2006/relationships/hyperlink" Target="https://www.espn.com/nba/player/_/id/6430/jimmy-butler-iii" TargetMode="External"/><Relationship Id="rId89" Type="http://schemas.openxmlformats.org/officeDocument/2006/relationships/hyperlink" Target="https://www.espn.com/nba/player/_/id/4997538/karlo-matkovic" TargetMode="External"/><Relationship Id="rId112" Type="http://schemas.openxmlformats.org/officeDocument/2006/relationships/hyperlink" Target="https://www.espn.com/nba/player/_/id/3986/taj-gibson" TargetMode="External"/><Relationship Id="rId133" Type="http://schemas.openxmlformats.org/officeDocument/2006/relationships/hyperlink" Target="https://www.espn.com/nba/player/_/id/4601023/oso-ighodaro" TargetMode="External"/><Relationship Id="rId154" Type="http://schemas.openxmlformats.org/officeDocument/2006/relationships/hyperlink" Target="https://www.espn.com/nba/player/_/id/4065804/sam-hauser" TargetMode="External"/><Relationship Id="rId175" Type="http://schemas.openxmlformats.org/officeDocument/2006/relationships/hyperlink" Target="https://www.espn.com/nba/player/_/id/3133628/myles-turner" TargetMode="External"/><Relationship Id="rId340" Type="http://schemas.openxmlformats.org/officeDocument/2006/relationships/hyperlink" Target="https://www.espn.com/nba/player/_/id/6427/bismack-biyombo" TargetMode="External"/><Relationship Id="rId361" Type="http://schemas.openxmlformats.org/officeDocument/2006/relationships/hyperlink" Target="https://www.espn.com/nba/player/_/id/4004/patty-mills" TargetMode="External"/><Relationship Id="rId196" Type="http://schemas.openxmlformats.org/officeDocument/2006/relationships/hyperlink" Target="https://www.espn.com/nba/player/_/id/5099752/rayan-rupert" TargetMode="External"/><Relationship Id="rId200" Type="http://schemas.openxmlformats.org/officeDocument/2006/relationships/hyperlink" Target="https://www.espn.com/nba/player/_/id/4278129/deandre-ayton" TargetMode="External"/><Relationship Id="rId382" Type="http://schemas.openxmlformats.org/officeDocument/2006/relationships/hyperlink" Target="https://www.espn.com/nba/player/_/id/5105550/gg-jackson" TargetMode="External"/><Relationship Id="rId16" Type="http://schemas.openxmlformats.org/officeDocument/2006/relationships/hyperlink" Target="https://www.espn.com/nba/player/_/id/4431893/jamison-battle" TargetMode="External"/><Relationship Id="rId221" Type="http://schemas.openxmlformats.org/officeDocument/2006/relationships/hyperlink" Target="https://www.espn.com/nba/player/_/id/4278073/shai-gilgeous-alexander" TargetMode="External"/><Relationship Id="rId242" Type="http://schemas.openxmlformats.org/officeDocument/2006/relationships/hyperlink" Target="https://www.espn.com/nba/player/_/id/3209/jeff-green" TargetMode="External"/><Relationship Id="rId263" Type="http://schemas.openxmlformats.org/officeDocument/2006/relationships/hyperlink" Target="https://www.espn.com/nba/player/_/id/5170947/aj-johnson" TargetMode="External"/><Relationship Id="rId284" Type="http://schemas.openxmlformats.org/officeDocument/2006/relationships/hyperlink" Target="https://www.espn.com/nba/player/_/id/4432190/andre-jackson-jr" TargetMode="External"/><Relationship Id="rId319" Type="http://schemas.openxmlformats.org/officeDocument/2006/relationships/hyperlink" Target="https://www.espn.com/nba/player/_/id/4432735/dariq-whitehead" TargetMode="External"/><Relationship Id="rId37" Type="http://schemas.openxmlformats.org/officeDocument/2006/relationships/hyperlink" Target="https://www.espn.com/nba/player/_/id/4578893/vit-krejci" TargetMode="External"/><Relationship Id="rId58" Type="http://schemas.openxmlformats.org/officeDocument/2006/relationships/hyperlink" Target="https://www.espn.com/nba/player/_/id/4230557/vlatko-cancar" TargetMode="External"/><Relationship Id="rId79" Type="http://schemas.openxmlformats.org/officeDocument/2006/relationships/hyperlink" Target="https://www.espn.com/nba/player/_/id/4278075/kevin-knox-ii" TargetMode="External"/><Relationship Id="rId102" Type="http://schemas.openxmlformats.org/officeDocument/2006/relationships/hyperlink" Target="https://www.espn.com/nba/player/_/id/4897943/dalton-knecht" TargetMode="External"/><Relationship Id="rId123" Type="http://schemas.openxmlformats.org/officeDocument/2006/relationships/hyperlink" Target="https://www.espn.com/nba/player/_/id/6581/jae-crowder" TargetMode="External"/><Relationship Id="rId144" Type="http://schemas.openxmlformats.org/officeDocument/2006/relationships/hyperlink" Target="https://www.espn.com/nba/player/_/id/2488653/mason-plumlee" TargetMode="External"/><Relationship Id="rId330" Type="http://schemas.openxmlformats.org/officeDocument/2006/relationships/hyperlink" Target="https://www.espn.com/nba/player/_/id/4291678/haywood-highsmith" TargetMode="External"/><Relationship Id="rId90" Type="http://schemas.openxmlformats.org/officeDocument/2006/relationships/hyperlink" Target="https://www.espn.com/nba/player/_/id/2583639/elfrid-payton" TargetMode="External"/><Relationship Id="rId165" Type="http://schemas.openxmlformats.org/officeDocument/2006/relationships/hyperlink" Target="https://www.espn.com/nba/player/_/id/4683766/isaiah-collier" TargetMode="External"/><Relationship Id="rId186" Type="http://schemas.openxmlformats.org/officeDocument/2006/relationships/hyperlink" Target="https://www.espn.com/nba/player/_/id/4433076/ben-sheppard" TargetMode="External"/><Relationship Id="rId351" Type="http://schemas.openxmlformats.org/officeDocument/2006/relationships/hyperlink" Target="https://www.espn.com/nba/player/_/id/6450/kawhi-leonard" TargetMode="External"/><Relationship Id="rId372" Type="http://schemas.openxmlformats.org/officeDocument/2006/relationships/hyperlink" Target="https://www.espn.com/nba/player/_/id/4432179/marjon-beauchamp" TargetMode="External"/><Relationship Id="rId211" Type="http://schemas.openxmlformats.org/officeDocument/2006/relationships/hyperlink" Target="https://www.espn.com/nba/player/_/id/5105553/julian-phillips" TargetMode="External"/><Relationship Id="rId232" Type="http://schemas.openxmlformats.org/officeDocument/2006/relationships/hyperlink" Target="https://www.espn.com/nba/player/_/id/4871144/alperen-sengun" TargetMode="External"/><Relationship Id="rId253" Type="http://schemas.openxmlformats.org/officeDocument/2006/relationships/hyperlink" Target="https://www.espn.com/nba/player/_/id/2999547/gary-harris" TargetMode="External"/><Relationship Id="rId274" Type="http://schemas.openxmlformats.org/officeDocument/2006/relationships/hyperlink" Target="https://www.espn.com/nba/player/_/id/3448/brook-lopez" TargetMode="External"/><Relationship Id="rId295" Type="http://schemas.openxmlformats.org/officeDocument/2006/relationships/hyperlink" Target="https://www.espn.com/nba/player/_/id/4701234/ricky-council-iv" TargetMode="External"/><Relationship Id="rId309" Type="http://schemas.openxmlformats.org/officeDocument/2006/relationships/hyperlink" Target="https://www.espn.com/nba/player/_/id/4278039/nickeil-alexander-walker" TargetMode="External"/><Relationship Id="rId27" Type="http://schemas.openxmlformats.org/officeDocument/2006/relationships/hyperlink" Target="https://www.espn.com/nba/player/_/id/4023/garrett-temple" TargetMode="External"/><Relationship Id="rId48" Type="http://schemas.openxmlformats.org/officeDocument/2006/relationships/hyperlink" Target="https://www.espn.com/nba/player/_/id/4432582/max-christie" TargetMode="External"/><Relationship Id="rId69" Type="http://schemas.openxmlformats.org/officeDocument/2006/relationships/hyperlink" Target="https://www.espn.com/nba/player/_/id/3975/stephen-curry" TargetMode="External"/><Relationship Id="rId113" Type="http://schemas.openxmlformats.org/officeDocument/2006/relationships/hyperlink" Target="https://www.espn.com/nba/player/_/id/4433249/moussa-diabate" TargetMode="External"/><Relationship Id="rId134" Type="http://schemas.openxmlformats.org/officeDocument/2006/relationships/hyperlink" Target="https://www.espn.com/nba/player/_/id/6580/bradley-beal" TargetMode="External"/><Relationship Id="rId320" Type="http://schemas.openxmlformats.org/officeDocument/2006/relationships/hyperlink" Target="https://www.espn.com/nba/player/_/id/4597865/tosan-evbuomwan" TargetMode="External"/><Relationship Id="rId80" Type="http://schemas.openxmlformats.org/officeDocument/2006/relationships/hyperlink" Target="https://www.espn.com/nba/player/_/id/4431684/trayce-jackson-davis" TargetMode="External"/><Relationship Id="rId155" Type="http://schemas.openxmlformats.org/officeDocument/2006/relationships/hyperlink" Target="https://www.espn.com/nba/player/_/id/3213/al-horford" TargetMode="External"/><Relationship Id="rId176" Type="http://schemas.openxmlformats.org/officeDocument/2006/relationships/hyperlink" Target="https://www.espn.com/nba/player/_/id/4395712/andrew-nembhard" TargetMode="External"/><Relationship Id="rId197" Type="http://schemas.openxmlformats.org/officeDocument/2006/relationships/hyperlink" Target="https://www.espn.com/nba/player/_/id/4431736/toumani-camara" TargetMode="External"/><Relationship Id="rId341" Type="http://schemas.openxmlformats.org/officeDocument/2006/relationships/hyperlink" Target="https://www.espn.com/nba/player/_/id/2779/chris-paul" TargetMode="External"/><Relationship Id="rId362" Type="http://schemas.openxmlformats.org/officeDocument/2006/relationships/hyperlink" Target="https://www.espn.com/nba/player/_/id/4431752/kobe-brown" TargetMode="External"/><Relationship Id="rId383" Type="http://schemas.openxmlformats.org/officeDocument/2006/relationships/hyperlink" Target="https://www.espn.com/nba/player/_/id/4065731/jay-huff" TargetMode="External"/><Relationship Id="rId201" Type="http://schemas.openxmlformats.org/officeDocument/2006/relationships/hyperlink" Target="https://www.espn.com/nba/player/_/id/4351851/anfernee-simons" TargetMode="External"/><Relationship Id="rId222" Type="http://schemas.openxmlformats.org/officeDocument/2006/relationships/hyperlink" Target="https://www.espn.com/nba/player/_/id/4397020/luguentz-dort" TargetMode="External"/><Relationship Id="rId243" Type="http://schemas.openxmlformats.org/officeDocument/2006/relationships/hyperlink" Target="https://www.espn.com/nba/player/_/id/3155526/dillon-brooks" TargetMode="External"/><Relationship Id="rId264" Type="http://schemas.openxmlformats.org/officeDocument/2006/relationships/hyperlink" Target="https://www.espn.com/nba/player/_/id/2581184/anthony-gill" TargetMode="External"/><Relationship Id="rId285" Type="http://schemas.openxmlformats.org/officeDocument/2006/relationships/hyperlink" Target="https://www.espn.com/nba/player/_/id/4279532/stanley-umude" TargetMode="External"/><Relationship Id="rId17" Type="http://schemas.openxmlformats.org/officeDocument/2006/relationships/hyperlink" Target="https://www.espn.com/nba/player/_/id/5107897/jonathan-mogbo" TargetMode="External"/><Relationship Id="rId38" Type="http://schemas.openxmlformats.org/officeDocument/2006/relationships/hyperlink" Target="https://www.espn.com/nba/player/_/id/3913180/garrison-mathews" TargetMode="External"/><Relationship Id="rId59" Type="http://schemas.openxmlformats.org/officeDocument/2006/relationships/hyperlink" Target="https://www.espn.com/nba/player/_/id/3468/russell-westbrook" TargetMode="External"/><Relationship Id="rId103" Type="http://schemas.openxmlformats.org/officeDocument/2006/relationships/hyperlink" Target="https://www.espn.com/nba/player/_/id/6461/markieff-morris" TargetMode="External"/><Relationship Id="rId124" Type="http://schemas.openxmlformats.org/officeDocument/2006/relationships/hyperlink" Target="https://www.espn.com/nba/player/_/id/3136196/trey-lyles" TargetMode="External"/><Relationship Id="rId310" Type="http://schemas.openxmlformats.org/officeDocument/2006/relationships/hyperlink" Target="https://www.espn.com/nba/player/_/id/4432247/jaylen-clark" TargetMode="External"/><Relationship Id="rId70" Type="http://schemas.openxmlformats.org/officeDocument/2006/relationships/hyperlink" Target="https://www.espn.com/nba/player/_/id/4432171/moses-moody" TargetMode="External"/><Relationship Id="rId91" Type="http://schemas.openxmlformats.org/officeDocument/2006/relationships/hyperlink" Target="https://www.espn.com/nba/player/_/id/4592686/antonio-reeves" TargetMode="External"/><Relationship Id="rId145" Type="http://schemas.openxmlformats.org/officeDocument/2006/relationships/hyperlink" Target="https://www.espn.com/nba/player/_/id/3059310/monte-morris" TargetMode="External"/><Relationship Id="rId166" Type="http://schemas.openxmlformats.org/officeDocument/2006/relationships/hyperlink" Target="https://www.espn.com/nba/player/_/id/4066399/micah-potter" TargetMode="External"/><Relationship Id="rId187" Type="http://schemas.openxmlformats.org/officeDocument/2006/relationships/hyperlink" Target="https://www.espn.com/nba/player/_/id/3999/james-johnson" TargetMode="External"/><Relationship Id="rId331" Type="http://schemas.openxmlformats.org/officeDocument/2006/relationships/hyperlink" Target="https://www.espn.com/nba/player/_/id/2993874/kyle-anderson" TargetMode="External"/><Relationship Id="rId352" Type="http://schemas.openxmlformats.org/officeDocument/2006/relationships/hyperlink" Target="https://www.espn.com/nba/player/_/id/4017837/ivica-zubac" TargetMode="External"/><Relationship Id="rId373" Type="http://schemas.openxmlformats.org/officeDocument/2006/relationships/hyperlink" Target="https://www.espn.com/nba/player/_/id/3914044/landry-shamet" TargetMode="External"/><Relationship Id="rId1" Type="http://schemas.openxmlformats.org/officeDocument/2006/relationships/hyperlink" Target="https://www.espn.com/nba/player/_/id/4684742/ausar-thompson" TargetMode="External"/><Relationship Id="rId212" Type="http://schemas.openxmlformats.org/officeDocument/2006/relationships/hyperlink" Target="https://www.espn.com/nba/player/_/id/4396991/talen-horton-tucker" TargetMode="External"/><Relationship Id="rId233" Type="http://schemas.openxmlformats.org/officeDocument/2006/relationships/hyperlink" Target="https://www.espn.com/nba/player/_/id/2991230/fred-vanvleet" TargetMode="External"/><Relationship Id="rId254" Type="http://schemas.openxmlformats.org/officeDocument/2006/relationships/hyperlink" Target="https://www.espn.com/nba/player/_/id/4433623/caleb-houstan" TargetMode="External"/><Relationship Id="rId28" Type="http://schemas.openxmlformats.org/officeDocument/2006/relationships/hyperlink" Target="https://www.espn.com/nba/player/_/id/4431680/onyeka-okongwu" TargetMode="External"/><Relationship Id="rId49" Type="http://schemas.openxmlformats.org/officeDocument/2006/relationships/hyperlink" Target="https://www.espn.com/nba/player/_/id/4868423/jaden-hardy" TargetMode="External"/><Relationship Id="rId114" Type="http://schemas.openxmlformats.org/officeDocument/2006/relationships/hyperlink" Target="https://www.espn.com/nba/player/_/id/5211176/tidjane-salaun" TargetMode="External"/><Relationship Id="rId275" Type="http://schemas.openxmlformats.org/officeDocument/2006/relationships/hyperlink" Target="https://www.espn.com/nba/player/_/id/4591725/ryan-rollins" TargetMode="External"/><Relationship Id="rId296" Type="http://schemas.openxmlformats.org/officeDocument/2006/relationships/hyperlink" Target="https://www.espn.com/nba/player/_/id/6585/andre-drummond" TargetMode="External"/><Relationship Id="rId300" Type="http://schemas.openxmlformats.org/officeDocument/2006/relationships/hyperlink" Target="https://www.espn.com/nba/player/_/id/3032976/rudy-gobert" TargetMode="External"/><Relationship Id="rId60" Type="http://schemas.openxmlformats.org/officeDocument/2006/relationships/hyperlink" Target="https://www.espn.com/nba/player/_/id/4398390/jalen-pickett" TargetMode="External"/><Relationship Id="rId81" Type="http://schemas.openxmlformats.org/officeDocument/2006/relationships/hyperlink" Target="https://www.espn.com/nba/player/_/id/4592714/pat-spencer" TargetMode="External"/><Relationship Id="rId135" Type="http://schemas.openxmlformats.org/officeDocument/2006/relationships/hyperlink" Target="https://www.espn.com/nba/player/_/id/3136193/devin-booker" TargetMode="External"/><Relationship Id="rId156" Type="http://schemas.openxmlformats.org/officeDocument/2006/relationships/hyperlink" Target="https://www.espn.com/nba/player/_/id/3064560/luke-kornet" TargetMode="External"/><Relationship Id="rId177" Type="http://schemas.openxmlformats.org/officeDocument/2006/relationships/hyperlink" Target="https://www.espn.com/nba/player/_/id/4396993/tyrese-haliburton" TargetMode="External"/><Relationship Id="rId198" Type="http://schemas.openxmlformats.org/officeDocument/2006/relationships/hyperlink" Target="https://www.espn.com/nba/player/_/id/2991070/jerami-grant" TargetMode="External"/><Relationship Id="rId321" Type="http://schemas.openxmlformats.org/officeDocument/2006/relationships/hyperlink" Target="https://www.espn.com/nba/player/_/id/4432187/reece-beekman" TargetMode="External"/><Relationship Id="rId342" Type="http://schemas.openxmlformats.org/officeDocument/2006/relationships/hyperlink" Target="https://www.espn.com/nba/player/_/id/4395630/devin-vassell" TargetMode="External"/><Relationship Id="rId363" Type="http://schemas.openxmlformats.org/officeDocument/2006/relationships/hyperlink" Target="https://www.espn.com/nba/player/_/id/4845363/cam-christie" TargetMode="External"/><Relationship Id="rId384" Type="http://schemas.openxmlformats.org/officeDocument/2006/relationships/hyperlink" Target="https://www.espn.com/nba/player/_/id/3134932/john-konchar" TargetMode="External"/><Relationship Id="rId202" Type="http://schemas.openxmlformats.org/officeDocument/2006/relationships/hyperlink" Target="https://www.espn.com/nba/player/_/id/4683678/scoot-henderson" TargetMode="External"/><Relationship Id="rId223" Type="http://schemas.openxmlformats.org/officeDocument/2006/relationships/hyperlink" Target="https://www.espn.com/nba/player/_/id/4702159/dillon-jones" TargetMode="External"/><Relationship Id="rId244" Type="http://schemas.openxmlformats.org/officeDocument/2006/relationships/hyperlink" Target="https://www.espn.com/nba/player/_/id/3146557/jock-landale" TargetMode="External"/><Relationship Id="rId18" Type="http://schemas.openxmlformats.org/officeDocument/2006/relationships/hyperlink" Target="https://www.espn.com/nba/player/_/id/3134908/jakob-poeltl" TargetMode="External"/><Relationship Id="rId39" Type="http://schemas.openxmlformats.org/officeDocument/2006/relationships/hyperlink" Target="https://www.espn.com/nba/player/_/id/4279318/daeqwon-plowden" TargetMode="External"/><Relationship Id="rId265" Type="http://schemas.openxmlformats.org/officeDocument/2006/relationships/hyperlink" Target="https://www.espn.com/nba/player/_/id/4997537/tristan-vukcevic" TargetMode="External"/><Relationship Id="rId286" Type="http://schemas.openxmlformats.org/officeDocument/2006/relationships/hyperlink" Target="https://www.espn.com/nba/player/_/id/4017844/guerschon-yabusele" TargetMode="External"/><Relationship Id="rId50" Type="http://schemas.openxmlformats.org/officeDocument/2006/relationships/hyperlink" Target="https://www.espn.com/nba/player/_/id/4278078/pj-washington" TargetMode="External"/><Relationship Id="rId104" Type="http://schemas.openxmlformats.org/officeDocument/2006/relationships/hyperlink" Target="https://www.espn.com/nba/player/_/id/2596107/alex-len" TargetMode="External"/><Relationship Id="rId125" Type="http://schemas.openxmlformats.org/officeDocument/2006/relationships/hyperlink" Target="https://www.espn.com/nba/player/_/id/2528588/doug-mcdermott" TargetMode="External"/><Relationship Id="rId146" Type="http://schemas.openxmlformats.org/officeDocument/2006/relationships/hyperlink" Target="https://www.espn.com/nba/player/_/id/4065648/jayson-tatum" TargetMode="External"/><Relationship Id="rId167" Type="http://schemas.openxmlformats.org/officeDocument/2006/relationships/hyperlink" Target="https://www.espn.com/nba/player/_/id/3133602/svi-mykhailiuk" TargetMode="External"/><Relationship Id="rId188" Type="http://schemas.openxmlformats.org/officeDocument/2006/relationships/hyperlink" Target="https://www.espn.com/nba/player/_/id/4683021/deni-avdija" TargetMode="External"/><Relationship Id="rId311" Type="http://schemas.openxmlformats.org/officeDocument/2006/relationships/hyperlink" Target="https://www.espn.com/nba/player/_/id/4684275/rob-dillingham" TargetMode="External"/><Relationship Id="rId332" Type="http://schemas.openxmlformats.org/officeDocument/2006/relationships/hyperlink" Target="https://www.espn.com/nba/player/_/id/4278053/davion-mitchell" TargetMode="External"/><Relationship Id="rId353" Type="http://schemas.openxmlformats.org/officeDocument/2006/relationships/hyperlink" Target="https://www.espn.com/nba/player/_/id/3992/james-harden" TargetMode="External"/><Relationship Id="rId374" Type="http://schemas.openxmlformats.org/officeDocument/2006/relationships/hyperlink" Target="https://www.espn.com/nba/player/_/id/4433225/tyler-kolek" TargetMode="External"/><Relationship Id="rId71" Type="http://schemas.openxmlformats.org/officeDocument/2006/relationships/hyperlink" Target="https://www.espn.com/nba/player/_/id/4709138/brandin-podziemski" TargetMode="External"/><Relationship Id="rId92" Type="http://schemas.openxmlformats.org/officeDocument/2006/relationships/hyperlink" Target="https://www.espn.com/nba/player/_/id/3950760/kylor-kelley" TargetMode="External"/><Relationship Id="rId213" Type="http://schemas.openxmlformats.org/officeDocument/2006/relationships/hyperlink" Target="https://www.espn.com/nba/player/_/id/4397189/jalen-smith" TargetMode="External"/><Relationship Id="rId234" Type="http://schemas.openxmlformats.org/officeDocument/2006/relationships/hyperlink" Target="https://www.espn.com/nba/player/_/id/4437244/jalen-green" TargetMode="External"/><Relationship Id="rId2" Type="http://schemas.openxmlformats.org/officeDocument/2006/relationships/hyperlink" Target="https://www.espn.com/nba/player/_/id/2528210/tim-hardaway-jr" TargetMode="External"/><Relationship Id="rId29" Type="http://schemas.openxmlformats.org/officeDocument/2006/relationships/hyperlink" Target="https://www.espn.com/nba/player/_/id/5211175/zaccharie-risacher" TargetMode="External"/><Relationship Id="rId255" Type="http://schemas.openxmlformats.org/officeDocument/2006/relationships/hyperlink" Target="https://www.espn.com/nba/player/_/id/4712849/anthony-black" TargetMode="External"/><Relationship Id="rId276" Type="http://schemas.openxmlformats.org/officeDocument/2006/relationships/hyperlink" Target="https://www.espn.com/nba/player/_/id/4397233/pete-nance" TargetMode="External"/><Relationship Id="rId297" Type="http://schemas.openxmlformats.org/officeDocument/2006/relationships/hyperlink" Target="https://www.espn.com/nba/player/_/id/3133603/kelly-oubre-jr" TargetMode="External"/><Relationship Id="rId40" Type="http://schemas.openxmlformats.org/officeDocument/2006/relationships/hyperlink" Target="https://www.espn.com/nba/player/_/id/6583/anthony-davis" TargetMode="External"/><Relationship Id="rId115" Type="http://schemas.openxmlformats.org/officeDocument/2006/relationships/hyperlink" Target="https://www.espn.com/nba/player/_/id/4065663/josh-okogie" TargetMode="External"/><Relationship Id="rId136" Type="http://schemas.openxmlformats.org/officeDocument/2006/relationships/hyperlink" Target="https://www.espn.com/nba/player/_/id/3138161/cody-martin" TargetMode="External"/><Relationship Id="rId157" Type="http://schemas.openxmlformats.org/officeDocument/2006/relationships/hyperlink" Target="https://www.espn.com/nba/player/_/id/4397424/neemias-queta" TargetMode="External"/><Relationship Id="rId178" Type="http://schemas.openxmlformats.org/officeDocument/2006/relationships/hyperlink" Target="https://www.espn.com/nba/player/_/id/4278355/obi-toppin" TargetMode="External"/><Relationship Id="rId301" Type="http://schemas.openxmlformats.org/officeDocument/2006/relationships/hyperlink" Target="https://www.espn.com/nba/player/_/id/3195/mike-conley" TargetMode="External"/><Relationship Id="rId322" Type="http://schemas.openxmlformats.org/officeDocument/2006/relationships/hyperlink" Target="https://www.espn.com/nba/player/_/id/4432887/tyson-etienne" TargetMode="External"/><Relationship Id="rId343" Type="http://schemas.openxmlformats.org/officeDocument/2006/relationships/hyperlink" Target="https://www.espn.com/nba/player/_/id/4845367/stephon-castle" TargetMode="External"/><Relationship Id="rId364" Type="http://schemas.openxmlformats.org/officeDocument/2006/relationships/hyperlink" Target="https://www.espn.com/nba/player/_/id/5165257/trentyn-flowers" TargetMode="External"/><Relationship Id="rId61" Type="http://schemas.openxmlformats.org/officeDocument/2006/relationships/hyperlink" Target="https://www.espn.com/nba/player/_/id/3032978/dario-saric" TargetMode="External"/><Relationship Id="rId82" Type="http://schemas.openxmlformats.org/officeDocument/2006/relationships/hyperlink" Target="https://www.espn.com/nba/player/_/id/2489663/kelly-olynyk" TargetMode="External"/><Relationship Id="rId199" Type="http://schemas.openxmlformats.org/officeDocument/2006/relationships/hyperlink" Target="https://www.espn.com/nba/player/_/id/4066268/duop-reath" TargetMode="External"/><Relationship Id="rId203" Type="http://schemas.openxmlformats.org/officeDocument/2006/relationships/hyperlink" Target="https://www.espn.com/nba/player/_/id/4711294/matas-buzelis" TargetMode="External"/><Relationship Id="rId385" Type="http://schemas.openxmlformats.org/officeDocument/2006/relationships/hyperlink" Target="https://www.espn.com/nba/player/_/id/4433083/cam-spencer" TargetMode="External"/><Relationship Id="rId19" Type="http://schemas.openxmlformats.org/officeDocument/2006/relationships/hyperlink" Target="https://www.espn.com/nba/player/_/id/4395724/immanuel-quickley" TargetMode="External"/><Relationship Id="rId224" Type="http://schemas.openxmlformats.org/officeDocument/2006/relationships/hyperlink" Target="https://www.espn.com/nba/player/_/id/3133626/kenrich-williams" TargetMode="External"/><Relationship Id="rId245" Type="http://schemas.openxmlformats.org/officeDocument/2006/relationships/hyperlink" Target="https://www.espn.com/nba/player/_/id/4432573/paolo-banchero" TargetMode="External"/><Relationship Id="rId266" Type="http://schemas.openxmlformats.org/officeDocument/2006/relationships/hyperlink" Target="https://www.espn.com/nba/player/_/id/4433378/colby-jones" TargetMode="External"/><Relationship Id="rId287" Type="http://schemas.openxmlformats.org/officeDocument/2006/relationships/hyperlink" Target="https://www.espn.com/nba/player/_/id/4711297/justin-edwards" TargetMode="External"/><Relationship Id="rId30" Type="http://schemas.openxmlformats.org/officeDocument/2006/relationships/hyperlink" Target="https://www.espn.com/nba/player/_/id/4712863/mouhamed-gueye" TargetMode="External"/><Relationship Id="rId105" Type="http://schemas.openxmlformats.org/officeDocument/2006/relationships/hyperlink" Target="https://www.espn.com/nba/player/_/id/4395623/trey-jemison-iii" TargetMode="External"/><Relationship Id="rId126" Type="http://schemas.openxmlformats.org/officeDocument/2006/relationships/hyperlink" Target="https://www.espn.com/nba/player/_/id/6477/jonas-valanciunas" TargetMode="External"/><Relationship Id="rId147" Type="http://schemas.openxmlformats.org/officeDocument/2006/relationships/hyperlink" Target="https://www.espn.com/nba/player/_/id/3102531/kristaps-porzingis" TargetMode="External"/><Relationship Id="rId168" Type="http://schemas.openxmlformats.org/officeDocument/2006/relationships/hyperlink" Target="https://www.espn.com/nba/player/_/id/4432164/jaden-springer" TargetMode="External"/><Relationship Id="rId312" Type="http://schemas.openxmlformats.org/officeDocument/2006/relationships/hyperlink" Target="https://www.espn.com/nba/player/_/id/2968436/joe-ingles" TargetMode="External"/><Relationship Id="rId333" Type="http://schemas.openxmlformats.org/officeDocument/2006/relationships/hyperlink" Target="https://www.espn.com/nba/player/_/id/4431786/keshad-johnson" TargetMode="External"/><Relationship Id="rId354" Type="http://schemas.openxmlformats.org/officeDocument/2006/relationships/hyperlink" Target="https://www.espn.com/nba/player/_/id/2595516/norman-powell" TargetMode="External"/><Relationship Id="rId51" Type="http://schemas.openxmlformats.org/officeDocument/2006/relationships/hyperlink" Target="https://www.espn.com/nba/player/_/id/2531367/dwight-powell" TargetMode="External"/><Relationship Id="rId72" Type="http://schemas.openxmlformats.org/officeDocument/2006/relationships/hyperlink" Target="https://www.espn.com/nba/player/_/id/4433247/jonathan-kuminga" TargetMode="External"/><Relationship Id="rId93" Type="http://schemas.openxmlformats.org/officeDocument/2006/relationships/hyperlink" Target="https://www.espn.com/nba/player/_/id/4431720/lester-quinones" TargetMode="External"/><Relationship Id="rId189" Type="http://schemas.openxmlformats.org/officeDocument/2006/relationships/hyperlink" Target="https://www.espn.com/nba/player/_/id/5105565/donovan-clingan" TargetMode="External"/><Relationship Id="rId375" Type="http://schemas.openxmlformats.org/officeDocument/2006/relationships/hyperlink" Target="https://www.espn.com/nba/player/_/id/3033/pj-tucker" TargetMode="External"/><Relationship Id="rId3" Type="http://schemas.openxmlformats.org/officeDocument/2006/relationships/hyperlink" Target="https://www.espn.com/nba/player/_/id/4433621/jalen-duren" TargetMode="External"/><Relationship Id="rId214" Type="http://schemas.openxmlformats.org/officeDocument/2006/relationships/hyperlink" Target="https://www.espn.com/nba/player/_/id/4432821/ej-liddell" TargetMode="External"/><Relationship Id="rId235" Type="http://schemas.openxmlformats.org/officeDocument/2006/relationships/hyperlink" Target="https://www.espn.com/nba/player/_/id/4432639/jabari-smith-jr" TargetMode="External"/><Relationship Id="rId256" Type="http://schemas.openxmlformats.org/officeDocument/2006/relationships/hyperlink" Target="https://www.espn.com/nba/player/_/id/4702382/tristan-da-silva" TargetMode="External"/><Relationship Id="rId277" Type="http://schemas.openxmlformats.org/officeDocument/2006/relationships/hyperlink" Target="https://www.espn.com/nba/player/_/id/4433622/chris-livingston" TargetMode="External"/><Relationship Id="rId298" Type="http://schemas.openxmlformats.org/officeDocument/2006/relationships/hyperlink" Target="https://www.espn.com/nba/player/_/id/3064514/julius-randle" TargetMode="External"/><Relationship Id="rId116" Type="http://schemas.openxmlformats.org/officeDocument/2006/relationships/hyperlink" Target="https://www.espn.com/nba/player/_/id/4397570/jaylen-sims" TargetMode="External"/><Relationship Id="rId137" Type="http://schemas.openxmlformats.org/officeDocument/2006/relationships/hyperlink" Target="https://www.espn.com/nba/player/_/id/4278076/nick-richards" TargetMode="External"/><Relationship Id="rId158" Type="http://schemas.openxmlformats.org/officeDocument/2006/relationships/hyperlink" Target="https://www.espn.com/nba/player/_/id/4066354/payton-pritchard" TargetMode="External"/><Relationship Id="rId302" Type="http://schemas.openxmlformats.org/officeDocument/2006/relationships/hyperlink" Target="https://www.espn.com/nba/player/_/id/4594268/anthony-edwards" TargetMode="External"/><Relationship Id="rId323" Type="http://schemas.openxmlformats.org/officeDocument/2006/relationships/hyperlink" Target="https://www.espn.com/nba/player/_/id/4397179/tyrese-martin" TargetMode="External"/><Relationship Id="rId344" Type="http://schemas.openxmlformats.org/officeDocument/2006/relationships/hyperlink" Target="https://www.espn.com/nba/player/_/id/4278580/sandro-mamukelashvili" TargetMode="External"/><Relationship Id="rId20" Type="http://schemas.openxmlformats.org/officeDocument/2006/relationships/hyperlink" Target="https://www.espn.com/nba/player/_/id/4684272/jakobe-walter" TargetMode="External"/><Relationship Id="rId41" Type="http://schemas.openxmlformats.org/officeDocument/2006/relationships/hyperlink" Target="https://www.espn.com/nba/player/_/id/4278594/naji-marshall" TargetMode="External"/><Relationship Id="rId62" Type="http://schemas.openxmlformats.org/officeDocument/2006/relationships/hyperlink" Target="https://www.espn.com/nba/player/_/id/4395620/hunter-tyson" TargetMode="External"/><Relationship Id="rId83" Type="http://schemas.openxmlformats.org/officeDocument/2006/relationships/hyperlink" Target="https://www.espn.com/nba/player/_/id/4065670/bruce-brown" TargetMode="External"/><Relationship Id="rId179" Type="http://schemas.openxmlformats.org/officeDocument/2006/relationships/hyperlink" Target="https://www.espn.com/nba/player/_/id/5106060/jarace-walker" TargetMode="External"/><Relationship Id="rId365" Type="http://schemas.openxmlformats.org/officeDocument/2006/relationships/hyperlink" Target="https://www.espn.com/nba/player/_/id/3147657/mikal-bridges" TargetMode="External"/><Relationship Id="rId386" Type="http://schemas.openxmlformats.org/officeDocument/2006/relationships/hyperlink" Target="https://www.espn.com/nba/player/_/id/5159895/yuki-kawamura" TargetMode="External"/><Relationship Id="rId190" Type="http://schemas.openxmlformats.org/officeDocument/2006/relationships/hyperlink" Target="https://www.espn.com/nba/player/_/id/3907498/matisse-thybulle" TargetMode="External"/><Relationship Id="rId204" Type="http://schemas.openxmlformats.org/officeDocument/2006/relationships/hyperlink" Target="https://www.espn.com/nba/player/_/id/6478/nikola-vucevic" TargetMode="External"/><Relationship Id="rId225" Type="http://schemas.openxmlformats.org/officeDocument/2006/relationships/hyperlink" Target="https://www.espn.com/nba/player/_/id/4592435/branden-carlson" TargetMode="External"/><Relationship Id="rId246" Type="http://schemas.openxmlformats.org/officeDocument/2006/relationships/hyperlink" Target="https://www.espn.com/nba/player/_/id/4566434/franz-wagner" TargetMode="External"/><Relationship Id="rId267" Type="http://schemas.openxmlformats.org/officeDocument/2006/relationships/hyperlink" Target="https://www.espn.com/nba/player/_/id/4684737/jaylen-martin" TargetMode="External"/><Relationship Id="rId288" Type="http://schemas.openxmlformats.org/officeDocument/2006/relationships/hyperlink" Target="https://www.espn.com/nba/player/_/id/5105637/adem-bona" TargetMode="External"/><Relationship Id="rId106" Type="http://schemas.openxmlformats.org/officeDocument/2006/relationships/hyperlink" Target="https://www.espn.com/nba/player/_/id/3915195/shake-milton" TargetMode="External"/><Relationship Id="rId127" Type="http://schemas.openxmlformats.org/officeDocument/2006/relationships/hyperlink" Target="https://www.espn.com/nba/player/_/id/5107818/isaac-jones" TargetMode="External"/><Relationship Id="rId313" Type="http://schemas.openxmlformats.org/officeDocument/2006/relationships/hyperlink" Target="https://www.espn.com/nba/player/_/id/4431675/trendon-watford" TargetMode="External"/><Relationship Id="rId10" Type="http://schemas.openxmlformats.org/officeDocument/2006/relationships/hyperlink" Target="https://www.espn.com/nba/player/_/id/4432107/marcus-sasser" TargetMode="External"/><Relationship Id="rId31" Type="http://schemas.openxmlformats.org/officeDocument/2006/relationships/hyperlink" Target="https://www.espn.com/nba/player/_/id/4277905/trae-young" TargetMode="External"/><Relationship Id="rId52" Type="http://schemas.openxmlformats.org/officeDocument/2006/relationships/hyperlink" Target="https://www.espn.com/nba/player/_/id/3064290/aaron-gordon" TargetMode="External"/><Relationship Id="rId73" Type="http://schemas.openxmlformats.org/officeDocument/2006/relationships/hyperlink" Target="https://www.espn.com/nba/player/_/id/3155535/kevon-looney" TargetMode="External"/><Relationship Id="rId94" Type="http://schemas.openxmlformats.org/officeDocument/2006/relationships/hyperlink" Target="https://www.espn.com/nba/player/_/id/2578185/dorian-finney-smith" TargetMode="External"/><Relationship Id="rId148" Type="http://schemas.openxmlformats.org/officeDocument/2006/relationships/hyperlink" Target="https://www.espn.com/nba/player/_/id/3995/jrue-holiday" TargetMode="External"/><Relationship Id="rId169" Type="http://schemas.openxmlformats.org/officeDocument/2006/relationships/hyperlink" Target="https://www.espn.com/nba/player/_/id/4433627/keyonte-george" TargetMode="External"/><Relationship Id="rId334" Type="http://schemas.openxmlformats.org/officeDocument/2006/relationships/hyperlink" Target="https://www.espn.com/nba/player/_/id/3059319/andrew-wiggins" TargetMode="External"/><Relationship Id="rId355" Type="http://schemas.openxmlformats.org/officeDocument/2006/relationships/hyperlink" Target="https://www.espn.com/nba/player/_/id/2991139/kris-dunn" TargetMode="External"/><Relationship Id="rId376" Type="http://schemas.openxmlformats.org/officeDocument/2006/relationships/hyperlink" Target="https://www.espn.com/nba/player/_/id/4351852/mitchell-robinson" TargetMode="External"/><Relationship Id="rId4" Type="http://schemas.openxmlformats.org/officeDocument/2006/relationships/hyperlink" Target="https://www.espn.com/nba/player/_/id/3032979/dennis-schroder" TargetMode="External"/><Relationship Id="rId180" Type="http://schemas.openxmlformats.org/officeDocument/2006/relationships/hyperlink" Target="https://www.espn.com/nba/player/_/id/5157066/johnny-furphy" TargetMode="External"/><Relationship Id="rId215" Type="http://schemas.openxmlformats.org/officeDocument/2006/relationships/hyperlink" Target="https://www.espn.com/nba/player/_/id/4432872/emanuel-miller" TargetMode="External"/><Relationship Id="rId236" Type="http://schemas.openxmlformats.org/officeDocument/2006/relationships/hyperlink" Target="https://www.espn.com/nba/player/_/id/4433192/tari-eason" TargetMode="External"/><Relationship Id="rId257" Type="http://schemas.openxmlformats.org/officeDocument/2006/relationships/hyperlink" Target="https://www.espn.com/nba/player/_/id/4409222/trevelin-queen" TargetMode="External"/><Relationship Id="rId278" Type="http://schemas.openxmlformats.org/officeDocument/2006/relationships/hyperlink" Target="https://www.espn.com/nba/player/_/id/5167876/tyler-smith" TargetMode="External"/><Relationship Id="rId303" Type="http://schemas.openxmlformats.org/officeDocument/2006/relationships/hyperlink" Target="https://www.espn.com/nba/player/_/id/4687718/josh-minott" TargetMode="External"/><Relationship Id="rId42" Type="http://schemas.openxmlformats.org/officeDocument/2006/relationships/hyperlink" Target="https://www.espn.com/nba/player/_/id/4683688/dereck-lively-ii" TargetMode="External"/><Relationship Id="rId84" Type="http://schemas.openxmlformats.org/officeDocument/2006/relationships/hyperlink" Target="https://www.espn.com/nba/player/_/id/4431689/keion-brooks-jr" TargetMode="External"/><Relationship Id="rId138" Type="http://schemas.openxmlformats.org/officeDocument/2006/relationships/hyperlink" Target="https://www.espn.com/nba/player/_/id/4397102/bol-bol" TargetMode="External"/><Relationship Id="rId345" Type="http://schemas.openxmlformats.org/officeDocument/2006/relationships/hyperlink" Target="https://www.espn.com/nba/player/_/id/4592479/julian-champagnie" TargetMode="External"/><Relationship Id="rId387" Type="http://schemas.openxmlformats.org/officeDocument/2006/relationships/drawing" Target="../drawings/drawing1.xml"/><Relationship Id="rId191" Type="http://schemas.openxmlformats.org/officeDocument/2006/relationships/hyperlink" Target="https://www.espn.com/nba/player/_/id/4914336/shaedon-sharpe" TargetMode="External"/><Relationship Id="rId205" Type="http://schemas.openxmlformats.org/officeDocument/2006/relationships/hyperlink" Target="https://www.espn.com/nba/player/_/id/4395651/coby-white" TargetMode="External"/><Relationship Id="rId247" Type="http://schemas.openxmlformats.org/officeDocument/2006/relationships/hyperlink" Target="https://www.espn.com/nba/player/_/id/4277847/wendell-carter-jr" TargetMode="External"/><Relationship Id="rId107" Type="http://schemas.openxmlformats.org/officeDocument/2006/relationships/hyperlink" Target="https://www.espn.com/nba/player/_/id/4066383/miles-bridges" TargetMode="External"/><Relationship Id="rId289" Type="http://schemas.openxmlformats.org/officeDocument/2006/relationships/hyperlink" Target="https://www.espn.com/nba/player/_/id/4395695/jared-butler" TargetMode="External"/><Relationship Id="rId11" Type="http://schemas.openxmlformats.org/officeDocument/2006/relationships/hyperlink" Target="https://www.espn.com/nba/player/_/id/4397882/tolu-smith" TargetMode="External"/><Relationship Id="rId53" Type="http://schemas.openxmlformats.org/officeDocument/2006/relationships/hyperlink" Target="https://www.espn.com/nba/player/_/id/4576087/peyton-watson" TargetMode="External"/><Relationship Id="rId149" Type="http://schemas.openxmlformats.org/officeDocument/2006/relationships/hyperlink" Target="https://www.espn.com/nba/player/_/id/3078576/derrick-white" TargetMode="External"/><Relationship Id="rId314" Type="http://schemas.openxmlformats.org/officeDocument/2006/relationships/hyperlink" Target="https://www.espn.com/nba/player/_/id/4684286/maxwell-lewis" TargetMode="External"/><Relationship Id="rId356" Type="http://schemas.openxmlformats.org/officeDocument/2006/relationships/hyperlink" Target="https://www.espn.com/nba/player/_/id/3416/nicolas-batum" TargetMode="External"/><Relationship Id="rId95" Type="http://schemas.openxmlformats.org/officeDocument/2006/relationships/hyperlink" Target="https://www.espn.com/nba/player/_/id/1966/lebron-james" TargetMode="External"/><Relationship Id="rId160" Type="http://schemas.openxmlformats.org/officeDocument/2006/relationships/hyperlink" Target="https://www.espn.com/nba/player/_/id/2528693/torrey-craig" TargetMode="External"/><Relationship Id="rId216" Type="http://schemas.openxmlformats.org/officeDocument/2006/relationships/hyperlink" Target="https://www.espn.com/nba/player/_/id/3133635/jevon-carter" TargetMode="External"/><Relationship Id="rId258" Type="http://schemas.openxmlformats.org/officeDocument/2006/relationships/hyperlink" Target="https://www.espn.com/nba/player/_/id/5105806/jett-howard" TargetMode="External"/><Relationship Id="rId22" Type="http://schemas.openxmlformats.org/officeDocument/2006/relationships/hyperlink" Target="https://www.espn.com/nba/player/_/id/4593049/orlando-robinson" TargetMode="External"/><Relationship Id="rId64" Type="http://schemas.openxmlformats.org/officeDocument/2006/relationships/hyperlink" Target="https://www.espn.com/nba/player/_/id/3442/deandre-jordan" TargetMode="External"/><Relationship Id="rId118" Type="http://schemas.openxmlformats.org/officeDocument/2006/relationships/hyperlink" Target="https://www.espn.com/nba/player/_/id/3155942/domantas-sabonis" TargetMode="External"/><Relationship Id="rId325" Type="http://schemas.openxmlformats.org/officeDocument/2006/relationships/hyperlink" Target="https://www.espn.com/nba/player/_/id/5105623/kelel-ware" TargetMode="External"/><Relationship Id="rId367" Type="http://schemas.openxmlformats.org/officeDocument/2006/relationships/hyperlink" Target="https://www.espn.com/nba/player/_/id/3136195/karl-anthony-towns" TargetMode="External"/><Relationship Id="rId171" Type="http://schemas.openxmlformats.org/officeDocument/2006/relationships/hyperlink" Target="https://www.espn.com/nba/player/_/id/4432827/oscar-tshiebwe" TargetMode="External"/><Relationship Id="rId227" Type="http://schemas.openxmlformats.org/officeDocument/2006/relationships/hyperlink" Target="https://www.espn.com/nba/player/_/id/4397183/aaron-wiggins" TargetMode="External"/><Relationship Id="rId269" Type="http://schemas.openxmlformats.org/officeDocument/2006/relationships/hyperlink" Target="https://www.espn.com/nba/player/_/id/5174563/kyshawn-george" TargetMode="External"/><Relationship Id="rId33" Type="http://schemas.openxmlformats.org/officeDocument/2006/relationships/hyperlink" Target="https://www.espn.com/nba/player/_/id/4870562/dominick-barlow" TargetMode="External"/><Relationship Id="rId129" Type="http://schemas.openxmlformats.org/officeDocument/2006/relationships/hyperlink" Target="https://www.espn.com/nba/player/_/id/4066262/malik-monk" TargetMode="External"/><Relationship Id="rId280" Type="http://schemas.openxmlformats.org/officeDocument/2006/relationships/hyperlink" Target="https://www.espn.com/nba/player/_/id/4277843/gary-trent-jr" TargetMode="External"/><Relationship Id="rId336" Type="http://schemas.openxmlformats.org/officeDocument/2006/relationships/hyperlink" Target="https://www.espn.com/nba/player/_/id/4432168/josh-christopher" TargetMode="External"/><Relationship Id="rId75" Type="http://schemas.openxmlformats.org/officeDocument/2006/relationships/hyperlink" Target="https://www.espn.com/nba/player/_/id/4593016/quinten-post" TargetMode="External"/><Relationship Id="rId140" Type="http://schemas.openxmlformats.org/officeDocument/2006/relationships/hyperlink" Target="https://www.espn.com/nba/player/_/id/2595209/damion-lee" TargetMode="External"/><Relationship Id="rId182" Type="http://schemas.openxmlformats.org/officeDocument/2006/relationships/hyperlink" Target="https://www.espn.com/nba/player/_/id/4065673/tony-bradley" TargetMode="External"/><Relationship Id="rId378" Type="http://schemas.openxmlformats.org/officeDocument/2006/relationships/hyperlink" Target="https://www.espn.com/nba/player/_/id/4066405/lamar-stevens" TargetMode="External"/><Relationship Id="rId6" Type="http://schemas.openxmlformats.org/officeDocument/2006/relationships/hyperlink" Target="https://www.espn.com/nba/player/_/id/3899664/simone-fontecchio" TargetMode="External"/><Relationship Id="rId238" Type="http://schemas.openxmlformats.org/officeDocument/2006/relationships/hyperlink" Target="https://www.espn.com/nba/player/_/id/3136777/jaesean-tate" TargetMode="External"/><Relationship Id="rId291" Type="http://schemas.openxmlformats.org/officeDocument/2006/relationships/hyperlink" Target="https://www.espn.com/nba/player/_/id/4909710/phillip-wheeler" TargetMode="External"/><Relationship Id="rId305" Type="http://schemas.openxmlformats.org/officeDocument/2006/relationships/hyperlink" Target="https://www.espn.com/nba/player/_/id/4277951/luka-garza" TargetMode="External"/><Relationship Id="rId347" Type="http://schemas.openxmlformats.org/officeDocument/2006/relationships/hyperlink" Target="https://www.espn.com/nba/player/_/id/4397886/charles-bassey" TargetMode="External"/><Relationship Id="rId44" Type="http://schemas.openxmlformats.org/officeDocument/2006/relationships/hyperlink" Target="https://www.espn.com/nba/player/_/id/6475/klay-thompson" TargetMode="External"/><Relationship Id="rId86" Type="http://schemas.openxmlformats.org/officeDocument/2006/relationships/hyperlink" Target="https://www.espn.com/nba/player/_/id/4277869/jose-alvarado" TargetMode="External"/><Relationship Id="rId151" Type="http://schemas.openxmlformats.org/officeDocument/2006/relationships/hyperlink" Target="https://www.espn.com/nba/player/_/id/4277964/xavier-tillman" TargetMode="External"/><Relationship Id="rId193" Type="http://schemas.openxmlformats.org/officeDocument/2006/relationships/hyperlink" Target="https://www.espn.com/nba/player/_/id/4278111/justin-minaya" TargetMode="External"/><Relationship Id="rId207" Type="http://schemas.openxmlformats.org/officeDocument/2006/relationships/hyperlink" Target="https://www.espn.com/nba/player/_/id/4871145/josh-giddey" TargetMode="External"/><Relationship Id="rId249" Type="http://schemas.openxmlformats.org/officeDocument/2006/relationships/hyperlink" Target="https://www.espn.com/nba/player/_/id/2581018/kentavious-caldwell-pope" TargetMode="External"/><Relationship Id="rId13" Type="http://schemas.openxmlformats.org/officeDocument/2006/relationships/hyperlink" Target="https://www.espn.com/nba/player/_/id/4432810/isaiah-stewart" TargetMode="External"/><Relationship Id="rId109" Type="http://schemas.openxmlformats.org/officeDocument/2006/relationships/hyperlink" Target="https://www.espn.com/nba/player/_/id/2326307/seth-curry" TargetMode="External"/><Relationship Id="rId260" Type="http://schemas.openxmlformats.org/officeDocument/2006/relationships/hyperlink" Target="https://www.espn.com/nba/player/_/id/4432907/justin-champagnie" TargetMode="External"/><Relationship Id="rId316" Type="http://schemas.openxmlformats.org/officeDocument/2006/relationships/hyperlink" Target="https://www.espn.com/nba/player/_/id/3136776/dangelo-russell" TargetMode="External"/><Relationship Id="rId55" Type="http://schemas.openxmlformats.org/officeDocument/2006/relationships/hyperlink" Target="https://www.espn.com/nba/player/_/id/3112335/nikola-jokic" TargetMode="External"/><Relationship Id="rId97" Type="http://schemas.openxmlformats.org/officeDocument/2006/relationships/hyperlink" Target="https://www.espn.com/nba/player/_/id/3945274/luka-doncic" TargetMode="External"/><Relationship Id="rId120" Type="http://schemas.openxmlformats.org/officeDocument/2006/relationships/hyperlink" Target="https://www.espn.com/nba/player/_/id/4594327/keegan-murray" TargetMode="External"/><Relationship Id="rId358" Type="http://schemas.openxmlformats.org/officeDocument/2006/relationships/hyperlink" Target="https://www.espn.com/nba/player/_/id/3936099/derrick-jones-jr" TargetMode="External"/><Relationship Id="rId162" Type="http://schemas.openxmlformats.org/officeDocument/2006/relationships/hyperlink" Target="https://www.espn.com/nba/player/_/id/5105839/brice-sensabaugh" TargetMode="External"/><Relationship Id="rId218" Type="http://schemas.openxmlformats.org/officeDocument/2006/relationships/hyperlink" Target="https://www.espn.com/nba/player/_/id/4433255/chet-holmgren" TargetMode="External"/><Relationship Id="rId271" Type="http://schemas.openxmlformats.org/officeDocument/2006/relationships/hyperlink" Target="https://www.espn.com/nba/player/_/id/2990962/taurean-prince" TargetMode="External"/><Relationship Id="rId24" Type="http://schemas.openxmlformats.org/officeDocument/2006/relationships/hyperlink" Target="https://www.espn.com/nba/player/_/id/4397119/jared-rhoden" TargetMode="External"/><Relationship Id="rId66" Type="http://schemas.openxmlformats.org/officeDocument/2006/relationships/hyperlink" Target="https://www.espn.com/nba/player/_/id/4433268/trey-alexander" TargetMode="External"/><Relationship Id="rId131" Type="http://schemas.openxmlformats.org/officeDocument/2006/relationships/hyperlink" Target="https://www.espn.com/nba/player/_/id/2583632/royce-oneale" TargetMode="External"/><Relationship Id="rId327" Type="http://schemas.openxmlformats.org/officeDocument/2006/relationships/hyperlink" Target="https://www.espn.com/nba/player/_/id/6429/alec-burks" TargetMode="External"/><Relationship Id="rId369" Type="http://schemas.openxmlformats.org/officeDocument/2006/relationships/hyperlink" Target="https://www.espn.com/nba/player/_/id/3064447/delon-wright" TargetMode="External"/><Relationship Id="rId173" Type="http://schemas.openxmlformats.org/officeDocument/2006/relationships/hyperlink" Target="https://www.espn.com/nba/player/_/id/3149673/pascal-siakam" TargetMode="External"/><Relationship Id="rId229" Type="http://schemas.openxmlformats.org/officeDocument/2006/relationships/hyperlink" Target="https://www.espn.com/nba/player/_/id/4395702/isaiah-joe" TargetMode="External"/><Relationship Id="rId380" Type="http://schemas.openxmlformats.org/officeDocument/2006/relationships/hyperlink" Target="https://www.espn.com/nba/player/_/id/4431785/scotty-pippen-jr" TargetMode="External"/><Relationship Id="rId240" Type="http://schemas.openxmlformats.org/officeDocument/2006/relationships/hyperlink" Target="https://www.espn.com/nba/player/_/id/4397821/nate-williams" TargetMode="External"/><Relationship Id="rId35" Type="http://schemas.openxmlformats.org/officeDocument/2006/relationships/hyperlink" Target="https://www.espn.com/nba/player/_/id/2991043/caris-levert" TargetMode="External"/><Relationship Id="rId77" Type="http://schemas.openxmlformats.org/officeDocument/2006/relationships/hyperlink" Target="https://www.espn.com/nba/player/_/id/3134903/gary-payton-ii" TargetMode="External"/><Relationship Id="rId100" Type="http://schemas.openxmlformats.org/officeDocument/2006/relationships/hyperlink" Target="https://www.espn.com/nba/player/_/id/3137259/gabe-vincent" TargetMode="External"/><Relationship Id="rId282" Type="http://schemas.openxmlformats.org/officeDocument/2006/relationships/hyperlink" Target="https://www.espn.com/nba/player/_/id/4397140/kevin-porter-jr" TargetMode="External"/><Relationship Id="rId338" Type="http://schemas.openxmlformats.org/officeDocument/2006/relationships/hyperlink" Target="https://www.espn.com/nba/player/_/id/4432848/jaime-jaquez-jr" TargetMode="External"/><Relationship Id="rId8" Type="http://schemas.openxmlformats.org/officeDocument/2006/relationships/hyperlink" Target="https://www.espn.com/nba/player/_/id/4278562/paul-reed" TargetMode="External"/><Relationship Id="rId142" Type="http://schemas.openxmlformats.org/officeDocument/2006/relationships/hyperlink" Target="https://www.espn.com/nba/player/_/id/3102532/vasilije-micic" TargetMode="External"/><Relationship Id="rId184" Type="http://schemas.openxmlformats.org/officeDocument/2006/relationships/hyperlink" Target="https://www.espn.com/nba/player/_/id/4683634/bennedict-mathurin" TargetMode="External"/><Relationship Id="rId251" Type="http://schemas.openxmlformats.org/officeDocument/2006/relationships/hyperlink" Target="https://www.espn.com/nba/player/_/id/4348700/goga-bitadze" TargetMode="External"/><Relationship Id="rId46" Type="http://schemas.openxmlformats.org/officeDocument/2006/relationships/hyperlink" Target="https://www.espn.com/nba/player/_/id/3138160/caleb-martin" TargetMode="External"/><Relationship Id="rId293" Type="http://schemas.openxmlformats.org/officeDocument/2006/relationships/hyperlink" Target="https://www.espn.com/nba/player/_/id/4277890/lonnie-walker-iv" TargetMode="External"/><Relationship Id="rId307" Type="http://schemas.openxmlformats.org/officeDocument/2006/relationships/hyperlink" Target="https://www.espn.com/nba/player/_/id/4592492/bones-hyland" TargetMode="External"/><Relationship Id="rId349" Type="http://schemas.openxmlformats.org/officeDocument/2006/relationships/hyperlink" Target="https://www.espn.com/nba/player/_/id/4683935/blake-wesley" TargetMode="External"/><Relationship Id="rId88" Type="http://schemas.openxmlformats.org/officeDocument/2006/relationships/hyperlink" Target="https://www.espn.com/nba/player/_/id/4432813/jeremiah-robinson-earl" TargetMode="External"/><Relationship Id="rId111" Type="http://schemas.openxmlformats.org/officeDocument/2006/relationships/hyperlink" Target="https://www.espn.com/nba/player/_/id/4683834/kj-simpson" TargetMode="External"/><Relationship Id="rId153" Type="http://schemas.openxmlformats.org/officeDocument/2006/relationships/hyperlink" Target="https://www.espn.com/nba/player/_/id/4593841/baylor-scheierman" TargetMode="External"/><Relationship Id="rId195" Type="http://schemas.openxmlformats.org/officeDocument/2006/relationships/hyperlink" Target="https://www.espn.com/nba/player/_/id/4594326/kris-murray" TargetMode="External"/><Relationship Id="rId209" Type="http://schemas.openxmlformats.org/officeDocument/2006/relationships/hyperlink" Target="https://www.espn.com/nba/player/_/id/4431687/patrick-williams" TargetMode="External"/><Relationship Id="rId360" Type="http://schemas.openxmlformats.org/officeDocument/2006/relationships/hyperlink" Target="https://www.espn.com/nba/player/_/id/4433246/patrick-baldwin-jr" TargetMode="External"/><Relationship Id="rId220" Type="http://schemas.openxmlformats.org/officeDocument/2006/relationships/hyperlink" Target="https://www.espn.com/nba/player/_/id/4222252/isaiah-hartenstein" TargetMode="External"/><Relationship Id="rId15" Type="http://schemas.openxmlformats.org/officeDocument/2006/relationships/hyperlink" Target="https://www.espn.com/nba/player/_/id/5107199/daniss-jenkins" TargetMode="External"/><Relationship Id="rId57" Type="http://schemas.openxmlformats.org/officeDocument/2006/relationships/hyperlink" Target="https://www.espn.com/nba/player/_/id/4431690/zeke-nnaji" TargetMode="External"/><Relationship Id="rId262" Type="http://schemas.openxmlformats.org/officeDocument/2006/relationships/hyperlink" Target="https://www.espn.com/nba/player/_/id/4845374/bub-carrington" TargetMode="External"/><Relationship Id="rId318" Type="http://schemas.openxmlformats.org/officeDocument/2006/relationships/hyperlink" Target="https://www.espn.com/nba/player/_/id/4431695/drew-timme" TargetMode="External"/><Relationship Id="rId99" Type="http://schemas.openxmlformats.org/officeDocument/2006/relationships/hyperlink" Target="https://www.espn.com/nba/player/_/id/4278077/jarred-vanderbilt" TargetMode="External"/><Relationship Id="rId122" Type="http://schemas.openxmlformats.org/officeDocument/2006/relationships/hyperlink" Target="https://www.espn.com/nba/player/_/id/4702177/keon-ellis" TargetMode="External"/><Relationship Id="rId164" Type="http://schemas.openxmlformats.org/officeDocument/2006/relationships/hyperlink" Target="https://www.espn.com/nba/player/_/id/4432817/johnny-juzang" TargetMode="External"/><Relationship Id="rId371" Type="http://schemas.openxmlformats.org/officeDocument/2006/relationships/hyperlink" Target="https://www.espn.com/nba/player/_/id/4431705/anton-watson" TargetMode="External"/><Relationship Id="rId26" Type="http://schemas.openxmlformats.org/officeDocument/2006/relationships/hyperlink" Target="https://www.espn.com/nba/player/_/id/3948153/chris-boucher" TargetMode="External"/><Relationship Id="rId231" Type="http://schemas.openxmlformats.org/officeDocument/2006/relationships/hyperlink" Target="https://www.espn.com/nba/player/_/id/2991235/steven-adams" TargetMode="External"/><Relationship Id="rId273" Type="http://schemas.openxmlformats.org/officeDocument/2006/relationships/hyperlink" Target="https://www.espn.com/nba/player/_/id/3134907/kyle-kuzma" TargetMode="External"/><Relationship Id="rId329" Type="http://schemas.openxmlformats.org/officeDocument/2006/relationships/hyperlink" Target="https://www.espn.com/nba/player/_/id/3157465/duncan-robins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.com/mlb/stats/team/_/view/pitching/table/pitching/sort/earnedRuns/dir/asc" TargetMode="External"/><Relationship Id="rId21" Type="http://schemas.openxmlformats.org/officeDocument/2006/relationships/hyperlink" Target="https://www.espn.com/mlb/team/_/name/sf/san-francisco-giants" TargetMode="External"/><Relationship Id="rId42" Type="http://schemas.openxmlformats.org/officeDocument/2006/relationships/hyperlink" Target="https://www.espn.com/mlb/stats/team/_/table/batting/sort/stolenBases/dir/desc" TargetMode="External"/><Relationship Id="rId63" Type="http://schemas.openxmlformats.org/officeDocument/2006/relationships/hyperlink" Target="https://www.espn.com/mlb/team/_/name/nym/new-york-mets" TargetMode="External"/><Relationship Id="rId84" Type="http://schemas.openxmlformats.org/officeDocument/2006/relationships/hyperlink" Target="https://www.espn.com/mlb/team/_/name/tb/tampa-bay-rays" TargetMode="External"/><Relationship Id="rId138" Type="http://schemas.openxmlformats.org/officeDocument/2006/relationships/hyperlink" Target="https://www.espn.com/mlb/team/_/name/nym/new-york-mets" TargetMode="External"/><Relationship Id="rId159" Type="http://schemas.openxmlformats.org/officeDocument/2006/relationships/hyperlink" Target="https://www.espn.com/mlb/game/_/gameId/401695150/mets-twins" TargetMode="External"/><Relationship Id="rId107" Type="http://schemas.openxmlformats.org/officeDocument/2006/relationships/hyperlink" Target="https://www.espn.com/mlb/stats/team/_/view/pitching/table/pitching/sort/gamesPlayed/dir/desc" TargetMode="External"/><Relationship Id="rId11" Type="http://schemas.openxmlformats.org/officeDocument/2006/relationships/hyperlink" Target="https://www.espn.com/mlb/team/_/name/mil/milwaukee-brewers" TargetMode="External"/><Relationship Id="rId32" Type="http://schemas.openxmlformats.org/officeDocument/2006/relationships/hyperlink" Target="https://www.espn.com/mlb/stats/team/_/table/batting/sort/atBats/dir/desc" TargetMode="External"/><Relationship Id="rId53" Type="http://schemas.openxmlformats.org/officeDocument/2006/relationships/hyperlink" Target="https://www.espn.com/mlb/team/_/name/stl/st-louis-cardinals" TargetMode="External"/><Relationship Id="rId74" Type="http://schemas.openxmlformats.org/officeDocument/2006/relationships/hyperlink" Target="https://www.espn.com/mlb/team/_/name/ari/arizona-diamondbacks" TargetMode="External"/><Relationship Id="rId128" Type="http://schemas.openxmlformats.org/officeDocument/2006/relationships/hyperlink" Target="https://www.espn.com/mlb/team/_/name/sd/san-diego-padres" TargetMode="External"/><Relationship Id="rId149" Type="http://schemas.openxmlformats.org/officeDocument/2006/relationships/hyperlink" Target="https://www.espn.com/mlb/team/_/name/hou/houston-astros" TargetMode="External"/><Relationship Id="rId5" Type="http://schemas.openxmlformats.org/officeDocument/2006/relationships/hyperlink" Target="https://www.espn.com/mlb/team/_/name/tor/toronto-blue-jays" TargetMode="External"/><Relationship Id="rId95" Type="http://schemas.openxmlformats.org/officeDocument/2006/relationships/hyperlink" Target="https://www.espn.com/mlb/team/_/name/mia/miami-marlins" TargetMode="External"/><Relationship Id="rId160" Type="http://schemas.openxmlformats.org/officeDocument/2006/relationships/hyperlink" Target="https://www.espn.com/mlb/game/_/gameId/401695149/astros-cardinals" TargetMode="External"/><Relationship Id="rId22" Type="http://schemas.openxmlformats.org/officeDocument/2006/relationships/hyperlink" Target="https://www.espn.com/mlb/team/_/name/hou/houston-astros" TargetMode="External"/><Relationship Id="rId43" Type="http://schemas.openxmlformats.org/officeDocument/2006/relationships/hyperlink" Target="https://www.espn.com/mlb/stats/team/_/table/batting/sort/avg/dir/desc" TargetMode="External"/><Relationship Id="rId64" Type="http://schemas.openxmlformats.org/officeDocument/2006/relationships/hyperlink" Target="https://www.espn.com/mlb/team/_/name/cin/cincinnati-reds" TargetMode="External"/><Relationship Id="rId118" Type="http://schemas.openxmlformats.org/officeDocument/2006/relationships/hyperlink" Target="https://www.espn.com/mlb/stats/team/_/view/pitching/table/pitching/sort/homeRuns/dir/asc" TargetMode="External"/><Relationship Id="rId139" Type="http://schemas.openxmlformats.org/officeDocument/2006/relationships/hyperlink" Target="https://www.espn.com/mlb/team/_/name/sd/san-diego-padres" TargetMode="External"/><Relationship Id="rId85" Type="http://schemas.openxmlformats.org/officeDocument/2006/relationships/hyperlink" Target="https://www.espn.com/mlb/team/_/name/sea/seattle-mariners" TargetMode="External"/><Relationship Id="rId150" Type="http://schemas.openxmlformats.org/officeDocument/2006/relationships/hyperlink" Target="https://www.espn.com/mlb/team/_/name/lad/los-angeles-dodgers" TargetMode="External"/><Relationship Id="rId12" Type="http://schemas.openxmlformats.org/officeDocument/2006/relationships/hyperlink" Target="https://www.espn.com/mlb/team/_/name/det/detroit-tigers" TargetMode="External"/><Relationship Id="rId17" Type="http://schemas.openxmlformats.org/officeDocument/2006/relationships/hyperlink" Target="https://www.espn.com/mlb/team/_/name/wsh/washington-nationals" TargetMode="External"/><Relationship Id="rId33" Type="http://schemas.openxmlformats.org/officeDocument/2006/relationships/hyperlink" Target="https://www.espn.com/mlb/stats/team/_/table/batting/sort/runs/dir/desc" TargetMode="External"/><Relationship Id="rId38" Type="http://schemas.openxmlformats.org/officeDocument/2006/relationships/hyperlink" Target="https://www.espn.com/mlb/stats/team/_/table/batting/sort/RBIs/dir/desc" TargetMode="External"/><Relationship Id="rId59" Type="http://schemas.openxmlformats.org/officeDocument/2006/relationships/hyperlink" Target="https://www.espn.com/mlb/team/_/name/bos/boston-red-sox" TargetMode="External"/><Relationship Id="rId103" Type="http://schemas.openxmlformats.org/officeDocument/2006/relationships/hyperlink" Target="https://www.espn.com/mlb/team/_/name/ath/athletics" TargetMode="External"/><Relationship Id="rId108" Type="http://schemas.openxmlformats.org/officeDocument/2006/relationships/hyperlink" Target="https://www.espn.com/mlb/stats/team/_/view/pitching/table/pitching/sort/wins/dir/desc" TargetMode="External"/><Relationship Id="rId124" Type="http://schemas.openxmlformats.org/officeDocument/2006/relationships/hyperlink" Target="https://www.espn.com/mlb/team/_/name/chc/chicago-cubs" TargetMode="External"/><Relationship Id="rId129" Type="http://schemas.openxmlformats.org/officeDocument/2006/relationships/hyperlink" Target="https://www.espn.com/mlb/team/_/name/cin/cincinnati-reds" TargetMode="External"/><Relationship Id="rId54" Type="http://schemas.openxmlformats.org/officeDocument/2006/relationships/hyperlink" Target="https://www.espn.com/mlb/team/_/name/ari/arizona-diamondbacks" TargetMode="External"/><Relationship Id="rId70" Type="http://schemas.openxmlformats.org/officeDocument/2006/relationships/hyperlink" Target="https://www.espn.com/mlb/team/_/name/pit/pittsburgh-pirates" TargetMode="External"/><Relationship Id="rId75" Type="http://schemas.openxmlformats.org/officeDocument/2006/relationships/hyperlink" Target="https://www.espn.com/mlb/team/_/name/nyy/new-york-yankees" TargetMode="External"/><Relationship Id="rId91" Type="http://schemas.openxmlformats.org/officeDocument/2006/relationships/hyperlink" Target="https://www.espn.com/mlb/team/_/name/lad/los-angeles-dodgers" TargetMode="External"/><Relationship Id="rId96" Type="http://schemas.openxmlformats.org/officeDocument/2006/relationships/hyperlink" Target="https://www.espn.com/mlb/team/_/name/ari/arizona-diamondbacks" TargetMode="External"/><Relationship Id="rId140" Type="http://schemas.openxmlformats.org/officeDocument/2006/relationships/hyperlink" Target="https://www.espn.com/mlb/team/_/name/cin/cincinnati-reds" TargetMode="External"/><Relationship Id="rId145" Type="http://schemas.openxmlformats.org/officeDocument/2006/relationships/hyperlink" Target="https://www.espn.com/mlb/team/_/name/bal/baltimore-orioles" TargetMode="External"/><Relationship Id="rId161" Type="http://schemas.openxmlformats.org/officeDocument/2006/relationships/hyperlink" Target="https://www.espn.com/mlb/game/_/gameId/401695151/cubs-padres" TargetMode="External"/><Relationship Id="rId1" Type="http://schemas.openxmlformats.org/officeDocument/2006/relationships/hyperlink" Target="https://www.espn.com/mlb/team/_/name/chc/chicago-cubs" TargetMode="External"/><Relationship Id="rId6" Type="http://schemas.openxmlformats.org/officeDocument/2006/relationships/hyperlink" Target="https://www.espn.com/mlb/team/_/name/ari/arizona-diamondbacks" TargetMode="External"/><Relationship Id="rId23" Type="http://schemas.openxmlformats.org/officeDocument/2006/relationships/hyperlink" Target="https://www.espn.com/mlb/team/_/name/col/colorado-rockies" TargetMode="External"/><Relationship Id="rId28" Type="http://schemas.openxmlformats.org/officeDocument/2006/relationships/hyperlink" Target="https://www.espn.com/mlb/team/_/name/cin/cincinnati-reds" TargetMode="External"/><Relationship Id="rId49" Type="http://schemas.openxmlformats.org/officeDocument/2006/relationships/hyperlink" Target="https://www.espn.com/mlb/team/_/name/cle/cleveland-guardians" TargetMode="External"/><Relationship Id="rId114" Type="http://schemas.openxmlformats.org/officeDocument/2006/relationships/hyperlink" Target="https://www.espn.com/mlb/stats/team/_/view/pitching/table/pitching/sort/qualityStarts/dir/desc" TargetMode="External"/><Relationship Id="rId119" Type="http://schemas.openxmlformats.org/officeDocument/2006/relationships/hyperlink" Target="https://www.espn.com/mlb/stats/team/_/view/pitching/table/pitching/sort/walks/dir/asc" TargetMode="External"/><Relationship Id="rId44" Type="http://schemas.openxmlformats.org/officeDocument/2006/relationships/hyperlink" Target="https://www.espn.com/mlb/stats/team/_/table/batting/sort/onBasePct/dir/desc" TargetMode="External"/><Relationship Id="rId60" Type="http://schemas.openxmlformats.org/officeDocument/2006/relationships/hyperlink" Target="https://www.espn.com/mlb/team/_/name/sd/san-diego-padres" TargetMode="External"/><Relationship Id="rId65" Type="http://schemas.openxmlformats.org/officeDocument/2006/relationships/hyperlink" Target="https://www.espn.com/mlb/team/_/name/pit/pittsburgh-pirates" TargetMode="External"/><Relationship Id="rId81" Type="http://schemas.openxmlformats.org/officeDocument/2006/relationships/hyperlink" Target="https://www.espn.com/mlb/team/_/name/sf/san-francisco-giants" TargetMode="External"/><Relationship Id="rId86" Type="http://schemas.openxmlformats.org/officeDocument/2006/relationships/hyperlink" Target="https://www.espn.com/mlb/team/_/name/chw/chicago-white-sox" TargetMode="External"/><Relationship Id="rId130" Type="http://schemas.openxmlformats.org/officeDocument/2006/relationships/hyperlink" Target="https://www.espn.com/mlb/team/_/name/det/detroit-tigers" TargetMode="External"/><Relationship Id="rId135" Type="http://schemas.openxmlformats.org/officeDocument/2006/relationships/hyperlink" Target="https://www.espn.com/mlb/team/_/name/mil/milwaukee-brewers" TargetMode="External"/><Relationship Id="rId151" Type="http://schemas.openxmlformats.org/officeDocument/2006/relationships/hyperlink" Target="https://www.espn.com/mlb/team/_/name/nyy/new-york-yankees" TargetMode="External"/><Relationship Id="rId156" Type="http://schemas.openxmlformats.org/officeDocument/2006/relationships/hyperlink" Target="https://www.espn.com/mlb/game/_/gameId/401695145/royals-yankees" TargetMode="External"/><Relationship Id="rId13" Type="http://schemas.openxmlformats.org/officeDocument/2006/relationships/hyperlink" Target="https://www.espn.com/mlb/team/_/name/lad/los-angeles-dodgers" TargetMode="External"/><Relationship Id="rId18" Type="http://schemas.openxmlformats.org/officeDocument/2006/relationships/hyperlink" Target="https://www.espn.com/mlb/team/_/name/kc/kansas-city-royals" TargetMode="External"/><Relationship Id="rId39" Type="http://schemas.openxmlformats.org/officeDocument/2006/relationships/hyperlink" Target="https://www.espn.com/mlb/stats/team/_/table/batting/sort/totalBases/dir/desc" TargetMode="External"/><Relationship Id="rId109" Type="http://schemas.openxmlformats.org/officeDocument/2006/relationships/hyperlink" Target="https://www.espn.com/mlb/stats/team/_/view/pitching/table/pitching/sort/losses/dir/desc" TargetMode="External"/><Relationship Id="rId34" Type="http://schemas.openxmlformats.org/officeDocument/2006/relationships/hyperlink" Target="https://www.espn.com/mlb/stats/team/_/table/batting/sort/hits/dir/asc" TargetMode="External"/><Relationship Id="rId50" Type="http://schemas.openxmlformats.org/officeDocument/2006/relationships/hyperlink" Target="https://www.espn.com/mlb/team/_/name/nym/new-york-mets" TargetMode="External"/><Relationship Id="rId55" Type="http://schemas.openxmlformats.org/officeDocument/2006/relationships/hyperlink" Target="https://www.espn.com/mlb/team/_/name/nyy/new-york-yankees" TargetMode="External"/><Relationship Id="rId76" Type="http://schemas.openxmlformats.org/officeDocument/2006/relationships/hyperlink" Target="https://www.espn.com/mlb/team/_/name/laa/los-angeles-angels" TargetMode="External"/><Relationship Id="rId97" Type="http://schemas.openxmlformats.org/officeDocument/2006/relationships/hyperlink" Target="https://www.espn.com/mlb/team/_/name/pit/pittsburgh-pirates" TargetMode="External"/><Relationship Id="rId104" Type="http://schemas.openxmlformats.org/officeDocument/2006/relationships/hyperlink" Target="https://www.espn.com/mlb/team/_/name/mil/milwaukee-brewers" TargetMode="External"/><Relationship Id="rId120" Type="http://schemas.openxmlformats.org/officeDocument/2006/relationships/hyperlink" Target="https://www.espn.com/mlb/stats/team/_/view/pitching/table/pitching/sort/strikeouts/dir/desc" TargetMode="External"/><Relationship Id="rId125" Type="http://schemas.openxmlformats.org/officeDocument/2006/relationships/hyperlink" Target="https://www.espn.com/mlb/team/_/name/ath/athletics" TargetMode="External"/><Relationship Id="rId141" Type="http://schemas.openxmlformats.org/officeDocument/2006/relationships/hyperlink" Target="https://www.espn.com/mlb/team/_/name/kc/kansas-city-royals" TargetMode="External"/><Relationship Id="rId146" Type="http://schemas.openxmlformats.org/officeDocument/2006/relationships/hyperlink" Target="https://www.espn.com/mlb/team/_/name/laa/los-angeles-angels" TargetMode="External"/><Relationship Id="rId7" Type="http://schemas.openxmlformats.org/officeDocument/2006/relationships/hyperlink" Target="https://www.espn.com/mlb/team/_/name/nyy/new-york-yankees" TargetMode="External"/><Relationship Id="rId71" Type="http://schemas.openxmlformats.org/officeDocument/2006/relationships/hyperlink" Target="https://www.espn.com/mlb/team/_/name/chw/chicago-white-sox" TargetMode="External"/><Relationship Id="rId92" Type="http://schemas.openxmlformats.org/officeDocument/2006/relationships/hyperlink" Target="https://www.espn.com/mlb/team/_/name/min/minnesota-twins" TargetMode="External"/><Relationship Id="rId162" Type="http://schemas.openxmlformats.org/officeDocument/2006/relationships/hyperlink" Target="https://www.espn.com/mlb/team/_/name/pit/pittsburgh-pirates" TargetMode="External"/><Relationship Id="rId2" Type="http://schemas.openxmlformats.org/officeDocument/2006/relationships/hyperlink" Target="https://www.espn.com/mlb/team/_/name/stl/st-louis-cardinals" TargetMode="External"/><Relationship Id="rId29" Type="http://schemas.openxmlformats.org/officeDocument/2006/relationships/hyperlink" Target="https://www.espn.com/mlb/team/_/name/pit/pittsburgh-pirates" TargetMode="External"/><Relationship Id="rId24" Type="http://schemas.openxmlformats.org/officeDocument/2006/relationships/hyperlink" Target="https://www.espn.com/mlb/team/_/name/sea/seattle-mariners" TargetMode="External"/><Relationship Id="rId40" Type="http://schemas.openxmlformats.org/officeDocument/2006/relationships/hyperlink" Target="https://www.espn.com/mlb/stats/team/_/table/batting/sort/walks/dir/desc" TargetMode="External"/><Relationship Id="rId45" Type="http://schemas.openxmlformats.org/officeDocument/2006/relationships/hyperlink" Target="https://www.espn.com/mlb/stats/team/_/table/batting/sort/slugAvg/dir/desc" TargetMode="External"/><Relationship Id="rId66" Type="http://schemas.openxmlformats.org/officeDocument/2006/relationships/hyperlink" Target="https://www.espn.com/mlb/team/_/name/chw/chicago-white-sox" TargetMode="External"/><Relationship Id="rId87" Type="http://schemas.openxmlformats.org/officeDocument/2006/relationships/hyperlink" Target="https://www.espn.com/mlb/team/_/name/det/detroit-tigers" TargetMode="External"/><Relationship Id="rId110" Type="http://schemas.openxmlformats.org/officeDocument/2006/relationships/hyperlink" Target="https://www.espn.com/mlb/stats/team/_/view/pitching/table/pitching/sort/ERA/dir/desc" TargetMode="External"/><Relationship Id="rId115" Type="http://schemas.openxmlformats.org/officeDocument/2006/relationships/hyperlink" Target="https://www.espn.com/mlb/stats/team/_/view/pitching/table/pitching/sort/innings/dir/desc" TargetMode="External"/><Relationship Id="rId131" Type="http://schemas.openxmlformats.org/officeDocument/2006/relationships/hyperlink" Target="https://www.espn.com/mlb/team/_/name/hou/houston-astros" TargetMode="External"/><Relationship Id="rId136" Type="http://schemas.openxmlformats.org/officeDocument/2006/relationships/hyperlink" Target="https://www.espn.com/mlb/team/_/name/col/colorado-rockies" TargetMode="External"/><Relationship Id="rId157" Type="http://schemas.openxmlformats.org/officeDocument/2006/relationships/hyperlink" Target="https://www.espn.com/mlb/game/_/gameId/401695143/braves-blue-jays" TargetMode="External"/><Relationship Id="rId61" Type="http://schemas.openxmlformats.org/officeDocument/2006/relationships/hyperlink" Target="https://www.espn.com/mlb/team/_/name/tor/toronto-blue-jays" TargetMode="External"/><Relationship Id="rId82" Type="http://schemas.openxmlformats.org/officeDocument/2006/relationships/hyperlink" Target="https://www.espn.com/mlb/team/_/name/tor/toronto-blue-jays" TargetMode="External"/><Relationship Id="rId152" Type="http://schemas.openxmlformats.org/officeDocument/2006/relationships/hyperlink" Target="https://www.espn.com/mlb/team/_/name/ath/athletics" TargetMode="External"/><Relationship Id="rId19" Type="http://schemas.openxmlformats.org/officeDocument/2006/relationships/hyperlink" Target="https://www.espn.com/mlb/team/_/name/atl/atlanta-braves" TargetMode="External"/><Relationship Id="rId14" Type="http://schemas.openxmlformats.org/officeDocument/2006/relationships/hyperlink" Target="https://www.espn.com/mlb/team/_/name/laa/los-angeles-angels" TargetMode="External"/><Relationship Id="rId30" Type="http://schemas.openxmlformats.org/officeDocument/2006/relationships/hyperlink" Target="https://www.espn.com/mlb/team/_/name/chw/chicago-white-sox" TargetMode="External"/><Relationship Id="rId35" Type="http://schemas.openxmlformats.org/officeDocument/2006/relationships/hyperlink" Target="https://www.espn.com/mlb/stats/team/_/table/batting/sort/doubles/dir/desc" TargetMode="External"/><Relationship Id="rId56" Type="http://schemas.openxmlformats.org/officeDocument/2006/relationships/hyperlink" Target="https://www.espn.com/mlb/team/_/name/mil/milwaukee-brewers" TargetMode="External"/><Relationship Id="rId77" Type="http://schemas.openxmlformats.org/officeDocument/2006/relationships/hyperlink" Target="https://www.espn.com/mlb/team/_/name/nym/new-york-mets" TargetMode="External"/><Relationship Id="rId100" Type="http://schemas.openxmlformats.org/officeDocument/2006/relationships/hyperlink" Target="https://www.espn.com/mlb/team/_/name/bal/baltimore-orioles" TargetMode="External"/><Relationship Id="rId105" Type="http://schemas.openxmlformats.org/officeDocument/2006/relationships/hyperlink" Target="https://www.espn.com/mlb/team/_/name/col/colorado-rockies" TargetMode="External"/><Relationship Id="rId126" Type="http://schemas.openxmlformats.org/officeDocument/2006/relationships/hyperlink" Target="https://www.espn.com/mlb/team/_/name/col/colorado-rockies" TargetMode="External"/><Relationship Id="rId147" Type="http://schemas.openxmlformats.org/officeDocument/2006/relationships/hyperlink" Target="https://www.espn.com/mlb/team/_/name/col/colorado-rockies" TargetMode="External"/><Relationship Id="rId8" Type="http://schemas.openxmlformats.org/officeDocument/2006/relationships/hyperlink" Target="https://www.espn.com/mlb/team/_/name/ath/athletics" TargetMode="External"/><Relationship Id="rId51" Type="http://schemas.openxmlformats.org/officeDocument/2006/relationships/hyperlink" Target="https://www.espn.com/mlb/team/_/name/chw/chicago-white-sox" TargetMode="External"/><Relationship Id="rId72" Type="http://schemas.openxmlformats.org/officeDocument/2006/relationships/hyperlink" Target="https://www.espn.com/mlb/team/_/name/chc/chicago-cubs" TargetMode="External"/><Relationship Id="rId93" Type="http://schemas.openxmlformats.org/officeDocument/2006/relationships/hyperlink" Target="https://www.espn.com/mlb/team/_/name/tex/texas-rangers" TargetMode="External"/><Relationship Id="rId98" Type="http://schemas.openxmlformats.org/officeDocument/2006/relationships/hyperlink" Target="https://www.espn.com/mlb/team/_/name/atl/atlanta-braves" TargetMode="External"/><Relationship Id="rId121" Type="http://schemas.openxmlformats.org/officeDocument/2006/relationships/hyperlink" Target="https://www.espn.com/mlb/stats/team/_/view/pitching/table/pitching/sort/opponentAvg/dir/asc" TargetMode="External"/><Relationship Id="rId142" Type="http://schemas.openxmlformats.org/officeDocument/2006/relationships/hyperlink" Target="https://www.espn.com/mlb/team/_/name/sf/san-francisco-giants" TargetMode="External"/><Relationship Id="rId3" Type="http://schemas.openxmlformats.org/officeDocument/2006/relationships/hyperlink" Target="https://www.espn.com/mlb/team/_/name/bos/boston-red-sox" TargetMode="External"/><Relationship Id="rId25" Type="http://schemas.openxmlformats.org/officeDocument/2006/relationships/hyperlink" Target="https://www.espn.com/mlb/team/_/name/cle/cleveland-guardians" TargetMode="External"/><Relationship Id="rId46" Type="http://schemas.openxmlformats.org/officeDocument/2006/relationships/hyperlink" Target="https://www.espn.com/mlb/stats/team/_/table/batting/sort/OPS/dir/desc" TargetMode="External"/><Relationship Id="rId67" Type="http://schemas.openxmlformats.org/officeDocument/2006/relationships/hyperlink" Target="https://www.espn.com/mlb/team/_/name/atl/atlanta-braves" TargetMode="External"/><Relationship Id="rId116" Type="http://schemas.openxmlformats.org/officeDocument/2006/relationships/hyperlink" Target="https://www.espn.com/mlb/stats/team/_/view/pitching/table/pitching/sort/hits/dir/asc" TargetMode="External"/><Relationship Id="rId137" Type="http://schemas.openxmlformats.org/officeDocument/2006/relationships/hyperlink" Target="https://www.espn.com/mlb/team/_/name/wsh/washington-nationals" TargetMode="External"/><Relationship Id="rId158" Type="http://schemas.openxmlformats.org/officeDocument/2006/relationships/hyperlink" Target="https://www.espn.com/mlb/game/_/gameId/401695148/tigers-brewers" TargetMode="External"/><Relationship Id="rId20" Type="http://schemas.openxmlformats.org/officeDocument/2006/relationships/hyperlink" Target="https://www.espn.com/mlb/team/_/name/min/minnesota-twins" TargetMode="External"/><Relationship Id="rId41" Type="http://schemas.openxmlformats.org/officeDocument/2006/relationships/hyperlink" Target="https://www.espn.com/mlb/stats/team/_/table/batting/sort/strikeouts/dir/desc" TargetMode="External"/><Relationship Id="rId62" Type="http://schemas.openxmlformats.org/officeDocument/2006/relationships/hyperlink" Target="https://www.espn.com/mlb/team/_/name/cle/cleveland-guardians" TargetMode="External"/><Relationship Id="rId83" Type="http://schemas.openxmlformats.org/officeDocument/2006/relationships/hyperlink" Target="https://www.espn.com/mlb/team/_/name/phi/philadelphia-phillies" TargetMode="External"/><Relationship Id="rId88" Type="http://schemas.openxmlformats.org/officeDocument/2006/relationships/hyperlink" Target="https://www.espn.com/mlb/team/_/name/cle/cleveland-guardians" TargetMode="External"/><Relationship Id="rId111" Type="http://schemas.openxmlformats.org/officeDocument/2006/relationships/hyperlink" Target="https://www.espn.com/mlb/stats/team/_/view/pitching/table/pitching/sort/saves/dir/desc" TargetMode="External"/><Relationship Id="rId132" Type="http://schemas.openxmlformats.org/officeDocument/2006/relationships/hyperlink" Target="https://www.espn.com/mlb/team/_/name/nyy/new-york-yankees" TargetMode="External"/><Relationship Id="rId153" Type="http://schemas.openxmlformats.org/officeDocument/2006/relationships/hyperlink" Target="https://www.espn.com/mlb/game/_/gameId/401695147/nationals-pirates" TargetMode="External"/><Relationship Id="rId15" Type="http://schemas.openxmlformats.org/officeDocument/2006/relationships/hyperlink" Target="https://www.espn.com/mlb/team/_/name/phi/philadelphia-phillies" TargetMode="External"/><Relationship Id="rId36" Type="http://schemas.openxmlformats.org/officeDocument/2006/relationships/hyperlink" Target="https://www.espn.com/mlb/stats/team/_/table/batting/sort/triples/dir/desc" TargetMode="External"/><Relationship Id="rId57" Type="http://schemas.openxmlformats.org/officeDocument/2006/relationships/hyperlink" Target="https://www.espn.com/mlb/team/_/name/chc/chicago-cubs" TargetMode="External"/><Relationship Id="rId106" Type="http://schemas.openxmlformats.org/officeDocument/2006/relationships/hyperlink" Target="https://www.espn.com/mlb/team/_/name/wsh/washington-nationals" TargetMode="External"/><Relationship Id="rId127" Type="http://schemas.openxmlformats.org/officeDocument/2006/relationships/hyperlink" Target="https://www.espn.com/mlb/team/_/name/wsh/washington-nationals" TargetMode="External"/><Relationship Id="rId10" Type="http://schemas.openxmlformats.org/officeDocument/2006/relationships/hyperlink" Target="https://www.espn.com/mlb/team/_/name/tb/tampa-bay-rays" TargetMode="External"/><Relationship Id="rId31" Type="http://schemas.openxmlformats.org/officeDocument/2006/relationships/hyperlink" Target="https://www.espn.com/mlb/stats/team/_/table/batting/sort/gamesPlayed/dir/desc" TargetMode="External"/><Relationship Id="rId52" Type="http://schemas.openxmlformats.org/officeDocument/2006/relationships/hyperlink" Target="https://www.espn.com/mlb/team/_/name/chc/chicago-cubs" TargetMode="External"/><Relationship Id="rId73" Type="http://schemas.openxmlformats.org/officeDocument/2006/relationships/hyperlink" Target="https://www.espn.com/mlb/team/_/name/stl/st-louis-cardinals" TargetMode="External"/><Relationship Id="rId78" Type="http://schemas.openxmlformats.org/officeDocument/2006/relationships/hyperlink" Target="https://www.espn.com/mlb/team/_/name/sd/san-diego-padres" TargetMode="External"/><Relationship Id="rId94" Type="http://schemas.openxmlformats.org/officeDocument/2006/relationships/hyperlink" Target="https://www.espn.com/mlb/team/_/name/chc/chicago-cubs" TargetMode="External"/><Relationship Id="rId99" Type="http://schemas.openxmlformats.org/officeDocument/2006/relationships/hyperlink" Target="https://www.espn.com/mlb/team/_/name/stl/st-louis-cardinals" TargetMode="External"/><Relationship Id="rId101" Type="http://schemas.openxmlformats.org/officeDocument/2006/relationships/hyperlink" Target="https://www.espn.com/mlb/team/_/name/nyy/new-york-yankees" TargetMode="External"/><Relationship Id="rId122" Type="http://schemas.openxmlformats.org/officeDocument/2006/relationships/hyperlink" Target="https://www.espn.com/mlb/stats/team/_/view/pitching/table/pitching/sort/WHIP/dir/asc" TargetMode="External"/><Relationship Id="rId143" Type="http://schemas.openxmlformats.org/officeDocument/2006/relationships/hyperlink" Target="https://www.espn.com/mlb/team/_/name/mia/miami-marlins" TargetMode="External"/><Relationship Id="rId148" Type="http://schemas.openxmlformats.org/officeDocument/2006/relationships/hyperlink" Target="https://www.espn.com/mlb/team/_/name/phi/philadelphia-phillies" TargetMode="External"/><Relationship Id="rId4" Type="http://schemas.openxmlformats.org/officeDocument/2006/relationships/hyperlink" Target="https://www.espn.com/mlb/team/_/name/sd/san-diego-padres" TargetMode="External"/><Relationship Id="rId9" Type="http://schemas.openxmlformats.org/officeDocument/2006/relationships/hyperlink" Target="https://www.espn.com/mlb/team/_/name/mia/miami-marlins" TargetMode="External"/><Relationship Id="rId26" Type="http://schemas.openxmlformats.org/officeDocument/2006/relationships/hyperlink" Target="https://www.espn.com/mlb/team/_/name/tex/texas-rangers" TargetMode="External"/><Relationship Id="rId47" Type="http://schemas.openxmlformats.org/officeDocument/2006/relationships/hyperlink" Target="https://www.espn.com/mlb/team/_/name/tb/tampa-bay-rays" TargetMode="External"/><Relationship Id="rId68" Type="http://schemas.openxmlformats.org/officeDocument/2006/relationships/hyperlink" Target="https://www.espn.com/mlb/team/_/name/col/colorado-rockies" TargetMode="External"/><Relationship Id="rId89" Type="http://schemas.openxmlformats.org/officeDocument/2006/relationships/hyperlink" Target="https://www.espn.com/mlb/team/_/name/hou/houston-astros" TargetMode="External"/><Relationship Id="rId112" Type="http://schemas.openxmlformats.org/officeDocument/2006/relationships/hyperlink" Target="https://www.espn.com/mlb/stats/team/_/view/pitching/table/pitching/sort/completeGames/dir/desc" TargetMode="External"/><Relationship Id="rId133" Type="http://schemas.openxmlformats.org/officeDocument/2006/relationships/hyperlink" Target="https://www.espn.com/mlb/team/_/name/laa/los-angeles-angels" TargetMode="External"/><Relationship Id="rId154" Type="http://schemas.openxmlformats.org/officeDocument/2006/relationships/hyperlink" Target="https://www.espn.com/mlb/game/_/gameId/401695146/giants-phillies" TargetMode="External"/><Relationship Id="rId16" Type="http://schemas.openxmlformats.org/officeDocument/2006/relationships/hyperlink" Target="https://www.espn.com/mlb/team/_/name/bal/baltimore-orioles" TargetMode="External"/><Relationship Id="rId37" Type="http://schemas.openxmlformats.org/officeDocument/2006/relationships/hyperlink" Target="https://www.espn.com/mlb/stats/team/_/table/batting/sort/homeRuns/dir/desc" TargetMode="External"/><Relationship Id="rId58" Type="http://schemas.openxmlformats.org/officeDocument/2006/relationships/hyperlink" Target="https://www.espn.com/mlb/team/_/name/stl/st-louis-cardinals" TargetMode="External"/><Relationship Id="rId79" Type="http://schemas.openxmlformats.org/officeDocument/2006/relationships/hyperlink" Target="https://www.espn.com/mlb/team/_/name/cin/cincinnati-reds" TargetMode="External"/><Relationship Id="rId102" Type="http://schemas.openxmlformats.org/officeDocument/2006/relationships/hyperlink" Target="https://www.espn.com/mlb/team/_/name/laa/los-angeles-angels" TargetMode="External"/><Relationship Id="rId123" Type="http://schemas.openxmlformats.org/officeDocument/2006/relationships/hyperlink" Target="https://www.espn.com/mlb/team/_/name/bos/boston-red-sox" TargetMode="External"/><Relationship Id="rId144" Type="http://schemas.openxmlformats.org/officeDocument/2006/relationships/hyperlink" Target="https://www.espn.com/mlb/team/_/name/stl/st-louis-cardinals" TargetMode="External"/><Relationship Id="rId90" Type="http://schemas.openxmlformats.org/officeDocument/2006/relationships/hyperlink" Target="https://www.espn.com/mlb/team/_/name/bos/boston-red-sox" TargetMode="External"/><Relationship Id="rId27" Type="http://schemas.openxmlformats.org/officeDocument/2006/relationships/hyperlink" Target="https://www.espn.com/mlb/team/_/name/nym/new-york-mets" TargetMode="External"/><Relationship Id="rId48" Type="http://schemas.openxmlformats.org/officeDocument/2006/relationships/hyperlink" Target="https://www.espn.com/mlb/team/_/name/wsh/washington-nationals" TargetMode="External"/><Relationship Id="rId69" Type="http://schemas.openxmlformats.org/officeDocument/2006/relationships/hyperlink" Target="https://www.espn.com/mlb/team/_/name/tex/texas-rangers" TargetMode="External"/><Relationship Id="rId113" Type="http://schemas.openxmlformats.org/officeDocument/2006/relationships/hyperlink" Target="https://www.espn.com/mlb/stats/team/_/view/pitching/table/pitching/sort/shutouts/dir/desc" TargetMode="External"/><Relationship Id="rId134" Type="http://schemas.openxmlformats.org/officeDocument/2006/relationships/hyperlink" Target="https://www.espn.com/mlb/team/_/name/ath/athletics" TargetMode="External"/><Relationship Id="rId80" Type="http://schemas.openxmlformats.org/officeDocument/2006/relationships/hyperlink" Target="https://www.espn.com/mlb/team/_/name/kc/kansas-city-royals" TargetMode="External"/><Relationship Id="rId155" Type="http://schemas.openxmlformats.org/officeDocument/2006/relationships/hyperlink" Target="https://www.espn.com/mlb/game/_/gameId/401695144/red-sox-r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EACA-2ACF-414A-B91E-B22117D654CD}">
  <dimension ref="A1:D24"/>
  <sheetViews>
    <sheetView workbookViewId="0"/>
  </sheetViews>
  <sheetFormatPr defaultRowHeight="15" x14ac:dyDescent="0.25"/>
  <cols>
    <col min="1" max="1" width="22.85546875" bestFit="1" customWidth="1"/>
    <col min="2" max="2" width="11.140625" bestFit="1" customWidth="1"/>
    <col min="3" max="3" width="122.85546875" bestFit="1" customWidth="1"/>
    <col min="4" max="4" width="77.28515625" bestFit="1" customWidth="1"/>
  </cols>
  <sheetData>
    <row r="1" spans="1:4" ht="31.5" x14ac:dyDescent="0.5">
      <c r="A1" s="195" t="s">
        <v>0</v>
      </c>
      <c r="B1" s="195"/>
      <c r="C1" s="195"/>
    </row>
    <row r="3" spans="1:4" x14ac:dyDescent="0.25">
      <c r="A3" t="s">
        <v>1</v>
      </c>
    </row>
    <row r="4" spans="1:4" x14ac:dyDescent="0.25">
      <c r="B4" t="s">
        <v>2</v>
      </c>
      <c r="C4" t="s">
        <v>3</v>
      </c>
    </row>
    <row r="5" spans="1:4" x14ac:dyDescent="0.25">
      <c r="C5" t="s">
        <v>4</v>
      </c>
    </row>
    <row r="6" spans="1:4" x14ac:dyDescent="0.25">
      <c r="C6" t="s">
        <v>5</v>
      </c>
    </row>
    <row r="8" spans="1:4" x14ac:dyDescent="0.25">
      <c r="A8" t="s">
        <v>6</v>
      </c>
    </row>
    <row r="9" spans="1:4" x14ac:dyDescent="0.25">
      <c r="B9" t="s">
        <v>7</v>
      </c>
      <c r="C9" t="s">
        <v>8</v>
      </c>
    </row>
    <row r="10" spans="1:4" x14ac:dyDescent="0.25">
      <c r="B10" t="s">
        <v>9</v>
      </c>
      <c r="C10" t="s">
        <v>10</v>
      </c>
      <c r="D10" t="s">
        <v>11</v>
      </c>
    </row>
    <row r="12" spans="1:4" x14ac:dyDescent="0.25">
      <c r="A12" t="s">
        <v>12</v>
      </c>
    </row>
    <row r="15" spans="1:4" x14ac:dyDescent="0.25">
      <c r="A15" t="s">
        <v>13</v>
      </c>
    </row>
    <row r="18" spans="1:1" x14ac:dyDescent="0.25">
      <c r="A18" t="s">
        <v>14</v>
      </c>
    </row>
    <row r="24" spans="1:1" x14ac:dyDescent="0.25">
      <c r="A24" t="s">
        <v>15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1434-D52A-437B-8766-BCC3EB22CAC4}">
  <dimension ref="A1:K31"/>
  <sheetViews>
    <sheetView workbookViewId="0">
      <selection activeCell="B5" sqref="B5"/>
    </sheetView>
  </sheetViews>
  <sheetFormatPr defaultColWidth="9.28515625" defaultRowHeight="15" x14ac:dyDescent="0.25"/>
  <cols>
    <col min="1" max="1" width="32.7109375" bestFit="1" customWidth="1"/>
    <col min="2" max="2" width="7" bestFit="1" customWidth="1"/>
    <col min="4" max="4" width="6.42578125" bestFit="1" customWidth="1"/>
    <col min="5" max="5" width="9" bestFit="1" customWidth="1"/>
    <col min="7" max="7" width="32.7109375" bestFit="1" customWidth="1"/>
    <col min="8" max="8" width="6" bestFit="1" customWidth="1"/>
    <col min="10" max="10" width="6.42578125" bestFit="1" customWidth="1"/>
    <col min="11" max="11" width="7" bestFit="1" customWidth="1"/>
  </cols>
  <sheetData>
    <row r="1" spans="1:11" x14ac:dyDescent="0.25">
      <c r="A1" t="s">
        <v>16</v>
      </c>
      <c r="B1">
        <v>100</v>
      </c>
      <c r="G1" t="s">
        <v>16</v>
      </c>
      <c r="H1">
        <v>300</v>
      </c>
    </row>
    <row r="3" spans="1:11" x14ac:dyDescent="0.25">
      <c r="A3" t="s">
        <v>17</v>
      </c>
      <c r="B3">
        <f>B1/5</f>
        <v>20</v>
      </c>
      <c r="G3" t="s">
        <v>17</v>
      </c>
      <c r="H3">
        <f>H1/5</f>
        <v>60</v>
      </c>
    </row>
    <row r="4" spans="1:11" x14ac:dyDescent="0.25">
      <c r="A4" t="s">
        <v>18</v>
      </c>
      <c r="B4">
        <v>0.33</v>
      </c>
      <c r="G4" t="s">
        <v>18</v>
      </c>
      <c r="H4">
        <v>0.33</v>
      </c>
    </row>
    <row r="5" spans="1:11" x14ac:dyDescent="0.25">
      <c r="A5" t="s">
        <v>19</v>
      </c>
      <c r="B5">
        <f>(B3*3)*6</f>
        <v>360</v>
      </c>
      <c r="G5" t="s">
        <v>19</v>
      </c>
      <c r="H5">
        <f>(H3*3)*6</f>
        <v>1080</v>
      </c>
    </row>
    <row r="6" spans="1:11" x14ac:dyDescent="0.25">
      <c r="A6" t="s">
        <v>20</v>
      </c>
      <c r="B6">
        <f>(B3*3)*10</f>
        <v>600</v>
      </c>
      <c r="G6" t="s">
        <v>20</v>
      </c>
      <c r="H6">
        <f>(H3*3)*10</f>
        <v>1800</v>
      </c>
    </row>
    <row r="8" spans="1:11" x14ac:dyDescent="0.25">
      <c r="A8" t="s">
        <v>21</v>
      </c>
      <c r="B8">
        <f>B5*20</f>
        <v>7200</v>
      </c>
      <c r="D8" t="s">
        <v>22</v>
      </c>
      <c r="E8">
        <f>B8*12</f>
        <v>86400</v>
      </c>
      <c r="G8" t="s">
        <v>21</v>
      </c>
      <c r="H8">
        <f>H5*20</f>
        <v>21600</v>
      </c>
      <c r="J8" t="s">
        <v>22</v>
      </c>
      <c r="K8">
        <f>H8*12</f>
        <v>259200</v>
      </c>
    </row>
    <row r="9" spans="1:11" x14ac:dyDescent="0.25">
      <c r="A9" t="s">
        <v>23</v>
      </c>
      <c r="B9">
        <f>B5*30</f>
        <v>10800</v>
      </c>
      <c r="E9">
        <f>B9*12</f>
        <v>129600</v>
      </c>
      <c r="G9" t="s">
        <v>23</v>
      </c>
      <c r="H9">
        <f>H5*30</f>
        <v>32400</v>
      </c>
      <c r="K9">
        <f>H9*12</f>
        <v>388800</v>
      </c>
    </row>
    <row r="11" spans="1:11" x14ac:dyDescent="0.25">
      <c r="A11" t="s">
        <v>24</v>
      </c>
      <c r="B11">
        <f>B6*20</f>
        <v>12000</v>
      </c>
      <c r="D11" t="s">
        <v>22</v>
      </c>
      <c r="E11">
        <f>B11*12</f>
        <v>144000</v>
      </c>
      <c r="G11" t="s">
        <v>24</v>
      </c>
      <c r="H11">
        <f>H6*20</f>
        <v>36000</v>
      </c>
      <c r="J11" t="s">
        <v>22</v>
      </c>
      <c r="K11">
        <f>H11*12</f>
        <v>432000</v>
      </c>
    </row>
    <row r="12" spans="1:11" x14ac:dyDescent="0.25">
      <c r="A12" t="s">
        <v>23</v>
      </c>
      <c r="B12">
        <f>B6*30</f>
        <v>18000</v>
      </c>
      <c r="E12">
        <f>B12*12</f>
        <v>216000</v>
      </c>
      <c r="G12" t="s">
        <v>23</v>
      </c>
      <c r="H12">
        <f>H6*30</f>
        <v>54000</v>
      </c>
      <c r="K12">
        <f>H12*12</f>
        <v>648000</v>
      </c>
    </row>
    <row r="15" spans="1:11" x14ac:dyDescent="0.25">
      <c r="A15" t="s">
        <v>16</v>
      </c>
      <c r="B15">
        <v>1000</v>
      </c>
      <c r="G15" t="s">
        <v>16</v>
      </c>
      <c r="H15">
        <v>300</v>
      </c>
    </row>
    <row r="17" spans="1:11" x14ac:dyDescent="0.25">
      <c r="A17" t="s">
        <v>17</v>
      </c>
      <c r="B17">
        <f>B15/5</f>
        <v>200</v>
      </c>
      <c r="G17" t="s">
        <v>17</v>
      </c>
      <c r="H17">
        <f>H15/5</f>
        <v>60</v>
      </c>
    </row>
    <row r="18" spans="1:11" x14ac:dyDescent="0.25">
      <c r="A18" t="s">
        <v>18</v>
      </c>
      <c r="B18">
        <v>0.33</v>
      </c>
      <c r="G18" t="s">
        <v>18</v>
      </c>
      <c r="H18">
        <v>0.33</v>
      </c>
    </row>
    <row r="19" spans="1:11" x14ac:dyDescent="0.25">
      <c r="A19" t="s">
        <v>19</v>
      </c>
      <c r="B19">
        <f>(B17*3)*6</f>
        <v>3600</v>
      </c>
      <c r="G19" t="s">
        <v>19</v>
      </c>
      <c r="H19">
        <f>(H17*3)*6</f>
        <v>1080</v>
      </c>
    </row>
    <row r="20" spans="1:11" x14ac:dyDescent="0.25">
      <c r="A20" t="s">
        <v>20</v>
      </c>
      <c r="B20">
        <f>(B17*3)*10</f>
        <v>6000</v>
      </c>
      <c r="G20" t="s">
        <v>20</v>
      </c>
      <c r="H20">
        <f>(H17*3)*10</f>
        <v>1800</v>
      </c>
    </row>
    <row r="22" spans="1:11" x14ac:dyDescent="0.25">
      <c r="A22" t="s">
        <v>21</v>
      </c>
      <c r="B22">
        <f>B19*20</f>
        <v>72000</v>
      </c>
      <c r="D22" t="s">
        <v>22</v>
      </c>
      <c r="E22">
        <f>B22*12</f>
        <v>864000</v>
      </c>
      <c r="G22" t="s">
        <v>21</v>
      </c>
      <c r="H22">
        <f>H19*20</f>
        <v>21600</v>
      </c>
      <c r="J22" t="s">
        <v>22</v>
      </c>
      <c r="K22">
        <f>H22*12</f>
        <v>259200</v>
      </c>
    </row>
    <row r="23" spans="1:11" x14ac:dyDescent="0.25">
      <c r="A23" t="s">
        <v>23</v>
      </c>
      <c r="B23">
        <f>B19*30</f>
        <v>108000</v>
      </c>
      <c r="E23">
        <f>B23*12</f>
        <v>1296000</v>
      </c>
      <c r="G23" t="s">
        <v>23</v>
      </c>
      <c r="H23">
        <f>H19*30</f>
        <v>32400</v>
      </c>
      <c r="K23">
        <f>H23*12</f>
        <v>388800</v>
      </c>
    </row>
    <row r="25" spans="1:11" x14ac:dyDescent="0.25">
      <c r="A25" t="s">
        <v>24</v>
      </c>
      <c r="B25">
        <f>B20*20</f>
        <v>120000</v>
      </c>
      <c r="D25" t="s">
        <v>22</v>
      </c>
      <c r="E25">
        <f>B25*12</f>
        <v>1440000</v>
      </c>
      <c r="G25" t="s">
        <v>24</v>
      </c>
      <c r="H25">
        <f>H20*20</f>
        <v>36000</v>
      </c>
      <c r="J25" t="s">
        <v>22</v>
      </c>
      <c r="K25">
        <f>H25*12</f>
        <v>432000</v>
      </c>
    </row>
    <row r="26" spans="1:11" x14ac:dyDescent="0.25">
      <c r="A26" t="s">
        <v>23</v>
      </c>
      <c r="B26">
        <f>B20*30</f>
        <v>180000</v>
      </c>
      <c r="E26">
        <f>B26*12</f>
        <v>2160000</v>
      </c>
      <c r="G26" t="s">
        <v>23</v>
      </c>
      <c r="H26">
        <f>H20*30</f>
        <v>54000</v>
      </c>
      <c r="K26">
        <f>H26*12</f>
        <v>648000</v>
      </c>
    </row>
    <row r="29" spans="1:11" x14ac:dyDescent="0.25">
      <c r="A29" t="s">
        <v>25</v>
      </c>
      <c r="B29">
        <v>44</v>
      </c>
      <c r="C29" t="s">
        <v>26</v>
      </c>
      <c r="D29">
        <f>B29/B31</f>
        <v>0.73333333333333328</v>
      </c>
    </row>
    <row r="30" spans="1:11" x14ac:dyDescent="0.25">
      <c r="A30" t="s">
        <v>27</v>
      </c>
      <c r="B30">
        <v>30</v>
      </c>
      <c r="C30" t="s">
        <v>26</v>
      </c>
      <c r="D30">
        <f>B30/B31</f>
        <v>0.5</v>
      </c>
    </row>
    <row r="31" spans="1:11" x14ac:dyDescent="0.25">
      <c r="A31" t="s">
        <v>28</v>
      </c>
      <c r="B3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6918-3704-4A21-8535-2CC6F6770C74}">
  <sheetPr filterMode="1"/>
  <dimension ref="A1:BN188"/>
  <sheetViews>
    <sheetView topLeftCell="A9" zoomScale="120" zoomScaleNormal="120" workbookViewId="0">
      <selection activeCell="B3" sqref="A1:XFD1048576"/>
    </sheetView>
  </sheetViews>
  <sheetFormatPr defaultRowHeight="15" x14ac:dyDescent="0.25"/>
  <cols>
    <col min="1" max="1" width="29" bestFit="1" customWidth="1"/>
    <col min="2" max="3" width="13" bestFit="1" customWidth="1"/>
    <col min="4" max="4" width="6.7109375" customWidth="1"/>
    <col min="5" max="5" width="14" customWidth="1"/>
    <col min="6" max="6" width="15.5703125" customWidth="1"/>
    <col min="7" max="8" width="16" hidden="1" customWidth="1"/>
    <col min="9" max="9" width="16.7109375" customWidth="1"/>
    <col min="10" max="10" width="11.7109375" bestFit="1" customWidth="1"/>
    <col min="11" max="11" width="25" bestFit="1" customWidth="1"/>
    <col min="12" max="12" width="11.85546875" bestFit="1" customWidth="1"/>
    <col min="13" max="13" width="26" bestFit="1" customWidth="1"/>
    <col min="14" max="14" width="6" bestFit="1" customWidth="1"/>
    <col min="15" max="15" width="25.28515625" style="8" bestFit="1" customWidth="1"/>
    <col min="16" max="16" width="23.42578125" bestFit="1" customWidth="1"/>
    <col min="17" max="17" width="5.85546875" bestFit="1" customWidth="1"/>
    <col min="18" max="18" width="16.5703125" bestFit="1" customWidth="1"/>
    <col min="19" max="19" width="5.5703125" bestFit="1" customWidth="1"/>
    <col min="20" max="20" width="19.28515625" bestFit="1" customWidth="1"/>
    <col min="21" max="21" width="3" bestFit="1" customWidth="1"/>
    <col min="22" max="22" width="7.85546875" bestFit="1" customWidth="1"/>
    <col min="23" max="23" width="15.85546875" bestFit="1" customWidth="1"/>
    <col min="24" max="24" width="21.28515625" bestFit="1" customWidth="1"/>
    <col min="25" max="25" width="20.28515625" bestFit="1" customWidth="1"/>
    <col min="26" max="26" width="20.28515625" customWidth="1"/>
    <col min="27" max="27" width="7.85546875" bestFit="1" customWidth="1"/>
    <col min="28" max="28" width="16.5703125" bestFit="1" customWidth="1"/>
    <col min="29" max="29" width="18.5703125" customWidth="1"/>
    <col min="33" max="33" width="17.140625" bestFit="1" customWidth="1"/>
  </cols>
  <sheetData>
    <row r="1" spans="1:65" s="5" customFormat="1" x14ac:dyDescent="0.25">
      <c r="A1" s="196" t="s">
        <v>29</v>
      </c>
      <c r="B1" s="196"/>
      <c r="C1" s="196"/>
      <c r="D1" s="187"/>
      <c r="E1" s="5" t="s">
        <v>30</v>
      </c>
      <c r="F1" s="5" t="s">
        <v>31</v>
      </c>
      <c r="G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N1" s="5" t="s">
        <v>37</v>
      </c>
      <c r="O1" s="5" t="s">
        <v>38</v>
      </c>
      <c r="P1" s="5" t="s">
        <v>35</v>
      </c>
      <c r="Q1" s="5" t="s">
        <v>36</v>
      </c>
      <c r="R1" s="5" t="s">
        <v>39</v>
      </c>
      <c r="S1" s="5" t="s">
        <v>37</v>
      </c>
      <c r="BK1" s="61"/>
      <c r="BL1"/>
      <c r="BM1"/>
    </row>
    <row r="2" spans="1:65" x14ac:dyDescent="0.25">
      <c r="A2" t="s">
        <v>40</v>
      </c>
      <c r="B2" s="10" t="s">
        <v>41</v>
      </c>
      <c r="D2" s="10"/>
      <c r="E2" t="s">
        <v>42</v>
      </c>
      <c r="F2" t="s">
        <v>42</v>
      </c>
      <c r="G2" t="s">
        <v>43</v>
      </c>
      <c r="I2" t="s">
        <v>42</v>
      </c>
      <c r="K2" t="s">
        <v>44</v>
      </c>
      <c r="L2">
        <v>122.7</v>
      </c>
      <c r="N2" t="s">
        <v>45</v>
      </c>
      <c r="O2">
        <v>1</v>
      </c>
      <c r="P2" t="s">
        <v>46</v>
      </c>
      <c r="Q2">
        <v>106.8</v>
      </c>
      <c r="R2" t="s">
        <v>47</v>
      </c>
      <c r="S2" t="s">
        <v>48</v>
      </c>
      <c r="AG2" s="52"/>
      <c r="AI2" s="52"/>
      <c r="AJ2" s="52"/>
      <c r="BE2" s="62"/>
      <c r="BF2" s="62"/>
    </row>
    <row r="3" spans="1:65" ht="15" customHeight="1" x14ac:dyDescent="0.25">
      <c r="A3" s="10" t="s">
        <v>49</v>
      </c>
      <c r="B3" s="10" t="s">
        <v>50</v>
      </c>
      <c r="D3" s="10"/>
      <c r="E3" t="s">
        <v>43</v>
      </c>
      <c r="F3" t="s">
        <v>51</v>
      </c>
      <c r="G3" t="s">
        <v>52</v>
      </c>
      <c r="I3" t="s">
        <v>43</v>
      </c>
      <c r="K3" t="s">
        <v>53</v>
      </c>
      <c r="L3">
        <v>122.3</v>
      </c>
      <c r="N3" t="s">
        <v>54</v>
      </c>
      <c r="O3">
        <v>2</v>
      </c>
      <c r="P3" t="s">
        <v>55</v>
      </c>
      <c r="Q3">
        <v>106.8</v>
      </c>
      <c r="R3" t="s">
        <v>56</v>
      </c>
      <c r="S3" t="s">
        <v>48</v>
      </c>
      <c r="AG3" s="52"/>
      <c r="AI3" s="52"/>
      <c r="AJ3" s="52"/>
      <c r="BE3" s="62"/>
      <c r="BF3" s="62"/>
    </row>
    <row r="4" spans="1:65" ht="15" customHeight="1" x14ac:dyDescent="0.25">
      <c r="A4" s="11" t="s">
        <v>57</v>
      </c>
      <c r="B4" s="11" t="s">
        <v>58</v>
      </c>
      <c r="D4" s="11"/>
      <c r="E4" t="s">
        <v>59</v>
      </c>
      <c r="F4" t="s">
        <v>60</v>
      </c>
      <c r="G4" t="s">
        <v>61</v>
      </c>
      <c r="I4" t="s">
        <v>60</v>
      </c>
      <c r="K4" t="s">
        <v>62</v>
      </c>
      <c r="L4">
        <v>122.3</v>
      </c>
      <c r="M4" t="s">
        <v>63</v>
      </c>
      <c r="N4" t="s">
        <v>54</v>
      </c>
      <c r="O4">
        <v>3</v>
      </c>
      <c r="P4" t="s">
        <v>64</v>
      </c>
      <c r="Q4">
        <v>107.4</v>
      </c>
      <c r="R4" t="s">
        <v>47</v>
      </c>
      <c r="S4" t="s">
        <v>65</v>
      </c>
      <c r="AG4" s="52"/>
      <c r="AI4" s="52"/>
      <c r="AJ4" s="52"/>
      <c r="BE4" s="62"/>
    </row>
    <row r="5" spans="1:65" x14ac:dyDescent="0.25">
      <c r="A5" s="11" t="s">
        <v>59</v>
      </c>
      <c r="B5" s="11" t="s">
        <v>66</v>
      </c>
      <c r="D5" s="11"/>
      <c r="E5" t="s">
        <v>60</v>
      </c>
      <c r="F5" t="s">
        <v>67</v>
      </c>
      <c r="G5" t="s">
        <v>60</v>
      </c>
      <c r="I5" t="s">
        <v>68</v>
      </c>
      <c r="K5" t="s">
        <v>69</v>
      </c>
      <c r="L5">
        <v>122</v>
      </c>
      <c r="N5" t="s">
        <v>70</v>
      </c>
      <c r="O5">
        <v>4</v>
      </c>
      <c r="P5" t="s">
        <v>71</v>
      </c>
      <c r="Q5">
        <v>107.5</v>
      </c>
      <c r="R5" t="s">
        <v>72</v>
      </c>
      <c r="S5" t="s">
        <v>65</v>
      </c>
      <c r="AG5" s="52"/>
      <c r="AI5" s="52"/>
      <c r="AJ5" s="52"/>
      <c r="BE5" s="62"/>
    </row>
    <row r="6" spans="1:65" ht="15" customHeight="1" x14ac:dyDescent="0.25">
      <c r="A6" s="6" t="s">
        <v>73</v>
      </c>
      <c r="B6" s="6" t="s">
        <v>74</v>
      </c>
      <c r="D6" s="7"/>
      <c r="E6" t="s">
        <v>58</v>
      </c>
      <c r="F6" t="s">
        <v>43</v>
      </c>
      <c r="G6" t="s">
        <v>75</v>
      </c>
      <c r="I6" t="s">
        <v>57</v>
      </c>
      <c r="K6" t="s">
        <v>76</v>
      </c>
      <c r="L6">
        <v>121.4</v>
      </c>
      <c r="N6" t="s">
        <v>77</v>
      </c>
      <c r="O6">
        <v>5</v>
      </c>
      <c r="P6" t="s">
        <v>78</v>
      </c>
      <c r="Q6">
        <v>107.7</v>
      </c>
      <c r="R6" t="s">
        <v>72</v>
      </c>
      <c r="S6" t="s">
        <v>79</v>
      </c>
      <c r="AG6" s="52"/>
      <c r="AI6" s="52"/>
      <c r="AJ6" s="52"/>
      <c r="BE6" s="62"/>
    </row>
    <row r="7" spans="1:65" ht="15" customHeight="1" x14ac:dyDescent="0.25">
      <c r="A7" s="7" t="s">
        <v>43</v>
      </c>
      <c r="B7" s="7" t="s">
        <v>52</v>
      </c>
      <c r="D7" s="7"/>
      <c r="E7" t="s">
        <v>80</v>
      </c>
      <c r="F7" t="s">
        <v>58</v>
      </c>
      <c r="G7" t="s">
        <v>58</v>
      </c>
      <c r="I7" t="s">
        <v>81</v>
      </c>
      <c r="K7" t="s">
        <v>82</v>
      </c>
      <c r="L7">
        <v>120.7</v>
      </c>
      <c r="N7" t="s">
        <v>83</v>
      </c>
      <c r="O7">
        <v>6</v>
      </c>
      <c r="P7" t="s">
        <v>84</v>
      </c>
      <c r="Q7">
        <v>108</v>
      </c>
      <c r="R7" t="s">
        <v>72</v>
      </c>
      <c r="S7" t="s">
        <v>85</v>
      </c>
      <c r="AG7" s="52"/>
      <c r="AI7" s="52"/>
      <c r="AJ7" s="52"/>
      <c r="BE7" s="62"/>
      <c r="BF7" s="62"/>
    </row>
    <row r="8" spans="1:65" x14ac:dyDescent="0.25">
      <c r="A8" s="7" t="s">
        <v>86</v>
      </c>
      <c r="B8" s="7" t="s">
        <v>60</v>
      </c>
      <c r="E8" t="s">
        <v>87</v>
      </c>
      <c r="F8" t="s">
        <v>88</v>
      </c>
      <c r="G8" t="s">
        <v>89</v>
      </c>
      <c r="I8" t="s">
        <v>90</v>
      </c>
      <c r="K8" t="s">
        <v>91</v>
      </c>
      <c r="L8">
        <v>120</v>
      </c>
      <c r="N8" t="s">
        <v>77</v>
      </c>
      <c r="O8">
        <v>7</v>
      </c>
      <c r="P8" t="s">
        <v>92</v>
      </c>
      <c r="Q8">
        <v>108.5</v>
      </c>
      <c r="R8" t="s">
        <v>93</v>
      </c>
      <c r="S8" t="s">
        <v>85</v>
      </c>
      <c r="AG8" s="52"/>
      <c r="AI8" s="52"/>
      <c r="AJ8" s="52"/>
      <c r="BE8" s="62"/>
      <c r="BF8" s="62"/>
    </row>
    <row r="9" spans="1:65" ht="15" customHeight="1" x14ac:dyDescent="0.25">
      <c r="A9" s="7" t="s">
        <v>87</v>
      </c>
      <c r="B9" s="7" t="s">
        <v>61</v>
      </c>
      <c r="K9" t="s">
        <v>94</v>
      </c>
      <c r="L9">
        <v>119.8</v>
      </c>
      <c r="N9" t="s">
        <v>95</v>
      </c>
      <c r="O9">
        <v>8</v>
      </c>
      <c r="P9" t="s">
        <v>96</v>
      </c>
      <c r="Q9">
        <v>108.7</v>
      </c>
      <c r="R9" t="s">
        <v>72</v>
      </c>
      <c r="S9" t="s">
        <v>97</v>
      </c>
      <c r="AG9" s="52"/>
      <c r="AI9" s="52"/>
      <c r="AJ9" s="52"/>
      <c r="BE9" s="62"/>
      <c r="BF9" s="62"/>
    </row>
    <row r="10" spans="1:65" ht="15" customHeight="1" x14ac:dyDescent="0.25">
      <c r="A10" s="7" t="s">
        <v>98</v>
      </c>
      <c r="B10" s="7" t="s">
        <v>99</v>
      </c>
      <c r="K10" t="s">
        <v>100</v>
      </c>
      <c r="L10">
        <v>119.6</v>
      </c>
      <c r="N10" t="s">
        <v>77</v>
      </c>
      <c r="O10">
        <v>9</v>
      </c>
      <c r="P10" t="s">
        <v>101</v>
      </c>
      <c r="Q10">
        <v>109.1</v>
      </c>
      <c r="R10" t="s">
        <v>72</v>
      </c>
      <c r="S10" t="s">
        <v>102</v>
      </c>
      <c r="AG10" s="52"/>
      <c r="AI10" s="52"/>
      <c r="AJ10" s="52"/>
      <c r="BE10" s="62"/>
      <c r="BF10" s="62"/>
    </row>
    <row r="11" spans="1:65" ht="15" customHeight="1" x14ac:dyDescent="0.25">
      <c r="A11" s="7" t="s">
        <v>67</v>
      </c>
      <c r="B11" s="7" t="s">
        <v>88</v>
      </c>
      <c r="K11" t="s">
        <v>103</v>
      </c>
      <c r="L11">
        <v>119.5</v>
      </c>
      <c r="N11" t="s">
        <v>70</v>
      </c>
      <c r="O11">
        <v>10</v>
      </c>
      <c r="P11" t="s">
        <v>104</v>
      </c>
      <c r="Q11">
        <v>109.3</v>
      </c>
      <c r="R11" t="s">
        <v>93</v>
      </c>
      <c r="S11" t="s">
        <v>105</v>
      </c>
      <c r="AG11" s="52"/>
      <c r="AI11" s="52"/>
      <c r="AJ11" s="52"/>
      <c r="BE11" s="62"/>
      <c r="BF11" s="62"/>
    </row>
    <row r="12" spans="1:65" ht="15" customHeight="1" x14ac:dyDescent="0.25">
      <c r="A12" s="7" t="s">
        <v>106</v>
      </c>
      <c r="B12" s="7" t="s">
        <v>42</v>
      </c>
      <c r="K12" t="s">
        <v>107</v>
      </c>
      <c r="L12">
        <v>119.3</v>
      </c>
      <c r="N12" t="s">
        <v>108</v>
      </c>
      <c r="O12">
        <v>11</v>
      </c>
      <c r="P12" t="s">
        <v>109</v>
      </c>
      <c r="Q12">
        <v>109.3</v>
      </c>
      <c r="R12" t="s">
        <v>63</v>
      </c>
      <c r="S12" t="s">
        <v>48</v>
      </c>
      <c r="AG12" s="52"/>
      <c r="AI12" s="52"/>
      <c r="AJ12" s="52"/>
      <c r="BE12" s="62"/>
      <c r="BF12" s="62"/>
    </row>
    <row r="13" spans="1:65" ht="15" customHeight="1" x14ac:dyDescent="0.25">
      <c r="A13" s="7" t="s">
        <v>75</v>
      </c>
      <c r="B13" s="7" t="s">
        <v>90</v>
      </c>
      <c r="K13" t="s">
        <v>110</v>
      </c>
      <c r="L13">
        <v>119.3</v>
      </c>
      <c r="N13" t="s">
        <v>111</v>
      </c>
      <c r="O13">
        <v>12</v>
      </c>
      <c r="P13" t="s">
        <v>112</v>
      </c>
      <c r="Q13">
        <v>109.9</v>
      </c>
      <c r="R13" t="s">
        <v>93</v>
      </c>
      <c r="S13" t="s">
        <v>113</v>
      </c>
      <c r="AG13" s="52"/>
      <c r="AI13" s="52"/>
      <c r="AJ13" s="52"/>
      <c r="BE13" s="62"/>
      <c r="BF13" s="62"/>
    </row>
    <row r="14" spans="1:65" ht="15" customHeight="1" x14ac:dyDescent="0.25">
      <c r="A14" s="7" t="s">
        <v>114</v>
      </c>
      <c r="B14" s="7" t="s">
        <v>115</v>
      </c>
      <c r="K14" t="s">
        <v>116</v>
      </c>
      <c r="L14">
        <v>119.2</v>
      </c>
      <c r="N14" t="s">
        <v>117</v>
      </c>
      <c r="O14">
        <v>13</v>
      </c>
      <c r="P14" t="s">
        <v>118</v>
      </c>
      <c r="Q14">
        <v>110</v>
      </c>
      <c r="R14" t="s">
        <v>56</v>
      </c>
      <c r="S14" t="s">
        <v>79</v>
      </c>
      <c r="AG14" s="52"/>
      <c r="AI14" s="52"/>
      <c r="AJ14" s="52"/>
      <c r="BE14" s="62"/>
      <c r="BF14" s="62"/>
    </row>
    <row r="15" spans="1:65" ht="15" customHeight="1" x14ac:dyDescent="0.25">
      <c r="A15" s="7" t="s">
        <v>119</v>
      </c>
      <c r="B15" s="7" t="s">
        <v>51</v>
      </c>
      <c r="K15" t="s">
        <v>120</v>
      </c>
      <c r="L15">
        <v>119</v>
      </c>
      <c r="N15" t="s">
        <v>121</v>
      </c>
      <c r="O15">
        <v>14</v>
      </c>
      <c r="P15" t="s">
        <v>122</v>
      </c>
      <c r="Q15">
        <v>110.3</v>
      </c>
      <c r="R15" t="s">
        <v>123</v>
      </c>
      <c r="S15" t="s">
        <v>102</v>
      </c>
      <c r="AG15" s="52"/>
      <c r="AI15" s="52"/>
      <c r="AJ15" s="52"/>
      <c r="BE15" s="62"/>
    </row>
    <row r="16" spans="1:65" x14ac:dyDescent="0.25">
      <c r="A16" s="7" t="s">
        <v>124</v>
      </c>
      <c r="B16" s="7" t="s">
        <v>125</v>
      </c>
      <c r="K16" t="s">
        <v>126</v>
      </c>
      <c r="L16">
        <v>118.9</v>
      </c>
      <c r="N16" t="s">
        <v>127</v>
      </c>
      <c r="O16">
        <v>15</v>
      </c>
      <c r="P16" t="s">
        <v>128</v>
      </c>
      <c r="Q16">
        <v>110.3</v>
      </c>
      <c r="R16" t="s">
        <v>72</v>
      </c>
      <c r="S16" t="s">
        <v>129</v>
      </c>
      <c r="AG16" s="52"/>
      <c r="AI16" s="52"/>
      <c r="AJ16" s="52"/>
      <c r="BE16" s="62"/>
      <c r="BF16" s="62"/>
    </row>
    <row r="17" spans="1:58" ht="15" customHeight="1" x14ac:dyDescent="0.25">
      <c r="J17" s="5"/>
      <c r="K17" t="s">
        <v>130</v>
      </c>
      <c r="L17">
        <v>118.8</v>
      </c>
      <c r="N17" t="s">
        <v>131</v>
      </c>
      <c r="O17">
        <v>16</v>
      </c>
      <c r="P17" t="s">
        <v>132</v>
      </c>
      <c r="Q17">
        <v>110.4</v>
      </c>
      <c r="R17" t="s">
        <v>93</v>
      </c>
      <c r="S17" t="s">
        <v>133</v>
      </c>
      <c r="AG17" s="52"/>
      <c r="AI17" s="52"/>
      <c r="AJ17" s="52"/>
      <c r="BE17" s="62"/>
      <c r="BF17" s="62"/>
    </row>
    <row r="18" spans="1:58" ht="15" customHeight="1" x14ac:dyDescent="0.25">
      <c r="K18" t="s">
        <v>134</v>
      </c>
      <c r="L18">
        <v>118.7</v>
      </c>
      <c r="M18" t="s">
        <v>47</v>
      </c>
      <c r="N18" t="s">
        <v>54</v>
      </c>
      <c r="O18">
        <v>17</v>
      </c>
      <c r="P18" t="s">
        <v>135</v>
      </c>
      <c r="Q18">
        <v>110.4</v>
      </c>
      <c r="R18" t="s">
        <v>47</v>
      </c>
      <c r="S18" t="s">
        <v>102</v>
      </c>
      <c r="AG18" s="52"/>
      <c r="AI18" s="52"/>
      <c r="AJ18" s="52"/>
      <c r="BE18" s="62"/>
      <c r="BF18" s="62"/>
    </row>
    <row r="19" spans="1:58" x14ac:dyDescent="0.25">
      <c r="A19" s="196" t="s">
        <v>29</v>
      </c>
      <c r="B19" s="196"/>
      <c r="C19" s="196"/>
      <c r="D19" s="187"/>
      <c r="E19" s="5" t="s">
        <v>136</v>
      </c>
      <c r="F19" s="5" t="s">
        <v>137</v>
      </c>
      <c r="G19" s="5" t="s">
        <v>138</v>
      </c>
      <c r="H19" s="5"/>
      <c r="I19" s="5" t="s">
        <v>139</v>
      </c>
      <c r="K19" t="s">
        <v>140</v>
      </c>
      <c r="L19">
        <v>118.5</v>
      </c>
      <c r="N19" t="s">
        <v>83</v>
      </c>
      <c r="O19">
        <v>18</v>
      </c>
      <c r="P19" t="s">
        <v>141</v>
      </c>
      <c r="Q19">
        <v>110.5</v>
      </c>
      <c r="R19" t="s">
        <v>47</v>
      </c>
      <c r="S19" t="s">
        <v>142</v>
      </c>
      <c r="AG19" s="52"/>
      <c r="AI19" s="52"/>
      <c r="AJ19" s="52"/>
      <c r="BE19" s="62"/>
    </row>
    <row r="20" spans="1:58" ht="15" customHeight="1" x14ac:dyDescent="0.25">
      <c r="A20" t="s">
        <v>40</v>
      </c>
      <c r="B20" s="10" t="s">
        <v>41</v>
      </c>
      <c r="D20" s="10"/>
      <c r="E20" t="s">
        <v>143</v>
      </c>
      <c r="F20" t="s">
        <v>66</v>
      </c>
      <c r="G20" t="s">
        <v>66</v>
      </c>
      <c r="I20" t="s">
        <v>144</v>
      </c>
      <c r="K20" t="s">
        <v>145</v>
      </c>
      <c r="L20">
        <v>118.4</v>
      </c>
      <c r="N20" t="s">
        <v>146</v>
      </c>
      <c r="O20">
        <v>19</v>
      </c>
      <c r="P20" t="s">
        <v>147</v>
      </c>
      <c r="Q20">
        <v>110.7</v>
      </c>
      <c r="R20" t="s">
        <v>72</v>
      </c>
      <c r="S20" t="s">
        <v>148</v>
      </c>
      <c r="AG20" s="52"/>
      <c r="AI20" s="52"/>
      <c r="AJ20" s="52"/>
      <c r="BE20" s="62"/>
      <c r="BF20" s="62"/>
    </row>
    <row r="21" spans="1:58" ht="15" customHeight="1" x14ac:dyDescent="0.25">
      <c r="A21" s="10" t="s">
        <v>49</v>
      </c>
      <c r="B21" s="10" t="s">
        <v>50</v>
      </c>
      <c r="D21" s="10"/>
      <c r="E21" t="s">
        <v>149</v>
      </c>
      <c r="F21" t="s">
        <v>144</v>
      </c>
      <c r="G21" t="s">
        <v>74</v>
      </c>
      <c r="I21" t="s">
        <v>67</v>
      </c>
      <c r="K21" t="s">
        <v>150</v>
      </c>
      <c r="L21">
        <v>118.2</v>
      </c>
      <c r="N21" t="s">
        <v>151</v>
      </c>
      <c r="O21">
        <v>20</v>
      </c>
      <c r="P21" t="s">
        <v>152</v>
      </c>
      <c r="Q21">
        <v>110.9</v>
      </c>
      <c r="R21" t="s">
        <v>63</v>
      </c>
      <c r="S21" t="s">
        <v>111</v>
      </c>
      <c r="AG21" s="52"/>
      <c r="AI21" s="52"/>
      <c r="AJ21" s="52"/>
      <c r="BE21" s="62"/>
      <c r="BF21" s="62"/>
    </row>
    <row r="22" spans="1:58" x14ac:dyDescent="0.25">
      <c r="A22" s="11" t="s">
        <v>57</v>
      </c>
      <c r="B22" s="11" t="s">
        <v>58</v>
      </c>
      <c r="D22" s="11"/>
      <c r="E22" t="s">
        <v>153</v>
      </c>
      <c r="F22" t="s">
        <v>52</v>
      </c>
      <c r="G22" t="s">
        <v>114</v>
      </c>
      <c r="I22" t="s">
        <v>81</v>
      </c>
      <c r="K22" t="s">
        <v>154</v>
      </c>
      <c r="L22">
        <v>118.2</v>
      </c>
      <c r="N22" t="s">
        <v>129</v>
      </c>
      <c r="O22">
        <v>21</v>
      </c>
      <c r="P22" t="s">
        <v>155</v>
      </c>
      <c r="Q22">
        <v>111</v>
      </c>
      <c r="R22" t="s">
        <v>93</v>
      </c>
      <c r="S22" t="s">
        <v>156</v>
      </c>
      <c r="AG22" s="52"/>
      <c r="AI22" s="52"/>
      <c r="AJ22" s="52"/>
      <c r="BE22" s="62"/>
      <c r="BF22" s="62"/>
    </row>
    <row r="23" spans="1:58" ht="15" customHeight="1" x14ac:dyDescent="0.25">
      <c r="A23" s="11" t="s">
        <v>59</v>
      </c>
      <c r="B23" s="11" t="s">
        <v>66</v>
      </c>
      <c r="D23" s="11"/>
      <c r="E23" t="s">
        <v>157</v>
      </c>
      <c r="F23" s="11" t="s">
        <v>99</v>
      </c>
      <c r="G23" t="s">
        <v>41</v>
      </c>
      <c r="I23" t="s">
        <v>106</v>
      </c>
      <c r="K23" t="s">
        <v>158</v>
      </c>
      <c r="L23">
        <v>118.2</v>
      </c>
      <c r="N23" t="s">
        <v>95</v>
      </c>
      <c r="O23">
        <v>22</v>
      </c>
      <c r="P23" t="s">
        <v>159</v>
      </c>
      <c r="Q23">
        <v>111.2</v>
      </c>
      <c r="R23" t="s">
        <v>56</v>
      </c>
      <c r="S23" t="s">
        <v>65</v>
      </c>
      <c r="AG23" s="52"/>
      <c r="AI23" s="52"/>
      <c r="BE23" s="62"/>
      <c r="BF23" s="62"/>
    </row>
    <row r="24" spans="1:58" ht="15" customHeight="1" x14ac:dyDescent="0.25">
      <c r="A24" s="6" t="s">
        <v>73</v>
      </c>
      <c r="B24" s="7" t="s">
        <v>74</v>
      </c>
      <c r="D24" s="7"/>
      <c r="E24" t="s">
        <v>160</v>
      </c>
      <c r="F24" t="s">
        <v>114</v>
      </c>
      <c r="G24" t="s">
        <v>125</v>
      </c>
      <c r="I24" t="s">
        <v>52</v>
      </c>
      <c r="K24" t="s">
        <v>161</v>
      </c>
      <c r="L24">
        <v>118.1</v>
      </c>
      <c r="N24" t="s">
        <v>151</v>
      </c>
      <c r="O24">
        <v>23</v>
      </c>
      <c r="P24" t="s">
        <v>162</v>
      </c>
      <c r="Q24">
        <v>111.7</v>
      </c>
      <c r="R24" t="s">
        <v>93</v>
      </c>
      <c r="S24" t="s">
        <v>163</v>
      </c>
      <c r="AG24" s="52"/>
      <c r="AI24" s="52"/>
      <c r="AJ24" s="52"/>
      <c r="BE24" s="62"/>
    </row>
    <row r="25" spans="1:58" x14ac:dyDescent="0.25">
      <c r="A25" s="7" t="s">
        <v>43</v>
      </c>
      <c r="B25" s="7" t="s">
        <v>52</v>
      </c>
      <c r="D25" s="7"/>
      <c r="E25" t="s">
        <v>164</v>
      </c>
      <c r="F25" t="s">
        <v>106</v>
      </c>
      <c r="G25" t="s">
        <v>51</v>
      </c>
      <c r="I25" t="s">
        <v>50</v>
      </c>
      <c r="K25" t="s">
        <v>165</v>
      </c>
      <c r="L25">
        <v>118.1</v>
      </c>
      <c r="N25" t="s">
        <v>156</v>
      </c>
      <c r="O25">
        <v>24</v>
      </c>
      <c r="P25" t="s">
        <v>166</v>
      </c>
      <c r="Q25">
        <v>111.9</v>
      </c>
      <c r="R25" t="s">
        <v>63</v>
      </c>
      <c r="S25" t="s">
        <v>142</v>
      </c>
      <c r="AG25" s="52"/>
      <c r="AI25" s="52"/>
      <c r="AJ25" s="52"/>
      <c r="BE25" s="62"/>
    </row>
    <row r="26" spans="1:58" ht="15" customHeight="1" x14ac:dyDescent="0.25">
      <c r="A26" s="7" t="s">
        <v>86</v>
      </c>
      <c r="B26" s="7" t="s">
        <v>60</v>
      </c>
      <c r="E26" t="s">
        <v>167</v>
      </c>
      <c r="F26" t="s">
        <v>90</v>
      </c>
      <c r="G26" t="s">
        <v>58</v>
      </c>
      <c r="I26" t="s">
        <v>66</v>
      </c>
      <c r="K26" t="s">
        <v>168</v>
      </c>
      <c r="L26">
        <v>118.1</v>
      </c>
      <c r="N26" t="s">
        <v>129</v>
      </c>
      <c r="O26">
        <v>25</v>
      </c>
      <c r="P26" t="s">
        <v>169</v>
      </c>
      <c r="Q26">
        <v>112.2</v>
      </c>
      <c r="R26" t="s">
        <v>72</v>
      </c>
      <c r="S26" t="s">
        <v>170</v>
      </c>
      <c r="AG26" s="52"/>
      <c r="AI26" s="52"/>
      <c r="AJ26" s="52"/>
      <c r="BE26" s="62"/>
    </row>
    <row r="27" spans="1:58" ht="15" customHeight="1" x14ac:dyDescent="0.25">
      <c r="A27" s="7" t="s">
        <v>87</v>
      </c>
      <c r="B27" s="7" t="s">
        <v>61</v>
      </c>
      <c r="AG27" s="52"/>
      <c r="AI27" s="52"/>
      <c r="AJ27" s="52"/>
      <c r="BE27" s="62"/>
      <c r="BF27" s="62"/>
    </row>
    <row r="28" spans="1:58" x14ac:dyDescent="0.25">
      <c r="A28" s="7" t="s">
        <v>98</v>
      </c>
      <c r="B28" s="7" t="s">
        <v>99</v>
      </c>
      <c r="AG28" s="52"/>
      <c r="AI28" s="52"/>
      <c r="AJ28" s="52"/>
      <c r="BE28" s="62"/>
    </row>
    <row r="29" spans="1:58" ht="15" customHeight="1" x14ac:dyDescent="0.25">
      <c r="A29" s="7" t="s">
        <v>67</v>
      </c>
      <c r="B29" s="7" t="s">
        <v>88</v>
      </c>
      <c r="AG29" s="52"/>
      <c r="AI29" s="52"/>
      <c r="AJ29" s="52"/>
      <c r="BE29" s="62"/>
    </row>
    <row r="30" spans="1:58" ht="15" customHeight="1" x14ac:dyDescent="0.25">
      <c r="A30" t="s">
        <v>106</v>
      </c>
      <c r="B30" t="s">
        <v>42</v>
      </c>
      <c r="AG30" s="52"/>
      <c r="AI30" s="52"/>
      <c r="AJ30" s="52"/>
      <c r="BE30" s="62"/>
      <c r="BF30" s="62"/>
    </row>
    <row r="31" spans="1:58" x14ac:dyDescent="0.25">
      <c r="A31" t="s">
        <v>75</v>
      </c>
      <c r="B31" t="s">
        <v>90</v>
      </c>
      <c r="AG31" s="52"/>
    </row>
    <row r="32" spans="1:58" x14ac:dyDescent="0.25">
      <c r="A32" t="s">
        <v>114</v>
      </c>
      <c r="B32" t="s">
        <v>115</v>
      </c>
      <c r="O32"/>
      <c r="AG32" s="52"/>
    </row>
    <row r="33" spans="1:66" x14ac:dyDescent="0.25">
      <c r="A33" t="s">
        <v>119</v>
      </c>
      <c r="B33" t="s">
        <v>51</v>
      </c>
      <c r="O33"/>
      <c r="AG33" s="52"/>
    </row>
    <row r="34" spans="1:66" x14ac:dyDescent="0.25">
      <c r="A34" t="s">
        <v>124</v>
      </c>
      <c r="B34" t="s">
        <v>125</v>
      </c>
      <c r="O34"/>
      <c r="AG34" s="52"/>
    </row>
    <row r="35" spans="1:66" x14ac:dyDescent="0.25">
      <c r="O35"/>
      <c r="AD35" s="52"/>
    </row>
    <row r="36" spans="1:66" x14ac:dyDescent="0.25">
      <c r="A36" s="5" t="s">
        <v>171</v>
      </c>
      <c r="B36" s="5" t="s">
        <v>172</v>
      </c>
      <c r="C36" s="5" t="s">
        <v>173</v>
      </c>
      <c r="D36" s="5" t="s">
        <v>39</v>
      </c>
      <c r="E36" s="5" t="s">
        <v>174</v>
      </c>
      <c r="F36" s="5" t="s">
        <v>175</v>
      </c>
      <c r="G36" s="5" t="s">
        <v>176</v>
      </c>
      <c r="H36" s="187" t="s">
        <v>177</v>
      </c>
      <c r="I36" s="187" t="s">
        <v>178</v>
      </c>
      <c r="J36" s="5" t="s">
        <v>179</v>
      </c>
      <c r="K36" s="187" t="s">
        <v>180</v>
      </c>
      <c r="L36" t="s">
        <v>181</v>
      </c>
      <c r="M36" t="s">
        <v>182</v>
      </c>
      <c r="O36"/>
      <c r="T36" s="5"/>
      <c r="U36" s="5"/>
      <c r="Y36" s="5"/>
      <c r="Z36" s="5"/>
      <c r="AH36" s="52"/>
    </row>
    <row r="37" spans="1:66" hidden="1" x14ac:dyDescent="0.25">
      <c r="A37" s="190" t="s">
        <v>104</v>
      </c>
      <c r="B37" s="191" t="s">
        <v>183</v>
      </c>
      <c r="C37" s="107" t="s">
        <v>41</v>
      </c>
      <c r="F37" s="9" t="str">
        <f t="shared" ref="F37:F68" si="0">IF(J37 - K37 &gt; 0, "Under", "Over")</f>
        <v>Over</v>
      </c>
      <c r="H37" s="9"/>
      <c r="I37" s="101">
        <f t="shared" ref="I37:I68" si="1">ABS(K37-J37)</f>
        <v>15</v>
      </c>
      <c r="J37" s="191">
        <v>28</v>
      </c>
      <c r="K37" s="9">
        <v>43</v>
      </c>
      <c r="L37" s="52" t="s">
        <v>184</v>
      </c>
      <c r="O37" s="52"/>
      <c r="Q37" s="8"/>
      <c r="T37" s="5"/>
      <c r="U37" s="5"/>
      <c r="V37" s="5"/>
      <c r="W37" s="64"/>
      <c r="X37" s="5"/>
    </row>
    <row r="38" spans="1:66" s="5" customFormat="1" ht="15" hidden="1" customHeight="1" x14ac:dyDescent="0.25">
      <c r="A38" s="190" t="s">
        <v>185</v>
      </c>
      <c r="B38" s="191" t="s">
        <v>186</v>
      </c>
      <c r="C38" s="121" t="s">
        <v>106</v>
      </c>
      <c r="D38"/>
      <c r="E38"/>
      <c r="F38" s="9" t="str">
        <f t="shared" si="0"/>
        <v>Under</v>
      </c>
      <c r="G38"/>
      <c r="H38"/>
      <c r="I38" s="101">
        <f t="shared" si="1"/>
        <v>13.5</v>
      </c>
      <c r="J38" s="191">
        <v>19.5</v>
      </c>
      <c r="K38" s="9">
        <v>6</v>
      </c>
      <c r="L38" s="52" t="s">
        <v>184</v>
      </c>
      <c r="M38"/>
      <c r="N38"/>
      <c r="O38" s="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</row>
    <row r="39" spans="1:66" ht="15" hidden="1" customHeight="1" x14ac:dyDescent="0.25">
      <c r="A39" s="190" t="s">
        <v>187</v>
      </c>
      <c r="B39" s="191" t="s">
        <v>188</v>
      </c>
      <c r="C39" t="s">
        <v>51</v>
      </c>
      <c r="F39" s="9" t="str">
        <f t="shared" si="0"/>
        <v>Over</v>
      </c>
      <c r="I39" s="101">
        <f t="shared" si="1"/>
        <v>13.5</v>
      </c>
      <c r="J39" s="191">
        <v>17.5</v>
      </c>
      <c r="K39" s="9">
        <v>31</v>
      </c>
      <c r="L39" s="52" t="s">
        <v>184</v>
      </c>
    </row>
    <row r="40" spans="1:66" ht="15" hidden="1" customHeight="1" x14ac:dyDescent="0.25">
      <c r="A40" s="192" t="s">
        <v>189</v>
      </c>
      <c r="B40" s="191" t="s">
        <v>190</v>
      </c>
      <c r="C40" s="112" t="s">
        <v>87</v>
      </c>
      <c r="F40" s="9" t="str">
        <f t="shared" si="0"/>
        <v>Over</v>
      </c>
      <c r="H40" s="9"/>
      <c r="I40" s="101">
        <f t="shared" si="1"/>
        <v>13.5</v>
      </c>
      <c r="J40" s="191">
        <v>16.5</v>
      </c>
      <c r="K40" s="9">
        <v>30</v>
      </c>
      <c r="L40" t="s">
        <v>191</v>
      </c>
      <c r="O40"/>
      <c r="Q40" s="8"/>
    </row>
    <row r="41" spans="1:66" hidden="1" x14ac:dyDescent="0.25">
      <c r="A41" s="192" t="s">
        <v>192</v>
      </c>
      <c r="B41" s="191" t="s">
        <v>193</v>
      </c>
      <c r="C41" s="121" t="s">
        <v>124</v>
      </c>
      <c r="F41" s="9" t="str">
        <f t="shared" si="0"/>
        <v>Over</v>
      </c>
      <c r="I41" s="101">
        <f t="shared" si="1"/>
        <v>13.5</v>
      </c>
      <c r="J41" s="191">
        <v>6.5</v>
      </c>
      <c r="K41" s="9">
        <v>20</v>
      </c>
      <c r="L41" t="s">
        <v>191</v>
      </c>
    </row>
    <row r="42" spans="1:66" ht="13.5" hidden="1" customHeight="1" x14ac:dyDescent="0.25">
      <c r="A42" s="192" t="s">
        <v>194</v>
      </c>
      <c r="B42" s="191" t="s">
        <v>195</v>
      </c>
      <c r="C42" s="121" t="s">
        <v>99</v>
      </c>
      <c r="F42" s="9" t="str">
        <f t="shared" si="0"/>
        <v>Under</v>
      </c>
      <c r="I42" s="101">
        <f t="shared" si="1"/>
        <v>12.5</v>
      </c>
      <c r="J42" s="191">
        <v>20.5</v>
      </c>
      <c r="K42" s="9">
        <v>8</v>
      </c>
      <c r="L42" t="s">
        <v>191</v>
      </c>
    </row>
    <row r="43" spans="1:66" hidden="1" x14ac:dyDescent="0.25">
      <c r="A43" s="191" t="s">
        <v>196</v>
      </c>
      <c r="B43" s="191" t="s">
        <v>197</v>
      </c>
      <c r="C43" s="121" t="s">
        <v>106</v>
      </c>
      <c r="F43" s="9" t="str">
        <f t="shared" si="0"/>
        <v>Under</v>
      </c>
      <c r="I43" s="101">
        <f t="shared" si="1"/>
        <v>10.8</v>
      </c>
      <c r="J43" s="191">
        <v>17.5</v>
      </c>
      <c r="K43" s="9">
        <v>6.7</v>
      </c>
    </row>
    <row r="44" spans="1:66" hidden="1" x14ac:dyDescent="0.25">
      <c r="A44" s="193" t="s">
        <v>198</v>
      </c>
      <c r="B44" s="191" t="s">
        <v>199</v>
      </c>
      <c r="C44" s="10" t="s">
        <v>52</v>
      </c>
      <c r="F44" s="9" t="str">
        <f t="shared" si="0"/>
        <v>Under</v>
      </c>
      <c r="H44" s="9"/>
      <c r="I44" s="101">
        <f t="shared" si="1"/>
        <v>10.5</v>
      </c>
      <c r="J44" s="191">
        <v>24.5</v>
      </c>
      <c r="K44" s="9">
        <v>14</v>
      </c>
      <c r="L44" s="52" t="s">
        <v>184</v>
      </c>
      <c r="O44" s="52"/>
      <c r="Q44" s="8"/>
    </row>
    <row r="45" spans="1:66" hidden="1" x14ac:dyDescent="0.25">
      <c r="A45" s="193" t="s">
        <v>200</v>
      </c>
      <c r="B45" s="191" t="s">
        <v>201</v>
      </c>
      <c r="C45" t="s">
        <v>86</v>
      </c>
      <c r="F45" s="9" t="str">
        <f t="shared" si="0"/>
        <v>Under</v>
      </c>
      <c r="I45" s="101">
        <f t="shared" si="1"/>
        <v>10.5</v>
      </c>
      <c r="J45" s="191">
        <v>14.5</v>
      </c>
      <c r="K45" s="9">
        <v>4</v>
      </c>
      <c r="L45" s="52" t="s">
        <v>184</v>
      </c>
    </row>
    <row r="46" spans="1:66" hidden="1" x14ac:dyDescent="0.25">
      <c r="A46" s="193" t="s">
        <v>202</v>
      </c>
      <c r="B46" s="191" t="s">
        <v>203</v>
      </c>
      <c r="C46" s="110" t="s">
        <v>43</v>
      </c>
      <c r="F46" s="9" t="str">
        <f t="shared" si="0"/>
        <v>Under</v>
      </c>
      <c r="H46" s="9"/>
      <c r="I46" s="101">
        <f t="shared" si="1"/>
        <v>11.5</v>
      </c>
      <c r="J46" s="191">
        <v>14.5</v>
      </c>
      <c r="K46" s="9">
        <v>3</v>
      </c>
      <c r="L46" s="52" t="s">
        <v>184</v>
      </c>
    </row>
    <row r="47" spans="1:66" hidden="1" x14ac:dyDescent="0.25">
      <c r="A47" s="191" t="s">
        <v>204</v>
      </c>
      <c r="B47" s="191" t="s">
        <v>188</v>
      </c>
      <c r="C47" t="s">
        <v>51</v>
      </c>
      <c r="F47" s="9" t="str">
        <f t="shared" si="0"/>
        <v>Under</v>
      </c>
      <c r="I47" s="101">
        <f t="shared" si="1"/>
        <v>10.5</v>
      </c>
      <c r="J47" s="191">
        <v>13.5</v>
      </c>
      <c r="K47" s="9">
        <v>3</v>
      </c>
    </row>
    <row r="48" spans="1:66" x14ac:dyDescent="0.25">
      <c r="A48" s="191" t="s">
        <v>134</v>
      </c>
      <c r="B48" s="191" t="s">
        <v>205</v>
      </c>
      <c r="C48" s="121" t="s">
        <v>119</v>
      </c>
      <c r="F48" s="9" t="str">
        <f t="shared" si="0"/>
        <v>Over</v>
      </c>
      <c r="I48" s="101">
        <f t="shared" si="1"/>
        <v>10</v>
      </c>
      <c r="J48" s="191">
        <v>22.5</v>
      </c>
      <c r="K48" s="9">
        <v>32.5</v>
      </c>
      <c r="L48" t="s">
        <v>206</v>
      </c>
    </row>
    <row r="49" spans="1:33" hidden="1" x14ac:dyDescent="0.25">
      <c r="A49" s="191" t="s">
        <v>207</v>
      </c>
      <c r="B49" s="191" t="s">
        <v>208</v>
      </c>
      <c r="C49" s="112" t="s">
        <v>43</v>
      </c>
      <c r="F49" s="9" t="str">
        <f t="shared" si="0"/>
        <v>Under</v>
      </c>
      <c r="H49" s="9"/>
      <c r="I49" s="101">
        <f t="shared" si="1"/>
        <v>9.8000000000000007</v>
      </c>
      <c r="J49" s="191">
        <v>19.5</v>
      </c>
      <c r="K49" s="9">
        <v>9.6999999999999993</v>
      </c>
      <c r="Q49" s="8"/>
    </row>
    <row r="50" spans="1:33" hidden="1" x14ac:dyDescent="0.25">
      <c r="A50" s="191" t="s">
        <v>209</v>
      </c>
      <c r="B50" s="191" t="s">
        <v>210</v>
      </c>
      <c r="C50" s="110" t="s">
        <v>87</v>
      </c>
      <c r="F50" s="9" t="str">
        <f t="shared" si="0"/>
        <v>Over</v>
      </c>
      <c r="H50" s="9"/>
      <c r="I50" s="101">
        <f t="shared" si="1"/>
        <v>9.5</v>
      </c>
      <c r="J50" s="191">
        <v>22.5</v>
      </c>
      <c r="K50" s="9">
        <v>32</v>
      </c>
      <c r="O50"/>
      <c r="Q50" s="8"/>
    </row>
    <row r="51" spans="1:33" hidden="1" x14ac:dyDescent="0.25">
      <c r="A51" s="191" t="s">
        <v>101</v>
      </c>
      <c r="B51" s="191" t="s">
        <v>211</v>
      </c>
      <c r="C51" t="s">
        <v>67</v>
      </c>
      <c r="F51" s="9" t="str">
        <f t="shared" si="0"/>
        <v>Over</v>
      </c>
      <c r="I51" s="101">
        <f t="shared" si="1"/>
        <v>9.5</v>
      </c>
      <c r="J51" s="191">
        <v>11.5</v>
      </c>
      <c r="K51" s="9">
        <v>21</v>
      </c>
    </row>
    <row r="52" spans="1:33" hidden="1" x14ac:dyDescent="0.25">
      <c r="A52" s="191" t="s">
        <v>212</v>
      </c>
      <c r="B52" s="191" t="s">
        <v>213</v>
      </c>
      <c r="C52" t="s">
        <v>75</v>
      </c>
      <c r="F52" s="9" t="str">
        <f t="shared" si="0"/>
        <v>Under</v>
      </c>
      <c r="I52" s="101">
        <f t="shared" si="1"/>
        <v>9</v>
      </c>
      <c r="J52" s="191">
        <v>18.5</v>
      </c>
      <c r="K52" s="9">
        <v>9.5</v>
      </c>
    </row>
    <row r="53" spans="1:33" hidden="1" x14ac:dyDescent="0.25">
      <c r="A53" s="191" t="s">
        <v>214</v>
      </c>
      <c r="B53" s="191" t="s">
        <v>215</v>
      </c>
      <c r="C53" t="s">
        <v>75</v>
      </c>
      <c r="F53" s="9" t="str">
        <f t="shared" si="0"/>
        <v>Under</v>
      </c>
      <c r="I53" s="101">
        <f t="shared" si="1"/>
        <v>9</v>
      </c>
      <c r="J53" s="191">
        <v>10.5</v>
      </c>
      <c r="K53" s="9">
        <v>1.5</v>
      </c>
    </row>
    <row r="54" spans="1:33" hidden="1" x14ac:dyDescent="0.25">
      <c r="A54" s="191" t="s">
        <v>216</v>
      </c>
      <c r="B54" s="191" t="s">
        <v>217</v>
      </c>
      <c r="C54" s="121" t="s">
        <v>124</v>
      </c>
      <c r="F54" s="9" t="str">
        <f t="shared" si="0"/>
        <v>Over</v>
      </c>
      <c r="I54" s="101">
        <f t="shared" si="1"/>
        <v>9</v>
      </c>
      <c r="J54" s="191">
        <v>7.5</v>
      </c>
      <c r="K54" s="9">
        <v>16.5</v>
      </c>
    </row>
    <row r="55" spans="1:33" hidden="1" x14ac:dyDescent="0.25">
      <c r="A55" s="191" t="s">
        <v>218</v>
      </c>
      <c r="B55" s="191" t="s">
        <v>219</v>
      </c>
      <c r="C55" t="s">
        <v>51</v>
      </c>
      <c r="F55" s="9" t="str">
        <f t="shared" si="0"/>
        <v>Under</v>
      </c>
      <c r="I55" s="101">
        <f t="shared" si="1"/>
        <v>8.5</v>
      </c>
      <c r="J55" s="191">
        <v>25.5</v>
      </c>
      <c r="K55" s="9">
        <v>17</v>
      </c>
    </row>
    <row r="56" spans="1:33" hidden="1" x14ac:dyDescent="0.25">
      <c r="A56" s="191" t="s">
        <v>220</v>
      </c>
      <c r="B56" s="191" t="s">
        <v>221</v>
      </c>
      <c r="C56" s="6" t="s">
        <v>57</v>
      </c>
      <c r="D56" s="5"/>
      <c r="E56" s="5"/>
      <c r="F56" s="9" t="str">
        <f t="shared" si="0"/>
        <v>Under</v>
      </c>
      <c r="G56" s="5"/>
      <c r="H56" s="9"/>
      <c r="I56" s="101">
        <f t="shared" si="1"/>
        <v>8.5</v>
      </c>
      <c r="J56" s="191">
        <v>19.5</v>
      </c>
      <c r="K56" s="187">
        <v>11</v>
      </c>
      <c r="O56"/>
      <c r="AG56" s="52"/>
    </row>
    <row r="57" spans="1:33" hidden="1" x14ac:dyDescent="0.25">
      <c r="A57" s="191" t="s">
        <v>222</v>
      </c>
      <c r="B57" s="191" t="s">
        <v>223</v>
      </c>
      <c r="C57" t="s">
        <v>86</v>
      </c>
      <c r="F57" s="9" t="str">
        <f t="shared" si="0"/>
        <v>Under</v>
      </c>
      <c r="I57" s="101">
        <f t="shared" si="1"/>
        <v>8.5</v>
      </c>
      <c r="J57" s="191">
        <v>16.5</v>
      </c>
      <c r="K57" s="9">
        <v>8</v>
      </c>
    </row>
    <row r="58" spans="1:33" hidden="1" x14ac:dyDescent="0.25">
      <c r="A58" s="191" t="s">
        <v>224</v>
      </c>
      <c r="B58" s="191" t="s">
        <v>215</v>
      </c>
      <c r="C58" t="s">
        <v>75</v>
      </c>
      <c r="F58" s="9" t="str">
        <f t="shared" si="0"/>
        <v>Under</v>
      </c>
      <c r="I58" s="101">
        <f t="shared" si="1"/>
        <v>8.5</v>
      </c>
      <c r="J58" s="191">
        <v>15.5</v>
      </c>
      <c r="K58" s="9">
        <v>7</v>
      </c>
    </row>
    <row r="59" spans="1:33" hidden="1" x14ac:dyDescent="0.25">
      <c r="A59" s="191" t="s">
        <v>225</v>
      </c>
      <c r="B59" s="191" t="s">
        <v>190</v>
      </c>
      <c r="C59" s="111" t="s">
        <v>87</v>
      </c>
      <c r="F59" s="9" t="str">
        <f t="shared" si="0"/>
        <v>Over</v>
      </c>
      <c r="H59" s="9"/>
      <c r="I59" s="101">
        <f t="shared" si="1"/>
        <v>8.5</v>
      </c>
      <c r="J59" s="191">
        <v>8.5</v>
      </c>
      <c r="K59" s="9">
        <v>17</v>
      </c>
    </row>
    <row r="60" spans="1:33" hidden="1" x14ac:dyDescent="0.25">
      <c r="A60" s="191" t="s">
        <v>226</v>
      </c>
      <c r="B60" s="191" t="s">
        <v>227</v>
      </c>
      <c r="C60" s="112" t="s">
        <v>59</v>
      </c>
      <c r="F60" s="9" t="str">
        <f t="shared" si="0"/>
        <v>Over</v>
      </c>
      <c r="H60" s="9"/>
      <c r="I60" s="101">
        <f t="shared" si="1"/>
        <v>8</v>
      </c>
      <c r="J60" s="191">
        <v>9.5</v>
      </c>
      <c r="K60" s="9">
        <v>17.5</v>
      </c>
    </row>
    <row r="61" spans="1:33" hidden="1" x14ac:dyDescent="0.25">
      <c r="A61" s="191" t="s">
        <v>228</v>
      </c>
      <c r="B61" s="191" t="s">
        <v>229</v>
      </c>
      <c r="C61" t="s">
        <v>98</v>
      </c>
      <c r="F61" s="9" t="str">
        <f t="shared" si="0"/>
        <v>Over</v>
      </c>
      <c r="I61" s="101">
        <f t="shared" si="1"/>
        <v>7.5</v>
      </c>
      <c r="J61" s="191">
        <v>22.5</v>
      </c>
      <c r="K61" s="9">
        <v>30</v>
      </c>
    </row>
    <row r="62" spans="1:33" hidden="1" x14ac:dyDescent="0.25">
      <c r="A62" s="191" t="s">
        <v>103</v>
      </c>
      <c r="B62" s="191" t="s">
        <v>230</v>
      </c>
      <c r="C62" s="112" t="s">
        <v>90</v>
      </c>
      <c r="F62" s="9" t="str">
        <f t="shared" si="0"/>
        <v>Under</v>
      </c>
      <c r="I62" s="101">
        <f t="shared" si="1"/>
        <v>7.5</v>
      </c>
      <c r="J62" s="191">
        <v>20.5</v>
      </c>
      <c r="K62" s="9">
        <v>13</v>
      </c>
    </row>
    <row r="63" spans="1:33" hidden="1" x14ac:dyDescent="0.25">
      <c r="A63" s="191" t="s">
        <v>231</v>
      </c>
      <c r="B63" s="191" t="s">
        <v>232</v>
      </c>
      <c r="C63" s="110" t="s">
        <v>58</v>
      </c>
      <c r="F63" s="9" t="str">
        <f t="shared" si="0"/>
        <v>Over</v>
      </c>
      <c r="H63" s="9"/>
      <c r="I63" s="101">
        <f t="shared" si="1"/>
        <v>7.5</v>
      </c>
      <c r="J63" s="191">
        <v>14.5</v>
      </c>
      <c r="K63" s="9">
        <v>22</v>
      </c>
      <c r="W63" s="41"/>
    </row>
    <row r="64" spans="1:33" hidden="1" x14ac:dyDescent="0.25">
      <c r="A64" s="191" t="s">
        <v>233</v>
      </c>
      <c r="B64" s="191" t="s">
        <v>183</v>
      </c>
      <c r="C64" s="11" t="s">
        <v>41</v>
      </c>
      <c r="F64" s="9" t="str">
        <f t="shared" si="0"/>
        <v>Over</v>
      </c>
      <c r="H64" s="9"/>
      <c r="I64" s="101">
        <f t="shared" si="1"/>
        <v>7.5</v>
      </c>
      <c r="J64" s="191">
        <v>14.5</v>
      </c>
      <c r="K64" s="9">
        <v>22</v>
      </c>
      <c r="W64" s="41"/>
    </row>
    <row r="65" spans="1:23" hidden="1" x14ac:dyDescent="0.25">
      <c r="A65" s="191" t="s">
        <v>234</v>
      </c>
      <c r="B65" s="191" t="s">
        <v>235</v>
      </c>
      <c r="C65" s="121" t="s">
        <v>106</v>
      </c>
      <c r="F65" s="9" t="str">
        <f t="shared" si="0"/>
        <v>Under</v>
      </c>
      <c r="I65" s="101">
        <f t="shared" si="1"/>
        <v>7.5</v>
      </c>
      <c r="J65" s="191">
        <v>13.5</v>
      </c>
      <c r="K65" s="9">
        <v>6</v>
      </c>
    </row>
    <row r="66" spans="1:23" hidden="1" x14ac:dyDescent="0.25">
      <c r="A66" s="191" t="s">
        <v>236</v>
      </c>
      <c r="B66" s="191" t="s">
        <v>237</v>
      </c>
      <c r="C66" t="s">
        <v>98</v>
      </c>
      <c r="F66" s="9" t="str">
        <f t="shared" si="0"/>
        <v>Over</v>
      </c>
      <c r="I66" s="101">
        <f t="shared" si="1"/>
        <v>7.5</v>
      </c>
      <c r="J66" s="191">
        <v>12.5</v>
      </c>
      <c r="K66" s="9">
        <v>20</v>
      </c>
    </row>
    <row r="67" spans="1:23" hidden="1" x14ac:dyDescent="0.25">
      <c r="A67" s="191" t="s">
        <v>238</v>
      </c>
      <c r="B67" s="191" t="s">
        <v>239</v>
      </c>
      <c r="C67" t="s">
        <v>52</v>
      </c>
      <c r="F67" s="9" t="str">
        <f t="shared" si="0"/>
        <v>Under</v>
      </c>
      <c r="H67" s="9"/>
      <c r="I67" s="101">
        <f t="shared" si="1"/>
        <v>7.1999999999999993</v>
      </c>
      <c r="J67" s="191">
        <v>16.5</v>
      </c>
      <c r="K67" s="9">
        <v>9.3000000000000007</v>
      </c>
    </row>
    <row r="68" spans="1:23" hidden="1" x14ac:dyDescent="0.25">
      <c r="A68" s="191" t="s">
        <v>240</v>
      </c>
      <c r="B68" s="191" t="s">
        <v>241</v>
      </c>
      <c r="C68" s="120" t="s">
        <v>43</v>
      </c>
      <c r="F68" s="9" t="str">
        <f t="shared" si="0"/>
        <v>Under</v>
      </c>
      <c r="H68" s="9"/>
      <c r="I68" s="101">
        <f t="shared" si="1"/>
        <v>7</v>
      </c>
      <c r="J68" s="191">
        <v>11.5</v>
      </c>
      <c r="K68" s="9">
        <v>4.5</v>
      </c>
    </row>
    <row r="69" spans="1:23" hidden="1" x14ac:dyDescent="0.25">
      <c r="A69" s="191" t="s">
        <v>242</v>
      </c>
      <c r="B69" s="191" t="s">
        <v>243</v>
      </c>
      <c r="C69" s="7" t="s">
        <v>115</v>
      </c>
      <c r="F69" s="9" t="str">
        <f t="shared" ref="F69:F100" si="2">IF(J69 - K69 &gt; 0, "Under", "Over")</f>
        <v>Over</v>
      </c>
      <c r="I69" s="101">
        <f t="shared" ref="I69:I100" si="3">ABS(K69-J69)</f>
        <v>7</v>
      </c>
      <c r="J69" s="191">
        <v>10.5</v>
      </c>
      <c r="K69" s="9">
        <v>17.5</v>
      </c>
    </row>
    <row r="70" spans="1:23" hidden="1" x14ac:dyDescent="0.25">
      <c r="A70" s="191" t="s">
        <v>244</v>
      </c>
      <c r="B70" s="191" t="s">
        <v>210</v>
      </c>
      <c r="C70" s="112" t="s">
        <v>87</v>
      </c>
      <c r="F70" s="9" t="str">
        <f t="shared" si="2"/>
        <v>Under</v>
      </c>
      <c r="I70" s="101">
        <f t="shared" si="3"/>
        <v>7</v>
      </c>
      <c r="J70" s="191">
        <v>10.5</v>
      </c>
      <c r="K70" s="9">
        <v>3.5</v>
      </c>
    </row>
    <row r="71" spans="1:23" hidden="1" x14ac:dyDescent="0.25">
      <c r="A71" s="191" t="s">
        <v>245</v>
      </c>
      <c r="B71" s="191" t="s">
        <v>183</v>
      </c>
      <c r="C71" s="11" t="s">
        <v>41</v>
      </c>
      <c r="F71" s="9" t="str">
        <f t="shared" si="2"/>
        <v>Over</v>
      </c>
      <c r="H71" s="9"/>
      <c r="I71" s="101">
        <f t="shared" si="3"/>
        <v>7</v>
      </c>
      <c r="J71" s="191">
        <v>7.5</v>
      </c>
      <c r="K71" s="9">
        <v>14.5</v>
      </c>
      <c r="W71" s="41"/>
    </row>
    <row r="72" spans="1:23" hidden="1" x14ac:dyDescent="0.25">
      <c r="A72" s="191" t="s">
        <v>130</v>
      </c>
      <c r="B72" s="191" t="s">
        <v>208</v>
      </c>
      <c r="C72" s="120" t="s">
        <v>43</v>
      </c>
      <c r="F72" s="9" t="str">
        <f t="shared" si="2"/>
        <v>Under</v>
      </c>
      <c r="H72" s="9"/>
      <c r="I72" s="101">
        <f t="shared" si="3"/>
        <v>6.8000000000000007</v>
      </c>
      <c r="J72" s="191">
        <v>24.5</v>
      </c>
      <c r="K72" s="9">
        <v>17.7</v>
      </c>
    </row>
    <row r="73" spans="1:23" hidden="1" x14ac:dyDescent="0.25">
      <c r="A73" s="191" t="s">
        <v>246</v>
      </c>
      <c r="B73" s="191" t="s">
        <v>247</v>
      </c>
      <c r="C73" s="121" t="s">
        <v>114</v>
      </c>
      <c r="F73" s="9" t="str">
        <f t="shared" si="2"/>
        <v>Under</v>
      </c>
      <c r="I73" s="101">
        <f t="shared" si="3"/>
        <v>6.8000000000000007</v>
      </c>
      <c r="J73" s="191">
        <v>18.5</v>
      </c>
      <c r="K73" s="9">
        <v>11.7</v>
      </c>
    </row>
    <row r="74" spans="1:23" hidden="1" x14ac:dyDescent="0.25">
      <c r="A74" s="191" t="s">
        <v>248</v>
      </c>
      <c r="B74" s="191" t="s">
        <v>249</v>
      </c>
      <c r="C74" s="6" t="s">
        <v>57</v>
      </c>
      <c r="F74" s="9" t="str">
        <f t="shared" si="2"/>
        <v>Under</v>
      </c>
      <c r="H74" s="9"/>
      <c r="I74" s="101">
        <f t="shared" si="3"/>
        <v>6.5</v>
      </c>
      <c r="J74" s="191">
        <v>20.5</v>
      </c>
      <c r="K74" s="9">
        <v>14</v>
      </c>
      <c r="W74" s="41"/>
    </row>
    <row r="75" spans="1:23" hidden="1" x14ac:dyDescent="0.25">
      <c r="A75" s="191" t="s">
        <v>135</v>
      </c>
      <c r="B75" s="191" t="s">
        <v>250</v>
      </c>
      <c r="C75" t="s">
        <v>67</v>
      </c>
      <c r="F75" s="9" t="str">
        <f t="shared" si="2"/>
        <v>Under</v>
      </c>
      <c r="I75" s="101">
        <f t="shared" si="3"/>
        <v>6.5</v>
      </c>
      <c r="J75" s="191">
        <v>14.5</v>
      </c>
      <c r="K75" s="9">
        <v>8</v>
      </c>
    </row>
    <row r="76" spans="1:23" hidden="1" x14ac:dyDescent="0.25">
      <c r="A76" s="191" t="s">
        <v>251</v>
      </c>
      <c r="B76" s="191" t="s">
        <v>205</v>
      </c>
      <c r="C76" s="121" t="s">
        <v>119</v>
      </c>
      <c r="F76" s="9" t="str">
        <f t="shared" si="2"/>
        <v>Under</v>
      </c>
      <c r="I76" s="101">
        <f t="shared" si="3"/>
        <v>6.5</v>
      </c>
      <c r="J76" s="191">
        <v>10.5</v>
      </c>
      <c r="K76" s="9">
        <v>4</v>
      </c>
    </row>
    <row r="77" spans="1:23" hidden="1" x14ac:dyDescent="0.25">
      <c r="A77" s="191" t="s">
        <v>252</v>
      </c>
      <c r="B77" s="191" t="s">
        <v>241</v>
      </c>
      <c r="C77" s="111" t="s">
        <v>43</v>
      </c>
      <c r="F77" s="9" t="str">
        <f t="shared" si="2"/>
        <v>Under</v>
      </c>
      <c r="H77" s="9"/>
      <c r="I77" s="101">
        <f t="shared" si="3"/>
        <v>6.2</v>
      </c>
      <c r="J77" s="191">
        <v>13.5</v>
      </c>
      <c r="K77" s="9">
        <v>7.3</v>
      </c>
    </row>
    <row r="78" spans="1:23" hidden="1" x14ac:dyDescent="0.25">
      <c r="A78" s="191" t="s">
        <v>253</v>
      </c>
      <c r="B78" s="191" t="s">
        <v>254</v>
      </c>
      <c r="C78" s="121" t="s">
        <v>124</v>
      </c>
      <c r="F78" s="9" t="str">
        <f t="shared" si="2"/>
        <v>Under</v>
      </c>
      <c r="I78" s="101">
        <f t="shared" si="3"/>
        <v>6</v>
      </c>
      <c r="J78" s="8">
        <v>30.5</v>
      </c>
      <c r="K78" s="9">
        <v>24.5</v>
      </c>
    </row>
    <row r="79" spans="1:23" hidden="1" x14ac:dyDescent="0.25">
      <c r="A79" s="191" t="s">
        <v>255</v>
      </c>
      <c r="B79" s="191" t="s">
        <v>217</v>
      </c>
      <c r="C79" s="121" t="s">
        <v>124</v>
      </c>
      <c r="F79" s="9" t="str">
        <f t="shared" si="2"/>
        <v>Under</v>
      </c>
      <c r="I79" s="101">
        <f t="shared" si="3"/>
        <v>6</v>
      </c>
      <c r="J79" s="191">
        <v>24.5</v>
      </c>
      <c r="K79" s="9">
        <v>18.5</v>
      </c>
    </row>
    <row r="80" spans="1:23" hidden="1" x14ac:dyDescent="0.25">
      <c r="A80" s="191" t="s">
        <v>256</v>
      </c>
      <c r="B80" s="191" t="s">
        <v>257</v>
      </c>
      <c r="C80" s="112" t="s">
        <v>59</v>
      </c>
      <c r="F80" s="9" t="str">
        <f t="shared" si="2"/>
        <v>Over</v>
      </c>
      <c r="H80" s="9"/>
      <c r="I80" s="101">
        <f t="shared" si="3"/>
        <v>5.8000000000000007</v>
      </c>
      <c r="J80" s="191">
        <v>9</v>
      </c>
      <c r="K80" s="9">
        <v>14.8</v>
      </c>
    </row>
    <row r="81" spans="1:24" hidden="1" x14ac:dyDescent="0.25">
      <c r="A81" s="191" t="s">
        <v>258</v>
      </c>
      <c r="B81" s="191" t="s">
        <v>221</v>
      </c>
      <c r="C81" s="6" t="s">
        <v>57</v>
      </c>
      <c r="F81" s="9" t="str">
        <f t="shared" si="2"/>
        <v>Over</v>
      </c>
      <c r="H81" s="9"/>
      <c r="I81" s="101">
        <f t="shared" si="3"/>
        <v>5.5</v>
      </c>
      <c r="J81" s="191">
        <v>24.5</v>
      </c>
      <c r="K81" s="9">
        <v>30</v>
      </c>
      <c r="L81" s="52"/>
      <c r="M81" s="65"/>
      <c r="N81" s="8"/>
      <c r="O81" s="52"/>
      <c r="Q81" s="8"/>
      <c r="R81" s="8"/>
    </row>
    <row r="82" spans="1:24" hidden="1" x14ac:dyDescent="0.25">
      <c r="A82" s="191" t="s">
        <v>259</v>
      </c>
      <c r="B82" s="191" t="s">
        <v>201</v>
      </c>
      <c r="C82" t="s">
        <v>86</v>
      </c>
      <c r="F82" s="9" t="str">
        <f t="shared" si="2"/>
        <v>Under</v>
      </c>
      <c r="I82" s="101">
        <f t="shared" si="3"/>
        <v>5.5</v>
      </c>
      <c r="J82" s="191">
        <v>17.5</v>
      </c>
      <c r="K82" s="9">
        <v>12</v>
      </c>
    </row>
    <row r="83" spans="1:24" hidden="1" x14ac:dyDescent="0.25">
      <c r="A83" s="191" t="s">
        <v>260</v>
      </c>
      <c r="B83" s="191" t="s">
        <v>261</v>
      </c>
      <c r="C83" t="s">
        <v>67</v>
      </c>
      <c r="F83" s="9" t="str">
        <f t="shared" si="2"/>
        <v>Under</v>
      </c>
      <c r="I83" s="101">
        <f t="shared" si="3"/>
        <v>5.5</v>
      </c>
      <c r="J83" s="191">
        <v>16.5</v>
      </c>
      <c r="K83" s="9">
        <v>11</v>
      </c>
    </row>
    <row r="84" spans="1:24" hidden="1" x14ac:dyDescent="0.25">
      <c r="A84" s="191" t="s">
        <v>262</v>
      </c>
      <c r="B84" s="191" t="s">
        <v>221</v>
      </c>
      <c r="C84" s="6" t="s">
        <v>57</v>
      </c>
      <c r="F84" s="9" t="str">
        <f t="shared" si="2"/>
        <v>Under</v>
      </c>
      <c r="H84" s="9"/>
      <c r="I84" s="101">
        <f t="shared" si="3"/>
        <v>5.5</v>
      </c>
      <c r="J84" s="191">
        <v>12.5</v>
      </c>
      <c r="K84" s="9">
        <v>7</v>
      </c>
    </row>
    <row r="85" spans="1:24" hidden="1" x14ac:dyDescent="0.25">
      <c r="A85" s="191" t="s">
        <v>263</v>
      </c>
      <c r="B85" s="191" t="s">
        <v>264</v>
      </c>
      <c r="C85" s="107" t="s">
        <v>41</v>
      </c>
      <c r="F85" s="9" t="str">
        <f t="shared" si="2"/>
        <v>Over</v>
      </c>
      <c r="H85" s="9"/>
      <c r="I85" s="101">
        <f t="shared" si="3"/>
        <v>5.5</v>
      </c>
      <c r="J85" s="191">
        <v>11.5</v>
      </c>
      <c r="K85" s="9">
        <v>17</v>
      </c>
      <c r="L85" s="52"/>
      <c r="O85" s="52"/>
      <c r="Q85" s="8"/>
      <c r="T85" s="38"/>
      <c r="W85" s="9"/>
      <c r="X85" s="117"/>
    </row>
    <row r="86" spans="1:24" hidden="1" x14ac:dyDescent="0.25">
      <c r="A86" s="191" t="s">
        <v>112</v>
      </c>
      <c r="B86" s="191" t="s">
        <v>265</v>
      </c>
      <c r="C86" s="112" t="s">
        <v>59</v>
      </c>
      <c r="F86" s="9" t="str">
        <f t="shared" si="2"/>
        <v>Over</v>
      </c>
      <c r="H86" s="9"/>
      <c r="I86" s="101">
        <f t="shared" si="3"/>
        <v>5</v>
      </c>
      <c r="J86" s="191">
        <v>25.5</v>
      </c>
      <c r="K86" s="9">
        <v>30.5</v>
      </c>
      <c r="O86" s="52"/>
      <c r="Q86" s="8"/>
    </row>
    <row r="87" spans="1:24" hidden="1" x14ac:dyDescent="0.25">
      <c r="A87" s="191" t="s">
        <v>266</v>
      </c>
      <c r="B87" s="191" t="s">
        <v>243</v>
      </c>
      <c r="C87" s="7" t="s">
        <v>115</v>
      </c>
      <c r="F87" s="9" t="str">
        <f t="shared" si="2"/>
        <v>Under</v>
      </c>
      <c r="I87" s="101">
        <f t="shared" si="3"/>
        <v>5</v>
      </c>
      <c r="J87" s="191">
        <v>25.5</v>
      </c>
      <c r="K87" s="9">
        <v>20.5</v>
      </c>
    </row>
    <row r="88" spans="1:24" hidden="1" x14ac:dyDescent="0.25">
      <c r="A88" s="191" t="s">
        <v>155</v>
      </c>
      <c r="B88" s="191" t="s">
        <v>267</v>
      </c>
      <c r="C88" s="121" t="s">
        <v>99</v>
      </c>
      <c r="F88" s="9" t="str">
        <f t="shared" si="2"/>
        <v>Under</v>
      </c>
      <c r="I88" s="101">
        <f t="shared" si="3"/>
        <v>5</v>
      </c>
      <c r="J88" s="191">
        <v>24.5</v>
      </c>
      <c r="K88" s="9">
        <v>19.5</v>
      </c>
    </row>
    <row r="89" spans="1:24" hidden="1" x14ac:dyDescent="0.25">
      <c r="A89" s="191" t="s">
        <v>268</v>
      </c>
      <c r="B89" s="191" t="s">
        <v>269</v>
      </c>
      <c r="C89" s="110" t="s">
        <v>58</v>
      </c>
      <c r="F89" s="9" t="str">
        <f t="shared" si="2"/>
        <v>Under</v>
      </c>
      <c r="H89" s="9"/>
      <c r="I89" s="101">
        <f t="shared" si="3"/>
        <v>4.8000000000000007</v>
      </c>
      <c r="J89" s="191">
        <v>13.5</v>
      </c>
      <c r="K89" s="9">
        <v>8.6999999999999993</v>
      </c>
      <c r="O89"/>
      <c r="Q89" s="8"/>
      <c r="W89" s="41"/>
    </row>
    <row r="90" spans="1:24" hidden="1" x14ac:dyDescent="0.25">
      <c r="A90" s="191" t="s">
        <v>120</v>
      </c>
      <c r="B90" s="191" t="s">
        <v>270</v>
      </c>
      <c r="C90" s="121" t="s">
        <v>119</v>
      </c>
      <c r="F90" s="9" t="str">
        <f t="shared" si="2"/>
        <v>Under</v>
      </c>
      <c r="I90" s="101">
        <f t="shared" si="3"/>
        <v>4.5</v>
      </c>
      <c r="J90" s="191">
        <v>24.5</v>
      </c>
      <c r="K90" s="9">
        <v>20</v>
      </c>
    </row>
    <row r="91" spans="1:24" hidden="1" x14ac:dyDescent="0.25">
      <c r="A91" s="191" t="s">
        <v>271</v>
      </c>
      <c r="B91" s="191" t="s">
        <v>272</v>
      </c>
      <c r="C91" t="s">
        <v>67</v>
      </c>
      <c r="F91" s="9" t="str">
        <f t="shared" si="2"/>
        <v>Under</v>
      </c>
      <c r="I91" s="101">
        <f t="shared" si="3"/>
        <v>4.5</v>
      </c>
      <c r="J91" s="191">
        <v>16.5</v>
      </c>
      <c r="K91" s="9">
        <v>12</v>
      </c>
    </row>
    <row r="92" spans="1:24" hidden="1" x14ac:dyDescent="0.25">
      <c r="A92" s="191" t="s">
        <v>273</v>
      </c>
      <c r="B92" s="191" t="s">
        <v>274</v>
      </c>
      <c r="C92" s="121" t="s">
        <v>99</v>
      </c>
      <c r="F92" s="9" t="str">
        <f t="shared" si="2"/>
        <v>Under</v>
      </c>
      <c r="I92" s="101">
        <f t="shared" si="3"/>
        <v>4.5</v>
      </c>
      <c r="J92" s="191">
        <v>11.5</v>
      </c>
      <c r="K92" s="9">
        <v>7</v>
      </c>
    </row>
    <row r="93" spans="1:24" x14ac:dyDescent="0.25">
      <c r="A93" s="191" t="s">
        <v>275</v>
      </c>
      <c r="B93" s="191" t="s">
        <v>276</v>
      </c>
      <c r="C93" s="6" t="s">
        <v>40</v>
      </c>
      <c r="F93" s="9" t="str">
        <f t="shared" si="2"/>
        <v>Over</v>
      </c>
      <c r="H93" s="9"/>
      <c r="I93" s="101">
        <f t="shared" si="3"/>
        <v>4.5</v>
      </c>
      <c r="J93" s="191">
        <v>10.5</v>
      </c>
      <c r="K93" s="9">
        <v>15</v>
      </c>
      <c r="L93" t="s">
        <v>206</v>
      </c>
      <c r="T93" s="38"/>
      <c r="W93" s="9"/>
      <c r="X93" s="117"/>
    </row>
    <row r="94" spans="1:24" hidden="1" x14ac:dyDescent="0.25">
      <c r="A94" s="191" t="s">
        <v>277</v>
      </c>
      <c r="B94" s="191" t="s">
        <v>195</v>
      </c>
      <c r="C94" s="121" t="s">
        <v>99</v>
      </c>
      <c r="F94" s="9" t="str">
        <f t="shared" si="2"/>
        <v>Under</v>
      </c>
      <c r="I94" s="101">
        <f t="shared" si="3"/>
        <v>4.5</v>
      </c>
      <c r="J94" s="191">
        <v>8</v>
      </c>
      <c r="K94" s="9">
        <v>3.5</v>
      </c>
    </row>
    <row r="95" spans="1:24" hidden="1" x14ac:dyDescent="0.25">
      <c r="A95" s="191" t="s">
        <v>278</v>
      </c>
      <c r="B95" s="191" t="s">
        <v>279</v>
      </c>
      <c r="C95" t="s">
        <v>67</v>
      </c>
      <c r="F95" s="9" t="str">
        <f t="shared" si="2"/>
        <v>Over</v>
      </c>
      <c r="I95" s="101">
        <f t="shared" si="3"/>
        <v>4.2999999999999972</v>
      </c>
      <c r="J95" s="191">
        <v>32.5</v>
      </c>
      <c r="K95" s="9">
        <v>36.799999999999997</v>
      </c>
    </row>
    <row r="96" spans="1:24" hidden="1" x14ac:dyDescent="0.25">
      <c r="A96" s="191" t="s">
        <v>280</v>
      </c>
      <c r="B96" s="191" t="s">
        <v>281</v>
      </c>
      <c r="C96" s="122" t="s">
        <v>49</v>
      </c>
      <c r="F96" s="9" t="str">
        <f t="shared" si="2"/>
        <v>Over</v>
      </c>
      <c r="H96" s="9"/>
      <c r="I96" s="101">
        <f t="shared" si="3"/>
        <v>4.1999999999999993</v>
      </c>
      <c r="J96" s="191">
        <v>18.5</v>
      </c>
      <c r="K96" s="9">
        <v>22.7</v>
      </c>
      <c r="T96" s="38"/>
      <c r="W96" s="9"/>
      <c r="X96" s="117"/>
    </row>
    <row r="97" spans="1:24" hidden="1" x14ac:dyDescent="0.25">
      <c r="A97" s="191" t="s">
        <v>282</v>
      </c>
      <c r="B97" s="191" t="s">
        <v>283</v>
      </c>
      <c r="C97" s="121" t="s">
        <v>119</v>
      </c>
      <c r="F97" s="9" t="str">
        <f t="shared" si="2"/>
        <v>Over</v>
      </c>
      <c r="I97" s="101">
        <f t="shared" si="3"/>
        <v>4</v>
      </c>
      <c r="J97" s="191">
        <v>19.5</v>
      </c>
      <c r="K97" s="9">
        <v>23.5</v>
      </c>
    </row>
    <row r="98" spans="1:24" hidden="1" x14ac:dyDescent="0.25">
      <c r="A98" s="191" t="s">
        <v>284</v>
      </c>
      <c r="B98" s="191" t="s">
        <v>285</v>
      </c>
      <c r="C98" t="s">
        <v>41</v>
      </c>
      <c r="F98" s="9" t="str">
        <f t="shared" si="2"/>
        <v>Over</v>
      </c>
      <c r="H98" s="9"/>
      <c r="I98" s="101">
        <f t="shared" si="3"/>
        <v>4</v>
      </c>
      <c r="J98" s="191">
        <v>9.5</v>
      </c>
      <c r="K98" s="9">
        <v>13.5</v>
      </c>
      <c r="O98" s="52"/>
      <c r="Q98" s="8"/>
      <c r="W98" s="41"/>
    </row>
    <row r="99" spans="1:24" hidden="1" x14ac:dyDescent="0.25">
      <c r="A99" s="191" t="s">
        <v>110</v>
      </c>
      <c r="B99" s="191" t="s">
        <v>269</v>
      </c>
      <c r="C99" s="110" t="s">
        <v>58</v>
      </c>
      <c r="F99" s="9" t="str">
        <f t="shared" si="2"/>
        <v>Over</v>
      </c>
      <c r="H99" s="9"/>
      <c r="I99" s="101">
        <f t="shared" si="3"/>
        <v>3.5</v>
      </c>
      <c r="J99" s="191">
        <v>24.5</v>
      </c>
      <c r="K99" s="9">
        <v>28</v>
      </c>
      <c r="O99" s="52"/>
      <c r="Q99" s="8"/>
      <c r="W99" s="41"/>
    </row>
    <row r="100" spans="1:24" hidden="1" x14ac:dyDescent="0.25">
      <c r="A100" s="191" t="s">
        <v>162</v>
      </c>
      <c r="B100" s="191" t="s">
        <v>286</v>
      </c>
      <c r="C100" t="s">
        <v>86</v>
      </c>
      <c r="F100" s="9" t="str">
        <f t="shared" si="2"/>
        <v>Under</v>
      </c>
      <c r="I100" s="101">
        <f t="shared" si="3"/>
        <v>3.5</v>
      </c>
      <c r="J100" s="191">
        <v>22.5</v>
      </c>
      <c r="K100" s="9">
        <v>19</v>
      </c>
    </row>
    <row r="101" spans="1:24" hidden="1" x14ac:dyDescent="0.25">
      <c r="A101" s="191" t="s">
        <v>132</v>
      </c>
      <c r="B101" s="191" t="s">
        <v>287</v>
      </c>
      <c r="C101" s="112" t="s">
        <v>87</v>
      </c>
      <c r="F101" s="9" t="str">
        <f t="shared" ref="F101:F132" si="4">IF(J101 - K101 &gt; 0, "Under", "Over")</f>
        <v>Over</v>
      </c>
      <c r="H101" s="9"/>
      <c r="I101" s="101">
        <f t="shared" ref="I101:I132" si="5">ABS(K101-J101)</f>
        <v>3.5</v>
      </c>
      <c r="J101" s="191">
        <v>19.5</v>
      </c>
      <c r="K101" s="9">
        <v>23</v>
      </c>
      <c r="O101"/>
      <c r="Q101" s="8"/>
    </row>
    <row r="102" spans="1:24" hidden="1" x14ac:dyDescent="0.25">
      <c r="A102" s="191" t="s">
        <v>288</v>
      </c>
      <c r="B102" s="191" t="s">
        <v>243</v>
      </c>
      <c r="C102" s="7" t="s">
        <v>115</v>
      </c>
      <c r="F102" s="9" t="str">
        <f t="shared" si="4"/>
        <v>Over</v>
      </c>
      <c r="I102" s="101">
        <f t="shared" si="5"/>
        <v>3.5</v>
      </c>
      <c r="J102" s="191">
        <v>14.5</v>
      </c>
      <c r="K102" s="9">
        <v>18</v>
      </c>
    </row>
    <row r="103" spans="1:24" hidden="1" x14ac:dyDescent="0.25">
      <c r="A103" s="191" t="s">
        <v>96</v>
      </c>
      <c r="B103" s="191" t="s">
        <v>289</v>
      </c>
      <c r="C103" s="11" t="s">
        <v>40</v>
      </c>
      <c r="F103" s="9" t="str">
        <f t="shared" si="4"/>
        <v>Under</v>
      </c>
      <c r="H103" s="9"/>
      <c r="I103" s="101">
        <f t="shared" si="5"/>
        <v>3.5</v>
      </c>
      <c r="J103" s="191">
        <v>13.5</v>
      </c>
      <c r="K103" s="9">
        <v>10</v>
      </c>
      <c r="T103" s="38"/>
      <c r="W103" s="9"/>
      <c r="X103" s="117"/>
    </row>
    <row r="104" spans="1:24" hidden="1" x14ac:dyDescent="0.25">
      <c r="A104" s="191" t="s">
        <v>290</v>
      </c>
      <c r="B104" s="191" t="s">
        <v>276</v>
      </c>
      <c r="C104" t="s">
        <v>40</v>
      </c>
      <c r="F104" s="9" t="str">
        <f t="shared" si="4"/>
        <v>Under</v>
      </c>
      <c r="H104" s="9"/>
      <c r="I104" s="101">
        <f t="shared" si="5"/>
        <v>3.5</v>
      </c>
      <c r="J104" s="191">
        <v>11.5</v>
      </c>
      <c r="K104" s="9">
        <v>8</v>
      </c>
    </row>
    <row r="105" spans="1:24" hidden="1" x14ac:dyDescent="0.25">
      <c r="A105" s="191" t="s">
        <v>291</v>
      </c>
      <c r="B105" s="191" t="s">
        <v>292</v>
      </c>
      <c r="C105" t="s">
        <v>98</v>
      </c>
      <c r="F105" s="9" t="str">
        <f t="shared" si="4"/>
        <v>Under</v>
      </c>
      <c r="I105" s="101">
        <f t="shared" si="5"/>
        <v>3.5</v>
      </c>
      <c r="J105" s="191">
        <v>10.5</v>
      </c>
      <c r="K105" s="9">
        <v>7</v>
      </c>
    </row>
    <row r="106" spans="1:24" hidden="1" x14ac:dyDescent="0.25">
      <c r="A106" s="191" t="s">
        <v>293</v>
      </c>
      <c r="B106" s="191" t="s">
        <v>294</v>
      </c>
      <c r="C106" s="121" t="s">
        <v>124</v>
      </c>
      <c r="F106" s="9" t="str">
        <f t="shared" si="4"/>
        <v>Under</v>
      </c>
      <c r="I106" s="101">
        <f t="shared" si="5"/>
        <v>3.5</v>
      </c>
      <c r="J106" s="191">
        <v>6</v>
      </c>
      <c r="K106" s="9">
        <v>2.5</v>
      </c>
    </row>
    <row r="107" spans="1:24" hidden="1" x14ac:dyDescent="0.25">
      <c r="A107" s="191" t="s">
        <v>295</v>
      </c>
      <c r="B107" s="191" t="s">
        <v>190</v>
      </c>
      <c r="C107" s="120" t="s">
        <v>87</v>
      </c>
      <c r="F107" s="9" t="str">
        <f t="shared" si="4"/>
        <v>Under</v>
      </c>
      <c r="H107" s="9"/>
      <c r="I107" s="101">
        <f t="shared" si="5"/>
        <v>3.5</v>
      </c>
      <c r="J107" s="191">
        <v>5.5</v>
      </c>
      <c r="K107" s="9">
        <v>2</v>
      </c>
      <c r="L107" s="52"/>
      <c r="M107" s="65"/>
      <c r="N107" s="8"/>
      <c r="O107" s="52"/>
      <c r="Q107" s="8"/>
      <c r="R107" s="8"/>
    </row>
    <row r="108" spans="1:24" hidden="1" x14ac:dyDescent="0.25">
      <c r="A108" s="191" t="s">
        <v>296</v>
      </c>
      <c r="B108" s="191" t="s">
        <v>297</v>
      </c>
      <c r="C108" s="10" t="s">
        <v>41</v>
      </c>
      <c r="F108" s="9" t="str">
        <f t="shared" si="4"/>
        <v>Over</v>
      </c>
      <c r="H108" s="9"/>
      <c r="I108" s="101">
        <f t="shared" si="5"/>
        <v>3.4000000000000004</v>
      </c>
      <c r="J108" s="191">
        <v>11.5</v>
      </c>
      <c r="K108" s="9">
        <v>14.9</v>
      </c>
      <c r="W108" s="41"/>
    </row>
    <row r="109" spans="1:24" hidden="1" x14ac:dyDescent="0.25">
      <c r="A109" s="191" t="s">
        <v>298</v>
      </c>
      <c r="B109" s="191" t="s">
        <v>232</v>
      </c>
      <c r="C109" s="110" t="s">
        <v>58</v>
      </c>
      <c r="F109" s="9" t="str">
        <f t="shared" si="4"/>
        <v>Over</v>
      </c>
      <c r="H109" s="9"/>
      <c r="I109" s="101">
        <f t="shared" si="5"/>
        <v>3.3000000000000007</v>
      </c>
      <c r="J109" s="191">
        <v>9.5</v>
      </c>
      <c r="K109" s="9">
        <v>12.8</v>
      </c>
      <c r="W109" s="41"/>
    </row>
    <row r="110" spans="1:24" hidden="1" x14ac:dyDescent="0.25">
      <c r="A110" s="191" t="s">
        <v>299</v>
      </c>
      <c r="B110" s="191" t="s">
        <v>300</v>
      </c>
      <c r="C110" s="112" t="s">
        <v>87</v>
      </c>
      <c r="F110" s="9" t="str">
        <f t="shared" si="4"/>
        <v>Under</v>
      </c>
      <c r="I110" s="101">
        <f t="shared" si="5"/>
        <v>3.2</v>
      </c>
      <c r="J110" s="191">
        <v>7.5</v>
      </c>
      <c r="K110" s="9">
        <v>4.3</v>
      </c>
    </row>
    <row r="111" spans="1:24" hidden="1" x14ac:dyDescent="0.25">
      <c r="A111" s="191" t="s">
        <v>301</v>
      </c>
      <c r="B111" s="191" t="s">
        <v>195</v>
      </c>
      <c r="C111" s="121" t="s">
        <v>99</v>
      </c>
      <c r="F111" s="9" t="str">
        <f t="shared" si="4"/>
        <v>Over</v>
      </c>
      <c r="I111" s="101">
        <f t="shared" si="5"/>
        <v>3.1999999999999993</v>
      </c>
      <c r="J111" s="191">
        <v>26.5</v>
      </c>
      <c r="K111" s="9">
        <v>29.7</v>
      </c>
    </row>
    <row r="112" spans="1:24" hidden="1" x14ac:dyDescent="0.25">
      <c r="A112" s="191" t="s">
        <v>302</v>
      </c>
      <c r="B112" s="191" t="s">
        <v>303</v>
      </c>
      <c r="C112" t="s">
        <v>52</v>
      </c>
      <c r="F112" s="9" t="str">
        <f t="shared" si="4"/>
        <v>Under</v>
      </c>
      <c r="H112" s="9"/>
      <c r="I112" s="101">
        <f t="shared" si="5"/>
        <v>3.1999999999999993</v>
      </c>
      <c r="J112" s="191">
        <v>14.5</v>
      </c>
      <c r="K112" s="9">
        <v>11.3</v>
      </c>
      <c r="O112"/>
      <c r="Q112" s="8"/>
    </row>
    <row r="113" spans="1:26" hidden="1" x14ac:dyDescent="0.25">
      <c r="A113" s="191" t="s">
        <v>304</v>
      </c>
      <c r="B113" s="191" t="s">
        <v>193</v>
      </c>
      <c r="C113" s="121" t="s">
        <v>124</v>
      </c>
      <c r="F113" s="9" t="str">
        <f t="shared" si="4"/>
        <v>Under</v>
      </c>
      <c r="I113" s="101">
        <f t="shared" si="5"/>
        <v>3</v>
      </c>
      <c r="J113" s="191">
        <v>19.5</v>
      </c>
      <c r="K113" s="9">
        <v>16.5</v>
      </c>
    </row>
    <row r="114" spans="1:26" hidden="1" x14ac:dyDescent="0.25">
      <c r="A114" s="191" t="s">
        <v>305</v>
      </c>
      <c r="B114" s="191" t="s">
        <v>227</v>
      </c>
      <c r="C114" s="112" t="s">
        <v>59</v>
      </c>
      <c r="F114" s="9" t="str">
        <f t="shared" si="4"/>
        <v>Over</v>
      </c>
      <c r="H114" s="9"/>
      <c r="I114" s="101">
        <f t="shared" si="5"/>
        <v>3</v>
      </c>
      <c r="J114" s="191">
        <v>10.5</v>
      </c>
      <c r="K114" s="9">
        <v>13.5</v>
      </c>
      <c r="L114" s="52"/>
      <c r="M114" s="65"/>
      <c r="N114" s="8"/>
      <c r="O114" s="52"/>
      <c r="Q114" s="8"/>
      <c r="R114" s="8"/>
    </row>
    <row r="115" spans="1:26" hidden="1" x14ac:dyDescent="0.25">
      <c r="A115" s="191" t="s">
        <v>306</v>
      </c>
      <c r="B115" s="191" t="s">
        <v>232</v>
      </c>
      <c r="C115" s="110" t="s">
        <v>58</v>
      </c>
      <c r="F115" s="9" t="str">
        <f t="shared" si="4"/>
        <v>Over</v>
      </c>
      <c r="H115" s="9"/>
      <c r="I115" s="101">
        <f t="shared" si="5"/>
        <v>3</v>
      </c>
      <c r="J115" s="191">
        <v>7</v>
      </c>
      <c r="K115" s="9">
        <v>10</v>
      </c>
      <c r="W115" s="41"/>
    </row>
    <row r="116" spans="1:26" hidden="1" x14ac:dyDescent="0.25">
      <c r="A116" s="191" t="s">
        <v>307</v>
      </c>
      <c r="B116" s="191" t="s">
        <v>285</v>
      </c>
      <c r="C116" s="6" t="s">
        <v>41</v>
      </c>
      <c r="F116" s="9" t="str">
        <f t="shared" si="4"/>
        <v>Over</v>
      </c>
      <c r="H116" s="9"/>
      <c r="I116" s="101">
        <f t="shared" si="5"/>
        <v>2.9000000000000004</v>
      </c>
      <c r="J116" s="191">
        <v>9.5</v>
      </c>
      <c r="K116" s="9">
        <v>12.4</v>
      </c>
      <c r="W116" s="41"/>
      <c r="Z116" s="5"/>
    </row>
    <row r="117" spans="1:26" hidden="1" x14ac:dyDescent="0.25">
      <c r="A117" s="191" t="s">
        <v>308</v>
      </c>
      <c r="B117" s="191" t="s">
        <v>309</v>
      </c>
      <c r="C117" s="112" t="s">
        <v>59</v>
      </c>
      <c r="F117" s="9" t="str">
        <f t="shared" si="4"/>
        <v>Over</v>
      </c>
      <c r="H117" s="9"/>
      <c r="I117" s="101">
        <f t="shared" si="5"/>
        <v>2.8000000000000007</v>
      </c>
      <c r="J117" s="191">
        <v>18</v>
      </c>
      <c r="K117" s="9">
        <v>20.8</v>
      </c>
    </row>
    <row r="118" spans="1:26" hidden="1" x14ac:dyDescent="0.25">
      <c r="A118" s="191" t="s">
        <v>310</v>
      </c>
      <c r="B118" s="191" t="s">
        <v>272</v>
      </c>
      <c r="C118" t="s">
        <v>67</v>
      </c>
      <c r="F118" s="9" t="str">
        <f t="shared" si="4"/>
        <v>Under</v>
      </c>
      <c r="I118" s="101">
        <f t="shared" si="5"/>
        <v>2.8</v>
      </c>
      <c r="J118" s="191">
        <v>9.5</v>
      </c>
      <c r="K118" s="9">
        <v>6.7</v>
      </c>
    </row>
    <row r="119" spans="1:26" hidden="1" x14ac:dyDescent="0.25">
      <c r="A119" s="191" t="s">
        <v>311</v>
      </c>
      <c r="B119" s="191" t="s">
        <v>281</v>
      </c>
      <c r="C119" s="24" t="s">
        <v>49</v>
      </c>
      <c r="F119" s="9" t="str">
        <f t="shared" si="4"/>
        <v>Under</v>
      </c>
      <c r="H119" s="9"/>
      <c r="I119" s="101">
        <f t="shared" si="5"/>
        <v>2.8</v>
      </c>
      <c r="J119" s="191">
        <v>9.5</v>
      </c>
      <c r="K119" s="9">
        <v>6.7</v>
      </c>
      <c r="O119" s="52"/>
      <c r="Q119" s="8"/>
      <c r="W119" s="9"/>
      <c r="X119" s="9"/>
    </row>
    <row r="120" spans="1:26" hidden="1" x14ac:dyDescent="0.25">
      <c r="A120" s="191" t="s">
        <v>312</v>
      </c>
      <c r="B120" s="191" t="s">
        <v>313</v>
      </c>
      <c r="C120" t="s">
        <v>67</v>
      </c>
      <c r="F120" s="9" t="str">
        <f t="shared" si="4"/>
        <v>Under</v>
      </c>
      <c r="I120" s="101">
        <f t="shared" si="5"/>
        <v>2.5</v>
      </c>
      <c r="J120" s="191">
        <v>19.5</v>
      </c>
      <c r="K120" s="9">
        <v>17</v>
      </c>
    </row>
    <row r="121" spans="1:26" hidden="1" x14ac:dyDescent="0.25">
      <c r="A121" s="191" t="s">
        <v>314</v>
      </c>
      <c r="B121" s="191" t="s">
        <v>315</v>
      </c>
      <c r="C121" s="121" t="s">
        <v>49</v>
      </c>
      <c r="F121" s="9" t="str">
        <f t="shared" si="4"/>
        <v>Under</v>
      </c>
      <c r="H121" s="9"/>
      <c r="I121" s="101">
        <f t="shared" si="5"/>
        <v>2.5</v>
      </c>
      <c r="J121" s="191">
        <v>17.5</v>
      </c>
      <c r="K121" s="9">
        <v>15</v>
      </c>
      <c r="T121" s="38"/>
      <c r="W121" s="9"/>
      <c r="X121" s="117"/>
    </row>
    <row r="122" spans="1:26" hidden="1" x14ac:dyDescent="0.25">
      <c r="A122" s="191" t="s">
        <v>78</v>
      </c>
      <c r="B122" s="191" t="s">
        <v>316</v>
      </c>
      <c r="C122" t="s">
        <v>51</v>
      </c>
      <c r="F122" s="9" t="str">
        <f t="shared" si="4"/>
        <v>Under</v>
      </c>
      <c r="I122" s="101">
        <f t="shared" si="5"/>
        <v>2.5</v>
      </c>
      <c r="J122" s="191">
        <v>17.5</v>
      </c>
      <c r="K122" s="9">
        <v>15</v>
      </c>
    </row>
    <row r="123" spans="1:26" hidden="1" x14ac:dyDescent="0.25">
      <c r="A123" s="191" t="s">
        <v>317</v>
      </c>
      <c r="B123" s="191" t="s">
        <v>318</v>
      </c>
      <c r="C123" s="7" t="s">
        <v>115</v>
      </c>
      <c r="F123" s="9" t="str">
        <f t="shared" si="4"/>
        <v>Under</v>
      </c>
      <c r="I123" s="101">
        <f t="shared" si="5"/>
        <v>2.5</v>
      </c>
      <c r="J123" s="191">
        <v>16.5</v>
      </c>
      <c r="K123" s="9">
        <v>14</v>
      </c>
    </row>
    <row r="124" spans="1:26" hidden="1" x14ac:dyDescent="0.25">
      <c r="A124" s="191" t="s">
        <v>319</v>
      </c>
      <c r="B124" s="191" t="s">
        <v>267</v>
      </c>
      <c r="C124" s="121" t="s">
        <v>99</v>
      </c>
      <c r="F124" s="9" t="str">
        <f t="shared" si="4"/>
        <v>Over</v>
      </c>
      <c r="I124" s="101">
        <f t="shared" si="5"/>
        <v>2.5</v>
      </c>
      <c r="J124" s="191">
        <v>14.5</v>
      </c>
      <c r="K124" s="9">
        <v>17</v>
      </c>
    </row>
    <row r="125" spans="1:26" hidden="1" x14ac:dyDescent="0.25">
      <c r="A125" s="191" t="s">
        <v>320</v>
      </c>
      <c r="B125" s="191" t="s">
        <v>321</v>
      </c>
      <c r="C125" s="121" t="s">
        <v>49</v>
      </c>
      <c r="F125" s="9" t="str">
        <f t="shared" si="4"/>
        <v>Over</v>
      </c>
      <c r="H125" s="9"/>
      <c r="I125" s="101">
        <f t="shared" si="5"/>
        <v>2.5</v>
      </c>
      <c r="J125" s="191">
        <v>13.5</v>
      </c>
      <c r="K125" s="9">
        <v>16</v>
      </c>
      <c r="W125" s="9"/>
      <c r="X125" s="117"/>
    </row>
    <row r="126" spans="1:26" hidden="1" x14ac:dyDescent="0.25">
      <c r="A126" s="191" t="s">
        <v>322</v>
      </c>
      <c r="B126" s="191" t="s">
        <v>217</v>
      </c>
      <c r="C126" s="121" t="s">
        <v>124</v>
      </c>
      <c r="F126" s="9" t="str">
        <f t="shared" si="4"/>
        <v>Under</v>
      </c>
      <c r="I126" s="101">
        <f t="shared" si="5"/>
        <v>2.5</v>
      </c>
      <c r="J126" s="191">
        <v>12.5</v>
      </c>
      <c r="K126" s="9">
        <v>10</v>
      </c>
    </row>
    <row r="127" spans="1:26" hidden="1" x14ac:dyDescent="0.25">
      <c r="A127" s="191" t="s">
        <v>323</v>
      </c>
      <c r="B127" s="191" t="s">
        <v>318</v>
      </c>
      <c r="C127" s="7" t="s">
        <v>115</v>
      </c>
      <c r="F127" s="9" t="str">
        <f t="shared" si="4"/>
        <v>Under</v>
      </c>
      <c r="I127" s="101">
        <f t="shared" si="5"/>
        <v>2.5</v>
      </c>
      <c r="J127" s="191">
        <v>8.5</v>
      </c>
      <c r="K127" s="9">
        <v>6</v>
      </c>
    </row>
    <row r="128" spans="1:26" hidden="1" x14ac:dyDescent="0.25">
      <c r="A128" s="191" t="s">
        <v>324</v>
      </c>
      <c r="B128" s="191" t="s">
        <v>325</v>
      </c>
      <c r="C128" t="s">
        <v>98</v>
      </c>
      <c r="F128" s="9" t="str">
        <f t="shared" si="4"/>
        <v>Over</v>
      </c>
      <c r="I128" s="101">
        <f t="shared" si="5"/>
        <v>2.1999999999999993</v>
      </c>
      <c r="J128" s="191">
        <v>14.5</v>
      </c>
      <c r="K128" s="9">
        <v>16.7</v>
      </c>
    </row>
    <row r="129" spans="1:29" hidden="1" x14ac:dyDescent="0.25">
      <c r="A129" s="191" t="s">
        <v>326</v>
      </c>
      <c r="B129" s="191" t="s">
        <v>327</v>
      </c>
      <c r="C129" s="121" t="s">
        <v>114</v>
      </c>
      <c r="F129" s="9" t="str">
        <f t="shared" si="4"/>
        <v>Under</v>
      </c>
      <c r="I129" s="101">
        <f t="shared" si="5"/>
        <v>2.0999999999999996</v>
      </c>
      <c r="J129" s="191">
        <v>9.5</v>
      </c>
      <c r="K129" s="9">
        <v>7.4</v>
      </c>
    </row>
    <row r="130" spans="1:29" hidden="1" x14ac:dyDescent="0.25">
      <c r="A130" s="191" t="s">
        <v>328</v>
      </c>
      <c r="B130" s="191" t="s">
        <v>329</v>
      </c>
      <c r="C130" s="110" t="s">
        <v>58</v>
      </c>
      <c r="F130" s="9" t="str">
        <f t="shared" si="4"/>
        <v>Under</v>
      </c>
      <c r="H130" s="9"/>
      <c r="I130" s="101">
        <f t="shared" si="5"/>
        <v>2</v>
      </c>
      <c r="J130" s="191">
        <v>16.5</v>
      </c>
      <c r="K130" s="9">
        <v>14.5</v>
      </c>
      <c r="W130" s="41"/>
    </row>
    <row r="131" spans="1:29" hidden="1" x14ac:dyDescent="0.25">
      <c r="A131" s="191" t="s">
        <v>330</v>
      </c>
      <c r="B131" s="191" t="s">
        <v>213</v>
      </c>
      <c r="C131" t="s">
        <v>75</v>
      </c>
      <c r="F131" s="9" t="str">
        <f t="shared" si="4"/>
        <v>Under</v>
      </c>
      <c r="I131" s="101">
        <f t="shared" si="5"/>
        <v>2</v>
      </c>
      <c r="J131" s="191">
        <v>16.5</v>
      </c>
      <c r="K131" s="9">
        <v>14.5</v>
      </c>
    </row>
    <row r="132" spans="1:29" hidden="1" x14ac:dyDescent="0.25">
      <c r="A132" s="191" t="s">
        <v>152</v>
      </c>
      <c r="B132" s="191" t="s">
        <v>269</v>
      </c>
      <c r="C132" s="110" t="s">
        <v>58</v>
      </c>
      <c r="F132" s="9" t="str">
        <f t="shared" si="4"/>
        <v>Over</v>
      </c>
      <c r="H132" s="9"/>
      <c r="I132" s="101">
        <f t="shared" si="5"/>
        <v>2</v>
      </c>
      <c r="J132" s="191">
        <v>14.5</v>
      </c>
      <c r="K132" s="9">
        <v>16.5</v>
      </c>
      <c r="W132" s="41"/>
    </row>
    <row r="133" spans="1:29" hidden="1" x14ac:dyDescent="0.25">
      <c r="A133" s="191" t="s">
        <v>331</v>
      </c>
      <c r="B133" s="191" t="s">
        <v>332</v>
      </c>
      <c r="C133" s="107" t="s">
        <v>66</v>
      </c>
      <c r="F133" s="9" t="str">
        <f t="shared" ref="F133:F164" si="6">IF(J133 - K133 &gt; 0, "Under", "Over")</f>
        <v>Under</v>
      </c>
      <c r="H133" s="9"/>
      <c r="I133" s="101">
        <f t="shared" ref="I133:I164" si="7">ABS(K133-J133)</f>
        <v>2</v>
      </c>
      <c r="J133" s="191">
        <v>11.5</v>
      </c>
      <c r="K133" s="9">
        <v>9.5</v>
      </c>
    </row>
    <row r="134" spans="1:29" hidden="1" x14ac:dyDescent="0.25">
      <c r="A134" s="191" t="s">
        <v>333</v>
      </c>
      <c r="B134" s="191" t="s">
        <v>334</v>
      </c>
      <c r="C134" s="110" t="s">
        <v>58</v>
      </c>
      <c r="F134" s="9" t="str">
        <f t="shared" si="6"/>
        <v>Over</v>
      </c>
      <c r="H134" s="9"/>
      <c r="I134" s="101">
        <f t="shared" si="7"/>
        <v>2</v>
      </c>
      <c r="J134" s="191">
        <v>10</v>
      </c>
      <c r="K134" s="109">
        <v>12</v>
      </c>
      <c r="O134" s="52"/>
      <c r="Q134" s="8"/>
    </row>
    <row r="135" spans="1:29" hidden="1" x14ac:dyDescent="0.25">
      <c r="A135" s="191" t="s">
        <v>335</v>
      </c>
      <c r="B135" s="191" t="s">
        <v>230</v>
      </c>
      <c r="C135" s="112" t="s">
        <v>90</v>
      </c>
      <c r="F135" s="9" t="str">
        <f t="shared" si="6"/>
        <v>Under</v>
      </c>
      <c r="I135" s="101">
        <f t="shared" si="7"/>
        <v>2</v>
      </c>
      <c r="J135" s="191">
        <v>9.5</v>
      </c>
      <c r="K135" s="9">
        <v>7.5</v>
      </c>
    </row>
    <row r="136" spans="1:29" hidden="1" x14ac:dyDescent="0.25">
      <c r="A136" s="191" t="s">
        <v>336</v>
      </c>
      <c r="B136" s="191" t="s">
        <v>337</v>
      </c>
      <c r="C136" s="6" t="s">
        <v>50</v>
      </c>
      <c r="F136" s="9" t="str">
        <f t="shared" si="6"/>
        <v>Under</v>
      </c>
      <c r="H136" s="9"/>
      <c r="I136" s="101">
        <f t="shared" si="7"/>
        <v>2</v>
      </c>
      <c r="J136" s="191">
        <v>8.5</v>
      </c>
      <c r="K136" s="9">
        <v>6.5</v>
      </c>
      <c r="T136" s="38"/>
      <c r="W136" s="9"/>
      <c r="X136" s="117"/>
    </row>
    <row r="137" spans="1:29" hidden="1" x14ac:dyDescent="0.25">
      <c r="A137" s="191" t="s">
        <v>338</v>
      </c>
      <c r="B137" s="191" t="s">
        <v>247</v>
      </c>
      <c r="C137" s="121" t="s">
        <v>114</v>
      </c>
      <c r="F137" s="9" t="str">
        <f t="shared" si="6"/>
        <v>Under</v>
      </c>
      <c r="I137" s="101">
        <f t="shared" si="7"/>
        <v>1.8000000000000007</v>
      </c>
      <c r="J137" s="191">
        <v>16.5</v>
      </c>
      <c r="K137" s="9">
        <v>14.7</v>
      </c>
    </row>
    <row r="138" spans="1:29" hidden="1" x14ac:dyDescent="0.25">
      <c r="A138" s="191" t="s">
        <v>169</v>
      </c>
      <c r="B138" s="191" t="s">
        <v>339</v>
      </c>
      <c r="C138" s="25" t="s">
        <v>49</v>
      </c>
      <c r="F138" s="9" t="str">
        <f t="shared" si="6"/>
        <v>Under</v>
      </c>
      <c r="H138" s="9"/>
      <c r="I138" s="101">
        <f t="shared" si="7"/>
        <v>1.8000000000000007</v>
      </c>
      <c r="J138" s="191">
        <v>15.5</v>
      </c>
      <c r="K138" s="9">
        <v>13.7</v>
      </c>
      <c r="W138" s="187"/>
      <c r="X138" s="64"/>
      <c r="AB138" s="187"/>
      <c r="AC138" s="64"/>
    </row>
    <row r="139" spans="1:29" hidden="1" x14ac:dyDescent="0.25">
      <c r="A139" s="191" t="s">
        <v>340</v>
      </c>
      <c r="B139" s="191" t="s">
        <v>341</v>
      </c>
      <c r="C139" s="121" t="s">
        <v>119</v>
      </c>
      <c r="F139" s="9" t="str">
        <f t="shared" si="6"/>
        <v>Under</v>
      </c>
      <c r="I139" s="101">
        <f t="shared" si="7"/>
        <v>1.8000000000000007</v>
      </c>
      <c r="J139" s="191">
        <v>12.5</v>
      </c>
      <c r="K139" s="9">
        <v>10.7</v>
      </c>
    </row>
    <row r="140" spans="1:29" hidden="1" x14ac:dyDescent="0.25">
      <c r="A140" s="191" t="s">
        <v>342</v>
      </c>
      <c r="B140" s="191" t="s">
        <v>343</v>
      </c>
      <c r="C140" t="s">
        <v>40</v>
      </c>
      <c r="F140" s="9" t="str">
        <f t="shared" si="6"/>
        <v>Over</v>
      </c>
      <c r="H140" s="9"/>
      <c r="I140" s="101">
        <f t="shared" si="7"/>
        <v>1.5</v>
      </c>
      <c r="J140" s="191">
        <v>27.5</v>
      </c>
      <c r="K140" s="9">
        <v>29</v>
      </c>
      <c r="T140" s="38"/>
      <c r="W140" s="9"/>
      <c r="X140" s="117"/>
    </row>
    <row r="141" spans="1:29" hidden="1" x14ac:dyDescent="0.25">
      <c r="A141" s="191" t="s">
        <v>53</v>
      </c>
      <c r="B141" s="191" t="s">
        <v>213</v>
      </c>
      <c r="C141" t="s">
        <v>75</v>
      </c>
      <c r="F141" s="9" t="str">
        <f t="shared" si="6"/>
        <v>Under</v>
      </c>
      <c r="I141" s="101">
        <f t="shared" si="7"/>
        <v>1.5</v>
      </c>
      <c r="J141" s="191">
        <v>24.5</v>
      </c>
      <c r="K141" s="9">
        <v>23</v>
      </c>
    </row>
    <row r="142" spans="1:29" hidden="1" x14ac:dyDescent="0.25">
      <c r="A142" s="191" t="s">
        <v>344</v>
      </c>
      <c r="B142" s="191" t="s">
        <v>345</v>
      </c>
      <c r="C142" s="112" t="s">
        <v>43</v>
      </c>
      <c r="F142" s="9" t="str">
        <f t="shared" si="6"/>
        <v>Under</v>
      </c>
      <c r="H142" s="9"/>
      <c r="I142" s="101">
        <f t="shared" si="7"/>
        <v>1.5</v>
      </c>
      <c r="J142" s="191">
        <v>19.5</v>
      </c>
      <c r="K142" s="9">
        <v>18</v>
      </c>
      <c r="L142" s="52"/>
      <c r="N142" t="s">
        <v>346</v>
      </c>
      <c r="O142" s="52"/>
      <c r="Q142" s="8"/>
    </row>
    <row r="143" spans="1:29" hidden="1" x14ac:dyDescent="0.25">
      <c r="A143" s="191" t="s">
        <v>347</v>
      </c>
      <c r="B143" s="191" t="s">
        <v>313</v>
      </c>
      <c r="C143" t="s">
        <v>67</v>
      </c>
      <c r="F143" s="9" t="str">
        <f t="shared" si="6"/>
        <v>Under</v>
      </c>
      <c r="I143" s="101">
        <f t="shared" si="7"/>
        <v>1.5</v>
      </c>
      <c r="J143" s="191">
        <v>16.5</v>
      </c>
      <c r="K143" s="9">
        <v>15</v>
      </c>
    </row>
    <row r="144" spans="1:29" hidden="1" x14ac:dyDescent="0.25">
      <c r="A144" s="191" t="s">
        <v>348</v>
      </c>
      <c r="B144" s="191" t="s">
        <v>349</v>
      </c>
      <c r="C144" s="11" t="s">
        <v>40</v>
      </c>
      <c r="F144" s="9" t="str">
        <f t="shared" si="6"/>
        <v>Under</v>
      </c>
      <c r="H144" s="9"/>
      <c r="I144" s="101">
        <f t="shared" si="7"/>
        <v>1.5</v>
      </c>
      <c r="J144" s="191">
        <v>14.5</v>
      </c>
      <c r="K144" s="9">
        <v>13</v>
      </c>
      <c r="W144" s="41"/>
      <c r="Z144" s="5"/>
      <c r="AA144" s="5"/>
      <c r="AB144" s="5"/>
      <c r="AC144" s="5"/>
    </row>
    <row r="145" spans="1:24" hidden="1" x14ac:dyDescent="0.25">
      <c r="A145" s="191" t="s">
        <v>350</v>
      </c>
      <c r="B145" s="191" t="s">
        <v>195</v>
      </c>
      <c r="C145" s="121" t="s">
        <v>99</v>
      </c>
      <c r="F145" s="9" t="str">
        <f t="shared" si="6"/>
        <v>Under</v>
      </c>
      <c r="I145" s="101">
        <f t="shared" si="7"/>
        <v>1.5</v>
      </c>
      <c r="J145" s="191">
        <v>14.5</v>
      </c>
      <c r="K145" s="9">
        <v>13</v>
      </c>
    </row>
    <row r="146" spans="1:24" hidden="1" x14ac:dyDescent="0.25">
      <c r="A146" s="191" t="s">
        <v>351</v>
      </c>
      <c r="B146" s="191" t="s">
        <v>352</v>
      </c>
      <c r="C146" t="s">
        <v>52</v>
      </c>
      <c r="F146" s="9" t="str">
        <f t="shared" si="6"/>
        <v>Under</v>
      </c>
      <c r="H146" s="9"/>
      <c r="I146" s="101">
        <f t="shared" si="7"/>
        <v>1.5</v>
      </c>
      <c r="J146" s="191">
        <v>14.5</v>
      </c>
      <c r="K146" s="9">
        <v>13</v>
      </c>
    </row>
    <row r="147" spans="1:24" hidden="1" x14ac:dyDescent="0.25">
      <c r="A147" s="191" t="s">
        <v>353</v>
      </c>
      <c r="B147" s="191" t="s">
        <v>343</v>
      </c>
      <c r="C147" s="10" t="s">
        <v>40</v>
      </c>
      <c r="F147" s="9" t="str">
        <f t="shared" si="6"/>
        <v>Over</v>
      </c>
      <c r="H147" s="9"/>
      <c r="I147" s="101">
        <f t="shared" si="7"/>
        <v>1.5</v>
      </c>
      <c r="J147" s="191">
        <v>13.5</v>
      </c>
      <c r="K147" s="9">
        <v>15</v>
      </c>
      <c r="O147" s="52"/>
      <c r="Q147" s="8"/>
      <c r="T147" s="38"/>
      <c r="W147" s="9"/>
      <c r="X147" s="117"/>
    </row>
    <row r="148" spans="1:24" hidden="1" x14ac:dyDescent="0.25">
      <c r="A148" s="191" t="s">
        <v>354</v>
      </c>
      <c r="B148" s="191" t="s">
        <v>183</v>
      </c>
      <c r="C148" s="6" t="s">
        <v>41</v>
      </c>
      <c r="F148" s="9" t="str">
        <f t="shared" si="6"/>
        <v>Over</v>
      </c>
      <c r="H148" s="9"/>
      <c r="I148" s="101">
        <f t="shared" si="7"/>
        <v>1.5</v>
      </c>
      <c r="J148" s="191">
        <v>12.5</v>
      </c>
      <c r="K148" s="9">
        <v>14</v>
      </c>
      <c r="T148" s="38"/>
      <c r="W148" s="9"/>
      <c r="X148" s="117"/>
    </row>
    <row r="149" spans="1:24" hidden="1" x14ac:dyDescent="0.25">
      <c r="A149" s="191" t="s">
        <v>355</v>
      </c>
      <c r="B149" s="191" t="s">
        <v>321</v>
      </c>
      <c r="C149" s="121" t="s">
        <v>49</v>
      </c>
      <c r="F149" s="9" t="str">
        <f t="shared" si="6"/>
        <v>Under</v>
      </c>
      <c r="H149" s="9"/>
      <c r="I149" s="101">
        <f t="shared" si="7"/>
        <v>1.5</v>
      </c>
      <c r="J149" s="191">
        <v>11.5</v>
      </c>
      <c r="K149" s="9">
        <v>10</v>
      </c>
      <c r="W149" s="9"/>
      <c r="X149" s="117"/>
    </row>
    <row r="150" spans="1:24" hidden="1" x14ac:dyDescent="0.25">
      <c r="A150" s="191" t="s">
        <v>356</v>
      </c>
      <c r="B150" s="191" t="s">
        <v>357</v>
      </c>
      <c r="C150" s="121" t="s">
        <v>119</v>
      </c>
      <c r="F150" s="9" t="str">
        <f t="shared" si="6"/>
        <v>Over</v>
      </c>
      <c r="I150" s="101">
        <f t="shared" si="7"/>
        <v>1.1999999999999993</v>
      </c>
      <c r="J150" s="191">
        <v>11.5</v>
      </c>
      <c r="K150" s="9">
        <v>12.7</v>
      </c>
    </row>
    <row r="151" spans="1:24" hidden="1" x14ac:dyDescent="0.25">
      <c r="A151" s="191" t="s">
        <v>69</v>
      </c>
      <c r="B151" s="191" t="s">
        <v>358</v>
      </c>
      <c r="C151" s="112" t="s">
        <v>90</v>
      </c>
      <c r="F151" s="9" t="str">
        <f t="shared" si="6"/>
        <v>Over</v>
      </c>
      <c r="I151" s="101">
        <f t="shared" si="7"/>
        <v>1.1000000000000014</v>
      </c>
      <c r="J151" s="191">
        <v>15.5</v>
      </c>
      <c r="K151" s="9">
        <v>16.600000000000001</v>
      </c>
    </row>
    <row r="152" spans="1:24" hidden="1" x14ac:dyDescent="0.25">
      <c r="A152" s="191" t="s">
        <v>359</v>
      </c>
      <c r="B152" s="191" t="s">
        <v>197</v>
      </c>
      <c r="C152" s="121" t="s">
        <v>106</v>
      </c>
      <c r="F152" s="9" t="str">
        <f t="shared" si="6"/>
        <v>Over</v>
      </c>
      <c r="I152" s="101">
        <f t="shared" si="7"/>
        <v>1</v>
      </c>
      <c r="J152" s="191">
        <v>16.5</v>
      </c>
      <c r="K152" s="9">
        <v>17.5</v>
      </c>
    </row>
    <row r="153" spans="1:24" hidden="1" x14ac:dyDescent="0.25">
      <c r="A153" s="191" t="s">
        <v>360</v>
      </c>
      <c r="B153" s="191" t="s">
        <v>197</v>
      </c>
      <c r="C153" s="121" t="s">
        <v>106</v>
      </c>
      <c r="F153" s="9" t="str">
        <f t="shared" si="6"/>
        <v>Over</v>
      </c>
      <c r="I153" s="101">
        <f t="shared" si="7"/>
        <v>1</v>
      </c>
      <c r="J153" s="191">
        <v>12</v>
      </c>
      <c r="K153" s="9">
        <v>13</v>
      </c>
    </row>
    <row r="154" spans="1:24" hidden="1" x14ac:dyDescent="0.25">
      <c r="A154" s="191" t="s">
        <v>361</v>
      </c>
      <c r="B154" s="191" t="s">
        <v>362</v>
      </c>
      <c r="C154" s="121" t="s">
        <v>114</v>
      </c>
      <c r="F154" s="9" t="str">
        <f t="shared" si="6"/>
        <v>Under</v>
      </c>
      <c r="I154" s="101">
        <f t="shared" si="7"/>
        <v>1</v>
      </c>
      <c r="J154" s="191">
        <v>9.5</v>
      </c>
      <c r="K154" s="9">
        <v>8.5</v>
      </c>
    </row>
    <row r="155" spans="1:24" hidden="1" x14ac:dyDescent="0.25">
      <c r="A155" s="191" t="s">
        <v>363</v>
      </c>
      <c r="B155" s="191" t="s">
        <v>285</v>
      </c>
      <c r="C155" t="s">
        <v>41</v>
      </c>
      <c r="F155" s="9" t="str">
        <f t="shared" si="6"/>
        <v>Over</v>
      </c>
      <c r="H155" s="9"/>
      <c r="I155" s="101">
        <f t="shared" si="7"/>
        <v>1</v>
      </c>
      <c r="J155" s="191">
        <v>6</v>
      </c>
      <c r="K155" s="9">
        <v>7</v>
      </c>
      <c r="T155" s="38"/>
      <c r="W155" s="9"/>
      <c r="X155" s="117"/>
    </row>
    <row r="156" spans="1:24" hidden="1" x14ac:dyDescent="0.25">
      <c r="A156" s="191" t="s">
        <v>364</v>
      </c>
      <c r="B156" s="191" t="s">
        <v>365</v>
      </c>
      <c r="C156" s="121" t="s">
        <v>114</v>
      </c>
      <c r="F156" s="9" t="str">
        <f t="shared" si="6"/>
        <v>Over</v>
      </c>
      <c r="I156" s="101">
        <f t="shared" si="7"/>
        <v>0.80000000000000071</v>
      </c>
      <c r="J156" s="191">
        <v>24.5</v>
      </c>
      <c r="K156" s="9">
        <v>25.3</v>
      </c>
    </row>
    <row r="157" spans="1:24" hidden="1" x14ac:dyDescent="0.25">
      <c r="A157" s="191" t="s">
        <v>366</v>
      </c>
      <c r="B157" s="191" t="s">
        <v>325</v>
      </c>
      <c r="C157" t="s">
        <v>98</v>
      </c>
      <c r="F157" s="9" t="str">
        <f t="shared" si="6"/>
        <v>Under</v>
      </c>
      <c r="I157" s="101">
        <f t="shared" si="7"/>
        <v>0.59999999999999964</v>
      </c>
      <c r="J157" s="191">
        <v>14</v>
      </c>
      <c r="K157" s="9">
        <v>13.4</v>
      </c>
    </row>
    <row r="158" spans="1:24" hidden="1" x14ac:dyDescent="0.25">
      <c r="A158" s="191" t="s">
        <v>367</v>
      </c>
      <c r="B158" s="191" t="s">
        <v>368</v>
      </c>
      <c r="C158" t="s">
        <v>67</v>
      </c>
      <c r="F158" s="9" t="str">
        <f t="shared" si="6"/>
        <v>Over</v>
      </c>
      <c r="I158" s="101">
        <f t="shared" si="7"/>
        <v>0.5</v>
      </c>
      <c r="J158" s="191">
        <v>27.5</v>
      </c>
      <c r="K158" s="9">
        <v>28</v>
      </c>
    </row>
    <row r="159" spans="1:24" x14ac:dyDescent="0.25">
      <c r="A159" s="191" t="s">
        <v>369</v>
      </c>
      <c r="B159" s="191" t="s">
        <v>272</v>
      </c>
      <c r="C159" t="s">
        <v>67</v>
      </c>
      <c r="F159" s="9" t="str">
        <f t="shared" si="6"/>
        <v>Under</v>
      </c>
      <c r="I159" s="101">
        <f t="shared" si="7"/>
        <v>0.5</v>
      </c>
      <c r="J159" s="191">
        <v>16.5</v>
      </c>
      <c r="K159" s="9">
        <v>16</v>
      </c>
      <c r="L159" t="s">
        <v>206</v>
      </c>
    </row>
    <row r="160" spans="1:24" hidden="1" x14ac:dyDescent="0.25">
      <c r="A160" s="191" t="s">
        <v>370</v>
      </c>
      <c r="B160" s="191" t="s">
        <v>249</v>
      </c>
      <c r="C160" s="6" t="s">
        <v>57</v>
      </c>
      <c r="F160" s="9" t="str">
        <f t="shared" si="6"/>
        <v>Under</v>
      </c>
      <c r="H160" s="9"/>
      <c r="I160" s="101">
        <f t="shared" si="7"/>
        <v>0.5</v>
      </c>
      <c r="J160" s="191">
        <v>12.5</v>
      </c>
      <c r="K160" s="9">
        <v>12</v>
      </c>
      <c r="W160" s="41"/>
    </row>
    <row r="161" spans="1:65" hidden="1" x14ac:dyDescent="0.25">
      <c r="A161" s="191" t="s">
        <v>371</v>
      </c>
      <c r="B161" s="191" t="s">
        <v>272</v>
      </c>
      <c r="C161" t="s">
        <v>67</v>
      </c>
      <c r="F161" s="9" t="str">
        <f t="shared" si="6"/>
        <v>Under</v>
      </c>
      <c r="I161" s="101">
        <f t="shared" si="7"/>
        <v>0.5</v>
      </c>
      <c r="J161" s="191">
        <v>11.5</v>
      </c>
      <c r="K161" s="9">
        <v>11</v>
      </c>
    </row>
    <row r="162" spans="1:65" hidden="1" x14ac:dyDescent="0.25">
      <c r="A162" s="191" t="s">
        <v>372</v>
      </c>
      <c r="B162" s="191" t="s">
        <v>373</v>
      </c>
      <c r="C162" s="112" t="s">
        <v>87</v>
      </c>
      <c r="F162" s="9" t="str">
        <f t="shared" si="6"/>
        <v>Under</v>
      </c>
      <c r="H162" s="9"/>
      <c r="I162" s="101">
        <f t="shared" si="7"/>
        <v>0.5</v>
      </c>
      <c r="J162" s="191">
        <v>10.5</v>
      </c>
      <c r="K162" s="9">
        <v>10</v>
      </c>
    </row>
    <row r="163" spans="1:65" x14ac:dyDescent="0.25">
      <c r="A163" s="191" t="s">
        <v>374</v>
      </c>
      <c r="B163" s="191" t="s">
        <v>375</v>
      </c>
      <c r="C163" s="107" t="s">
        <v>50</v>
      </c>
      <c r="F163" s="9" t="str">
        <f t="shared" si="6"/>
        <v>Over</v>
      </c>
      <c r="H163" s="9"/>
      <c r="I163" s="101">
        <f t="shared" si="7"/>
        <v>0.5</v>
      </c>
      <c r="J163" s="191">
        <v>10.5</v>
      </c>
      <c r="K163" s="9">
        <v>11</v>
      </c>
      <c r="L163" t="s">
        <v>206</v>
      </c>
      <c r="W163" s="9"/>
      <c r="X163" s="117"/>
    </row>
    <row r="164" spans="1:65" hidden="1" x14ac:dyDescent="0.25">
      <c r="A164" s="191" t="s">
        <v>376</v>
      </c>
      <c r="B164" s="191" t="s">
        <v>321</v>
      </c>
      <c r="C164" s="25" t="s">
        <v>49</v>
      </c>
      <c r="F164" s="9" t="str">
        <f t="shared" si="6"/>
        <v>Over</v>
      </c>
      <c r="H164" s="9"/>
      <c r="I164" s="101">
        <f t="shared" si="7"/>
        <v>0.5</v>
      </c>
      <c r="J164" s="191">
        <v>8.5</v>
      </c>
      <c r="K164" s="9">
        <v>9</v>
      </c>
      <c r="W164" s="9"/>
      <c r="X164" s="117"/>
    </row>
    <row r="165" spans="1:65" hidden="1" x14ac:dyDescent="0.25">
      <c r="A165" s="191" t="s">
        <v>377</v>
      </c>
      <c r="B165" s="191" t="s">
        <v>210</v>
      </c>
      <c r="C165" s="112" t="s">
        <v>87</v>
      </c>
      <c r="F165" s="9" t="str">
        <f t="shared" ref="F165:F170" si="8">IF(J165 - K165 &gt; 0, "Under", "Over")</f>
        <v>Under</v>
      </c>
      <c r="H165" s="9"/>
      <c r="I165" s="101">
        <f t="shared" ref="I165:I170" si="9">ABS(K165-J165)</f>
        <v>0.5</v>
      </c>
      <c r="J165" s="191">
        <v>6.5</v>
      </c>
      <c r="K165" s="9">
        <v>6</v>
      </c>
      <c r="L165" s="52"/>
      <c r="M165" s="65"/>
      <c r="N165" s="8"/>
      <c r="O165" s="52"/>
      <c r="Q165" s="8"/>
      <c r="R165" s="8"/>
    </row>
    <row r="166" spans="1:65" hidden="1" x14ac:dyDescent="0.25">
      <c r="A166" s="191" t="s">
        <v>378</v>
      </c>
      <c r="B166" s="191" t="s">
        <v>379</v>
      </c>
      <c r="C166" t="s">
        <v>66</v>
      </c>
      <c r="F166" s="9" t="str">
        <f t="shared" si="8"/>
        <v>Over</v>
      </c>
      <c r="H166" s="9"/>
      <c r="I166" s="101">
        <f t="shared" si="9"/>
        <v>0.40000000000000036</v>
      </c>
      <c r="J166" s="191">
        <v>14.5</v>
      </c>
      <c r="K166" s="9">
        <v>14.9</v>
      </c>
      <c r="L166" s="52"/>
      <c r="M166" s="65"/>
      <c r="N166" s="8"/>
      <c r="O166" s="52"/>
      <c r="Q166" s="8"/>
      <c r="R166" s="8"/>
    </row>
    <row r="167" spans="1:65" hidden="1" x14ac:dyDescent="0.25">
      <c r="A167" s="191" t="s">
        <v>380</v>
      </c>
      <c r="B167" s="191" t="s">
        <v>315</v>
      </c>
      <c r="C167" s="121" t="s">
        <v>49</v>
      </c>
      <c r="F167" s="9" t="str">
        <f t="shared" si="8"/>
        <v>Over</v>
      </c>
      <c r="H167" s="9"/>
      <c r="I167" s="101">
        <f t="shared" si="9"/>
        <v>0.29999999999999982</v>
      </c>
      <c r="J167" s="191">
        <v>6</v>
      </c>
      <c r="K167" s="9">
        <v>6.3</v>
      </c>
      <c r="O167" s="52"/>
      <c r="Q167" s="8"/>
      <c r="V167" s="5"/>
      <c r="W167" s="9"/>
      <c r="X167" s="117"/>
    </row>
    <row r="168" spans="1:65" hidden="1" x14ac:dyDescent="0.25">
      <c r="A168" s="191" t="s">
        <v>118</v>
      </c>
      <c r="B168" s="191" t="s">
        <v>188</v>
      </c>
      <c r="C168" t="s">
        <v>51</v>
      </c>
      <c r="F168" s="9" t="str">
        <f t="shared" si="8"/>
        <v>Under</v>
      </c>
      <c r="I168" s="101">
        <f t="shared" si="9"/>
        <v>0.19999999999999929</v>
      </c>
      <c r="J168" s="191">
        <v>24.5</v>
      </c>
      <c r="K168" s="9">
        <v>24.3</v>
      </c>
    </row>
    <row r="169" spans="1:65" hidden="1" x14ac:dyDescent="0.25">
      <c r="A169" s="191" t="s">
        <v>381</v>
      </c>
      <c r="B169" s="191" t="s">
        <v>223</v>
      </c>
      <c r="C169" t="s">
        <v>86</v>
      </c>
      <c r="F169" s="9" t="str">
        <f t="shared" si="8"/>
        <v>Over</v>
      </c>
      <c r="I169" s="101">
        <f t="shared" si="9"/>
        <v>0</v>
      </c>
      <c r="J169" s="191">
        <v>14.5</v>
      </c>
      <c r="K169" s="9">
        <v>14.5</v>
      </c>
    </row>
    <row r="170" spans="1:65" hidden="1" x14ac:dyDescent="0.25">
      <c r="A170" s="191" t="s">
        <v>76</v>
      </c>
      <c r="B170" s="191" t="s">
        <v>303</v>
      </c>
      <c r="C170" s="107" t="s">
        <v>52</v>
      </c>
      <c r="D170" s="5"/>
      <c r="E170" s="5"/>
      <c r="F170" s="9" t="str">
        <f t="shared" si="8"/>
        <v>Over</v>
      </c>
      <c r="G170" s="5"/>
      <c r="H170" s="9"/>
      <c r="I170" s="101">
        <f t="shared" si="9"/>
        <v>0</v>
      </c>
      <c r="J170" s="191">
        <v>20.5</v>
      </c>
      <c r="K170" s="187">
        <v>20.5</v>
      </c>
      <c r="L170" s="5"/>
      <c r="M170" s="5"/>
      <c r="N170" s="5"/>
      <c r="O170" s="189"/>
      <c r="P170" s="5"/>
      <c r="Q170" s="5"/>
      <c r="R170" s="5"/>
      <c r="V170" s="5"/>
      <c r="W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</row>
    <row r="188" spans="1:1" x14ac:dyDescent="0.25">
      <c r="A188" t="s">
        <v>382</v>
      </c>
    </row>
  </sheetData>
  <autoFilter ref="A36:BM170" xr:uid="{AD686918-3704-4A21-8535-2CC6F6770C74}">
    <filterColumn colId="0">
      <filters>
        <filter val="Christian Braun"/>
        <filter val="Goga Bitadze"/>
        <filter val="Tim Hardaway Jr."/>
        <filter val="Zach LaVine"/>
      </filters>
    </filterColumn>
    <sortState xmlns:xlrd2="http://schemas.microsoft.com/office/spreadsheetml/2017/richdata2" ref="A37:BM170">
      <sortCondition descending="1" ref="I36:I170"/>
    </sortState>
  </autoFilter>
  <mergeCells count="2">
    <mergeCell ref="A1:C1"/>
    <mergeCell ref="A19:C19"/>
  </mergeCells>
  <conditionalFormatting sqref="A20:B29 E20:E26">
    <cfRule type="duplicateValues" dxfId="63" priority="31"/>
  </conditionalFormatting>
  <conditionalFormatting sqref="A20:B29 F20:F26">
    <cfRule type="duplicateValues" dxfId="62" priority="29"/>
  </conditionalFormatting>
  <conditionalFormatting sqref="A20:B29 I20:I26">
    <cfRule type="duplicateValues" dxfId="61" priority="30"/>
  </conditionalFormatting>
  <conditionalFormatting sqref="C50">
    <cfRule type="duplicateValues" dxfId="60" priority="13"/>
    <cfRule type="duplicateValues" dxfId="59" priority="14"/>
  </conditionalFormatting>
  <conditionalFormatting sqref="E2:E8 A2:B16">
    <cfRule type="duplicateValues" dxfId="58" priority="33"/>
  </conditionalFormatting>
  <conditionalFormatting sqref="F37:F170">
    <cfRule type="cellIs" dxfId="57" priority="1" operator="equal">
      <formula>"Under"</formula>
    </cfRule>
    <cfRule type="cellIs" dxfId="56" priority="2" operator="equal">
      <formula>"Over"</formula>
    </cfRule>
  </conditionalFormatting>
  <conditionalFormatting sqref="I2:I8 A2:B16">
    <cfRule type="duplicateValues" dxfId="55" priority="32"/>
  </conditionalFormatting>
  <conditionalFormatting sqref="J18:J24">
    <cfRule type="duplicateValues" dxfId="54" priority="74"/>
  </conditionalFormatting>
  <conditionalFormatting sqref="K2:K26">
    <cfRule type="duplicateValues" dxfId="53" priority="150"/>
  </conditionalFormatting>
  <conditionalFormatting sqref="K32:K34 K2:K26">
    <cfRule type="duplicateValues" dxfId="52" priority="105"/>
  </conditionalFormatting>
  <conditionalFormatting sqref="M4 J2:J8">
    <cfRule type="duplicateValues" dxfId="51" priority="108"/>
  </conditionalFormatting>
  <conditionalFormatting sqref="P2:P26">
    <cfRule type="duplicateValues" dxfId="50" priority="153"/>
  </conditionalFormatting>
  <conditionalFormatting sqref="P32:P34 P2:P26 P36:P37 M35 L47 O54:O56 O50 O58:O60 O40:O47">
    <cfRule type="duplicateValues" dxfId="49" priority="154"/>
  </conditionalFormatting>
  <conditionalFormatting sqref="P32:P34 P2:P26 P36:P37 M35">
    <cfRule type="duplicateValues" dxfId="48" priority="47"/>
  </conditionalFormatting>
  <conditionalFormatting sqref="AA40 O54:O56 K32:K34 K2:K26 S43 O43:Q49 L47:L49 O50:O51 O58:O60 O40:O42">
    <cfRule type="duplicateValues" dxfId="47" priority="16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1AA-CE6D-437D-99A3-2F94E07E9E3F}">
  <dimension ref="A1:AG526"/>
  <sheetViews>
    <sheetView topLeftCell="A255" workbookViewId="0">
      <selection activeCell="A278" sqref="A278"/>
    </sheetView>
  </sheetViews>
  <sheetFormatPr defaultColWidth="21.42578125" defaultRowHeight="15" x14ac:dyDescent="0.25"/>
  <cols>
    <col min="1" max="1" width="25.5703125" bestFit="1" customWidth="1"/>
    <col min="2" max="2" width="25.5703125" style="5" customWidth="1"/>
    <col min="3" max="3" width="5.28515625" bestFit="1" customWidth="1"/>
    <col min="4" max="4" width="6" bestFit="1" customWidth="1"/>
    <col min="5" max="5" width="17" bestFit="1" customWidth="1"/>
    <col min="7" max="7" width="24.140625" bestFit="1" customWidth="1"/>
    <col min="8" max="8" width="21.7109375" bestFit="1" customWidth="1"/>
    <col min="9" max="9" width="17.5703125" bestFit="1" customWidth="1"/>
    <col min="10" max="10" width="19.7109375" bestFit="1" customWidth="1"/>
    <col min="11" max="11" width="20.140625" bestFit="1" customWidth="1"/>
    <col min="12" max="12" width="24.42578125" bestFit="1" customWidth="1"/>
    <col min="13" max="13" width="19.7109375" bestFit="1" customWidth="1"/>
    <col min="14" max="14" width="19.42578125" bestFit="1" customWidth="1"/>
    <col min="15" max="15" width="19.5703125" bestFit="1" customWidth="1"/>
    <col min="20" max="20" width="18.42578125" bestFit="1" customWidth="1"/>
    <col min="21" max="21" width="15.7109375" bestFit="1" customWidth="1"/>
    <col min="22" max="22" width="7.85546875" bestFit="1" customWidth="1"/>
  </cols>
  <sheetData>
    <row r="1" spans="1:22" s="5" customFormat="1" x14ac:dyDescent="0.25">
      <c r="A1" s="5" t="s">
        <v>383</v>
      </c>
      <c r="B1" s="5" t="str">
        <f t="shared" ref="B1:B2" si="0">LEFT(A1, FIND("#", A1 &amp; "#") - 1)</f>
        <v>Atlanta Hawks</v>
      </c>
      <c r="C1" s="5" t="s">
        <v>39</v>
      </c>
      <c r="D1" s="5" t="s">
        <v>36</v>
      </c>
      <c r="E1" s="5" t="s">
        <v>384</v>
      </c>
    </row>
    <row r="2" spans="1:22" x14ac:dyDescent="0.25">
      <c r="A2" t="s">
        <v>385</v>
      </c>
      <c r="B2" s="5" t="str">
        <f t="shared" si="0"/>
        <v>starters</v>
      </c>
    </row>
    <row r="3" spans="1:22" ht="15" customHeight="1" x14ac:dyDescent="0.25">
      <c r="A3" s="38" t="s">
        <v>386</v>
      </c>
      <c r="B3" t="str">
        <f>LEFT(A3, FIND("#", A3 &amp; "#") - 1)</f>
        <v>Onyeka Okongwu</v>
      </c>
      <c r="C3" s="52" t="s">
        <v>93</v>
      </c>
      <c r="D3" s="38">
        <v>113.7</v>
      </c>
      <c r="E3">
        <v>130.1</v>
      </c>
      <c r="F3">
        <f>_xlfn.SINGLE(_xlfn.XLOOKUP(TRIM(B3), PlayerStatsSeason!B:B, PlayerStatsSeason!AE:AE, "Not Found"))</f>
        <v>13.2</v>
      </c>
    </row>
    <row r="4" spans="1:22" ht="15" customHeight="1" x14ac:dyDescent="0.25">
      <c r="A4" s="38" t="s">
        <v>387</v>
      </c>
      <c r="B4" t="str">
        <f t="shared" ref="B4:B67" si="1">LEFT(A4, FIND("#", A4 &amp; "#") - 1)</f>
        <v>Zaccharie Risacher</v>
      </c>
      <c r="C4" s="52" t="s">
        <v>93</v>
      </c>
      <c r="D4" s="38">
        <v>118.1</v>
      </c>
      <c r="E4">
        <v>106.9</v>
      </c>
      <c r="F4">
        <f>_xlfn.SINGLE(_xlfn.XLOOKUP(TRIM(B4), PlayerStatsSeason!B:B, PlayerStatsSeason!AE:AE, "Not Found"))</f>
        <v>12.6</v>
      </c>
    </row>
    <row r="5" spans="1:22" x14ac:dyDescent="0.25">
      <c r="A5" s="38" t="s">
        <v>388</v>
      </c>
      <c r="B5" t="str">
        <f t="shared" si="1"/>
        <v>Mouhamed Gueye</v>
      </c>
      <c r="C5" s="52" t="s">
        <v>389</v>
      </c>
      <c r="D5" s="38">
        <v>112.2</v>
      </c>
      <c r="E5">
        <v>108.5</v>
      </c>
      <c r="F5">
        <f>_xlfn.SINGLE(_xlfn.XLOOKUP(TRIM(B5), PlayerStatsSeason!B:B, PlayerStatsSeason!AE:AE, "Not Found"))</f>
        <v>6</v>
      </c>
    </row>
    <row r="6" spans="1:22" ht="15" customHeight="1" x14ac:dyDescent="0.25">
      <c r="A6" s="38" t="s">
        <v>390</v>
      </c>
      <c r="B6" t="str">
        <f t="shared" si="1"/>
        <v>Trae Young</v>
      </c>
      <c r="C6" s="52" t="s">
        <v>56</v>
      </c>
      <c r="D6" s="38">
        <v>119.3</v>
      </c>
      <c r="E6">
        <v>113.2</v>
      </c>
      <c r="F6">
        <f>_xlfn.SINGLE(_xlfn.XLOOKUP(TRIM(B6), PlayerStatsSeason!B:B, PlayerStatsSeason!AE:AE, "Not Found"))</f>
        <v>24.2</v>
      </c>
    </row>
    <row r="7" spans="1:22" ht="15" customHeight="1" x14ac:dyDescent="0.25">
      <c r="A7" s="38" t="s">
        <v>391</v>
      </c>
      <c r="B7" t="str">
        <f t="shared" si="1"/>
        <v>Dyson Daniels</v>
      </c>
      <c r="C7" s="52" t="s">
        <v>392</v>
      </c>
      <c r="D7" s="38">
        <v>110.9</v>
      </c>
      <c r="E7">
        <v>110.1</v>
      </c>
      <c r="F7">
        <f>_xlfn.SINGLE(_xlfn.XLOOKUP(TRIM(B7), PlayerStatsSeason!B:B, PlayerStatsSeason!AE:AE, "Not Found"))</f>
        <v>14.200000000000001</v>
      </c>
    </row>
    <row r="8" spans="1:22" x14ac:dyDescent="0.25">
      <c r="A8" s="5" t="s">
        <v>393</v>
      </c>
      <c r="B8" t="str">
        <f t="shared" si="1"/>
        <v>bench</v>
      </c>
      <c r="F8" t="str">
        <f>_xlfn.SINGLE(_xlfn.XLOOKUP(TRIM(B8), PlayerStatsSeason!B:B, PlayerStatsSeason!AE:AE, "Not Found"))</f>
        <v>Not Found</v>
      </c>
    </row>
    <row r="9" spans="1:22" ht="15" customHeight="1" x14ac:dyDescent="0.25">
      <c r="A9" s="38" t="s">
        <v>394</v>
      </c>
      <c r="B9" t="str">
        <f t="shared" si="1"/>
        <v>Dominick Barlow</v>
      </c>
      <c r="C9" s="52" t="s">
        <v>389</v>
      </c>
      <c r="D9" s="38">
        <v>115.9</v>
      </c>
      <c r="E9">
        <v>129.80000000000001</v>
      </c>
      <c r="F9">
        <f>_xlfn.SINGLE(_xlfn.XLOOKUP(TRIM(B9), PlayerStatsSeason!B:B, PlayerStatsSeason!AE:AE, "Not Found"))</f>
        <v>4.2</v>
      </c>
    </row>
    <row r="10" spans="1:22" ht="15" customHeight="1" x14ac:dyDescent="0.25">
      <c r="A10" s="38" t="s">
        <v>395</v>
      </c>
      <c r="B10" t="str">
        <f t="shared" si="1"/>
        <v>Georges Niang</v>
      </c>
      <c r="C10" s="52" t="s">
        <v>47</v>
      </c>
      <c r="D10" s="38">
        <v>119.1</v>
      </c>
      <c r="E10">
        <v>115.4</v>
      </c>
      <c r="F10">
        <f>_xlfn.SINGLE(_xlfn.XLOOKUP(TRIM(B10), PlayerStatsSeason!B:B, PlayerStatsSeason!AE:AE, "Not Found"))</f>
        <v>9.9</v>
      </c>
    </row>
    <row r="11" spans="1:22" x14ac:dyDescent="0.25">
      <c r="A11" s="38" t="s">
        <v>396</v>
      </c>
      <c r="B11" t="str">
        <f t="shared" si="1"/>
        <v>Caris LeVert</v>
      </c>
      <c r="C11" s="52" t="s">
        <v>63</v>
      </c>
      <c r="D11" s="38">
        <v>117.5</v>
      </c>
      <c r="E11">
        <v>116.9</v>
      </c>
      <c r="F11">
        <f>_xlfn.SINGLE(_xlfn.XLOOKUP(TRIM(B11), PlayerStatsSeason!B:B, PlayerStatsSeason!AE:AE, "Not Found"))</f>
        <v>12.2</v>
      </c>
    </row>
    <row r="12" spans="1:22" ht="15" customHeight="1" x14ac:dyDescent="0.25">
      <c r="A12" s="38" t="s">
        <v>397</v>
      </c>
      <c r="B12" t="str">
        <f t="shared" si="1"/>
        <v>Terance Mann</v>
      </c>
      <c r="C12" s="52" t="s">
        <v>63</v>
      </c>
      <c r="D12" s="38">
        <v>119.6</v>
      </c>
      <c r="E12">
        <v>126.9</v>
      </c>
      <c r="F12">
        <f>_xlfn.SINGLE(_xlfn.XLOOKUP(TRIM(B12), PlayerStatsSeason!B:B, PlayerStatsSeason!AE:AE, "Not Found"))</f>
        <v>7.8000000000000007</v>
      </c>
      <c r="T12" t="s">
        <v>398</v>
      </c>
      <c r="U12" t="s">
        <v>399</v>
      </c>
      <c r="V12" t="s">
        <v>400</v>
      </c>
    </row>
    <row r="13" spans="1:22" ht="15" customHeight="1" x14ac:dyDescent="0.25">
      <c r="A13" s="38" t="s">
        <v>401</v>
      </c>
      <c r="B13" t="str">
        <f t="shared" si="1"/>
        <v>Vit Krejci</v>
      </c>
      <c r="C13" s="52" t="s">
        <v>392</v>
      </c>
      <c r="D13" s="38">
        <v>117.3</v>
      </c>
      <c r="E13">
        <v>122.6</v>
      </c>
      <c r="F13">
        <f>_xlfn.SINGLE(_xlfn.XLOOKUP(TRIM(B13), PlayerStatsSeason!B:B, PlayerStatsSeason!AE:AE, "Not Found"))</f>
        <v>7.2</v>
      </c>
      <c r="T13" t="s">
        <v>165</v>
      </c>
      <c r="U13">
        <v>25</v>
      </c>
      <c r="V13" t="s">
        <v>402</v>
      </c>
    </row>
    <row r="14" spans="1:22" x14ac:dyDescent="0.25">
      <c r="A14" s="38" t="s">
        <v>403</v>
      </c>
      <c r="B14" t="str">
        <f t="shared" si="1"/>
        <v>Garrison Mathews</v>
      </c>
      <c r="C14" s="52" t="s">
        <v>63</v>
      </c>
      <c r="D14" s="38">
        <v>118.1</v>
      </c>
      <c r="E14">
        <v>119.9</v>
      </c>
      <c r="F14">
        <f>_xlfn.SINGLE(_xlfn.XLOOKUP(TRIM(B14), PlayerStatsSeason!B:B, PlayerStatsSeason!AE:AE, "Not Found"))</f>
        <v>7.6000000000000014</v>
      </c>
      <c r="T14" t="s">
        <v>404</v>
      </c>
      <c r="U14">
        <v>8</v>
      </c>
      <c r="V14" t="s">
        <v>402</v>
      </c>
    </row>
    <row r="15" spans="1:22" ht="15" customHeight="1" x14ac:dyDescent="0.25">
      <c r="A15" s="38" t="s">
        <v>405</v>
      </c>
      <c r="B15" t="str">
        <f t="shared" si="1"/>
        <v>Daeqwon Plowden</v>
      </c>
      <c r="C15" s="52" t="s">
        <v>392</v>
      </c>
      <c r="D15" s="38">
        <v>123.3</v>
      </c>
      <c r="E15">
        <v>180.4</v>
      </c>
      <c r="F15">
        <f>_xlfn.SINGLE(_xlfn.XLOOKUP(TRIM(B15), PlayerStatsSeason!B:B, PlayerStatsSeason!AE:AE, "Not Found"))</f>
        <v>7.2</v>
      </c>
      <c r="T15" t="s">
        <v>128</v>
      </c>
      <c r="U15">
        <v>32</v>
      </c>
      <c r="V15" t="s">
        <v>406</v>
      </c>
    </row>
    <row r="16" spans="1:22" ht="15" customHeight="1" x14ac:dyDescent="0.25">
      <c r="B16" t="str">
        <f t="shared" si="1"/>
        <v/>
      </c>
      <c r="F16" t="str">
        <f>_xlfn.SINGLE(_xlfn.XLOOKUP(TRIM(B16), PlayerStatsSeason!B:B, PlayerStatsSeason!AE:AE, "Not Found"))</f>
        <v>Not Found</v>
      </c>
      <c r="T16" t="s">
        <v>407</v>
      </c>
      <c r="U16">
        <v>3</v>
      </c>
      <c r="V16" t="s">
        <v>408</v>
      </c>
    </row>
    <row r="17" spans="1:22" x14ac:dyDescent="0.25">
      <c r="A17" s="5" t="s">
        <v>409</v>
      </c>
      <c r="B17" s="5" t="str">
        <f t="shared" si="1"/>
        <v>Boston Celtics</v>
      </c>
      <c r="F17" t="str">
        <f>_xlfn.SINGLE(_xlfn.XLOOKUP(TRIM(B17), PlayerStatsSeason!B:B, PlayerStatsSeason!AE:AE, "Not Found"))</f>
        <v>Not Found</v>
      </c>
      <c r="T17" t="s">
        <v>410</v>
      </c>
      <c r="U17">
        <v>0</v>
      </c>
      <c r="V17" t="s">
        <v>411</v>
      </c>
    </row>
    <row r="18" spans="1:22" ht="15" customHeight="1" x14ac:dyDescent="0.25">
      <c r="A18" t="s">
        <v>385</v>
      </c>
      <c r="B18" s="5" t="str">
        <f t="shared" si="1"/>
        <v>starters</v>
      </c>
      <c r="F18" t="str">
        <f>_xlfn.SINGLE(_xlfn.XLOOKUP(TRIM(B18), PlayerStatsSeason!B:B, PlayerStatsSeason!AE:AE, "Not Found"))</f>
        <v>Not Found</v>
      </c>
      <c r="T18" t="s">
        <v>412</v>
      </c>
      <c r="U18">
        <v>5</v>
      </c>
      <c r="V18" t="s">
        <v>406</v>
      </c>
    </row>
    <row r="19" spans="1:22" ht="15" customHeight="1" x14ac:dyDescent="0.25">
      <c r="A19" s="38" t="s">
        <v>413</v>
      </c>
      <c r="B19" t="str">
        <f t="shared" si="1"/>
        <v>Jayson Tatum</v>
      </c>
      <c r="C19" t="s">
        <v>47</v>
      </c>
      <c r="F19">
        <f>_xlfn.SINGLE(_xlfn.XLOOKUP(TRIM(B19), PlayerStatsSeason!B:B, PlayerStatsSeason!AE:AE, "Not Found"))</f>
        <v>26.9</v>
      </c>
      <c r="T19" t="s">
        <v>414</v>
      </c>
      <c r="U19">
        <v>21</v>
      </c>
      <c r="V19" t="s">
        <v>406</v>
      </c>
    </row>
    <row r="20" spans="1:22" x14ac:dyDescent="0.25">
      <c r="A20" s="38" t="s">
        <v>415</v>
      </c>
      <c r="B20" t="str">
        <f t="shared" si="1"/>
        <v>Kristaps Porzingis</v>
      </c>
      <c r="C20" t="s">
        <v>72</v>
      </c>
      <c r="F20" t="str">
        <f>_xlfn.SINGLE(_xlfn.XLOOKUP(TRIM(B20), PlayerStatsSeason!B:B, PlayerStatsSeason!AE:AE, "Not Found"))</f>
        <v>Not Found</v>
      </c>
      <c r="T20" t="s">
        <v>416</v>
      </c>
      <c r="U20">
        <v>14</v>
      </c>
      <c r="V20" t="s">
        <v>402</v>
      </c>
    </row>
    <row r="21" spans="1:22" ht="15" customHeight="1" x14ac:dyDescent="0.25">
      <c r="A21" s="38" t="s">
        <v>417</v>
      </c>
      <c r="B21" t="str">
        <f t="shared" si="1"/>
        <v>Jrue Holiday</v>
      </c>
      <c r="C21" t="s">
        <v>93</v>
      </c>
      <c r="F21">
        <f>_xlfn.SINGLE(_xlfn.XLOOKUP(TRIM(B21), PlayerStatsSeason!B:B, PlayerStatsSeason!AE:AE, "Not Found"))</f>
        <v>10.999999999999998</v>
      </c>
      <c r="T21" t="s">
        <v>418</v>
      </c>
      <c r="U21">
        <v>44</v>
      </c>
      <c r="V21" t="s">
        <v>408</v>
      </c>
    </row>
    <row r="22" spans="1:22" ht="15" customHeight="1" x14ac:dyDescent="0.25">
      <c r="A22" s="38" t="s">
        <v>419</v>
      </c>
      <c r="B22" t="str">
        <f t="shared" si="1"/>
        <v>Derrick White</v>
      </c>
      <c r="C22" t="s">
        <v>63</v>
      </c>
      <c r="D22" s="41"/>
      <c r="F22">
        <f>_xlfn.SINGLE(_xlfn.XLOOKUP(TRIM(B22), PlayerStatsSeason!B:B, PlayerStatsSeason!AE:AE, "Not Found"))</f>
        <v>16.5</v>
      </c>
      <c r="T22" t="s">
        <v>420</v>
      </c>
      <c r="U22">
        <v>13</v>
      </c>
      <c r="V22" t="s">
        <v>411</v>
      </c>
    </row>
    <row r="23" spans="1:22" ht="15" customHeight="1" x14ac:dyDescent="0.25">
      <c r="A23" s="38" t="s">
        <v>421</v>
      </c>
      <c r="B23" t="str">
        <f t="shared" si="1"/>
        <v>Jaylen Brown</v>
      </c>
      <c r="C23" t="s">
        <v>47</v>
      </c>
      <c r="D23" s="41"/>
      <c r="F23">
        <f>_xlfn.SINGLE(_xlfn.XLOOKUP(TRIM(B23), PlayerStatsSeason!B:B, PlayerStatsSeason!AE:AE, "Not Found"))</f>
        <v>22.099999999999998</v>
      </c>
      <c r="T23" t="s">
        <v>422</v>
      </c>
      <c r="U23">
        <v>17</v>
      </c>
      <c r="V23" t="s">
        <v>406</v>
      </c>
    </row>
    <row r="24" spans="1:22" ht="15" customHeight="1" x14ac:dyDescent="0.25">
      <c r="A24" t="s">
        <v>393</v>
      </c>
      <c r="B24" t="str">
        <f t="shared" si="1"/>
        <v>bench</v>
      </c>
      <c r="F24" t="str">
        <f>_xlfn.SINGLE(_xlfn.XLOOKUP(TRIM(B24), PlayerStatsSeason!B:B, PlayerStatsSeason!AE:AE, "Not Found"))</f>
        <v>Not Found</v>
      </c>
      <c r="T24" t="s">
        <v>423</v>
      </c>
      <c r="U24">
        <v>23</v>
      </c>
      <c r="V24" t="s">
        <v>424</v>
      </c>
    </row>
    <row r="25" spans="1:22" ht="15" customHeight="1" x14ac:dyDescent="0.25">
      <c r="A25" s="38" t="s">
        <v>425</v>
      </c>
      <c r="B25" t="str">
        <f t="shared" si="1"/>
        <v>Xavier Tillman</v>
      </c>
      <c r="C25" t="s">
        <v>389</v>
      </c>
      <c r="D25" s="41"/>
      <c r="F25" t="str">
        <f>_xlfn.SINGLE(_xlfn.XLOOKUP(TRIM(B25), PlayerStatsSeason!B:B, PlayerStatsSeason!AE:AE, "Not Found"))</f>
        <v>Not Found</v>
      </c>
    </row>
    <row r="26" spans="1:22" ht="15" customHeight="1" x14ac:dyDescent="0.25">
      <c r="A26" s="38" t="s">
        <v>426</v>
      </c>
      <c r="B26" t="str">
        <f t="shared" si="1"/>
        <v>Drew Peterson</v>
      </c>
      <c r="C26" t="s">
        <v>389</v>
      </c>
      <c r="D26" s="41"/>
      <c r="F26">
        <f>_xlfn.SINGLE(_xlfn.XLOOKUP(TRIM(B26), PlayerStatsSeason!B:B, PlayerStatsSeason!AE:AE, "Not Found"))</f>
        <v>2.1999999999999997</v>
      </c>
    </row>
    <row r="27" spans="1:22" ht="15" customHeight="1" x14ac:dyDescent="0.25">
      <c r="A27" s="38" t="s">
        <v>427</v>
      </c>
      <c r="B27" t="str">
        <f t="shared" si="1"/>
        <v>Baylor Scheierman</v>
      </c>
      <c r="C27" t="s">
        <v>392</v>
      </c>
      <c r="D27" s="41"/>
      <c r="F27">
        <f>_xlfn.SINGLE(_xlfn.XLOOKUP(TRIM(B27), PlayerStatsSeason!B:B, PlayerStatsSeason!AE:AE, "Not Found"))</f>
        <v>3.7</v>
      </c>
    </row>
    <row r="28" spans="1:22" x14ac:dyDescent="0.25">
      <c r="A28" s="38" t="s">
        <v>428</v>
      </c>
      <c r="B28" t="str">
        <f t="shared" si="1"/>
        <v>Sam Hauser</v>
      </c>
      <c r="C28" t="s">
        <v>389</v>
      </c>
      <c r="D28" s="41"/>
      <c r="F28">
        <f>_xlfn.SINGLE(_xlfn.XLOOKUP(TRIM(B28), PlayerStatsSeason!B:B, PlayerStatsSeason!AE:AE, "Not Found"))</f>
        <v>8.5</v>
      </c>
    </row>
    <row r="29" spans="1:22" ht="15" customHeight="1" x14ac:dyDescent="0.25">
      <c r="A29" s="38" t="s">
        <v>429</v>
      </c>
      <c r="B29" t="str">
        <f t="shared" si="1"/>
        <v>Al Horford</v>
      </c>
      <c r="C29" t="s">
        <v>72</v>
      </c>
      <c r="D29" s="41"/>
      <c r="F29">
        <f>_xlfn.SINGLE(_xlfn.XLOOKUP(TRIM(B29), PlayerStatsSeason!B:B, PlayerStatsSeason!AE:AE, "Not Found"))</f>
        <v>9.1</v>
      </c>
    </row>
    <row r="30" spans="1:22" x14ac:dyDescent="0.25">
      <c r="A30" s="38" t="s">
        <v>430</v>
      </c>
      <c r="B30" t="str">
        <f t="shared" si="1"/>
        <v>Luke Kornet</v>
      </c>
      <c r="C30" t="s">
        <v>72</v>
      </c>
      <c r="D30" s="41"/>
      <c r="F30">
        <f>_xlfn.SINGLE(_xlfn.XLOOKUP(TRIM(B30), PlayerStatsSeason!B:B, PlayerStatsSeason!AE:AE, "Not Found"))</f>
        <v>6.1000000000000005</v>
      </c>
    </row>
    <row r="31" spans="1:22" ht="15" customHeight="1" x14ac:dyDescent="0.25">
      <c r="A31" s="38" t="s">
        <v>431</v>
      </c>
      <c r="B31" t="str">
        <f t="shared" si="1"/>
        <v>Neemias Queta</v>
      </c>
      <c r="C31" t="s">
        <v>72</v>
      </c>
      <c r="D31" s="41"/>
      <c r="F31">
        <f>_xlfn.SINGLE(_xlfn.XLOOKUP(TRIM(B31), PlayerStatsSeason!B:B, PlayerStatsSeason!AE:AE, "Not Found"))</f>
        <v>4.9000000000000004</v>
      </c>
    </row>
    <row r="32" spans="1:22" ht="15" customHeight="1" x14ac:dyDescent="0.25">
      <c r="A32" s="38" t="s">
        <v>432</v>
      </c>
      <c r="B32" t="str">
        <f t="shared" si="1"/>
        <v>Payton Pritchard</v>
      </c>
      <c r="C32" t="s">
        <v>392</v>
      </c>
      <c r="F32">
        <f>_xlfn.SINGLE(_xlfn.XLOOKUP(TRIM(B32), PlayerStatsSeason!B:B, PlayerStatsSeason!AE:AE, "Not Found"))</f>
        <v>14.3</v>
      </c>
    </row>
    <row r="33" spans="1:33" ht="15" customHeight="1" x14ac:dyDescent="0.25">
      <c r="A33" s="38" t="s">
        <v>433</v>
      </c>
      <c r="B33" t="str">
        <f t="shared" si="1"/>
        <v>Jordan Walsh</v>
      </c>
      <c r="C33" t="s">
        <v>389</v>
      </c>
      <c r="F33">
        <f>_xlfn.SINGLE(_xlfn.XLOOKUP(TRIM(B33), PlayerStatsSeason!B:B, PlayerStatsSeason!AE:AE, "Not Found"))</f>
        <v>1.6</v>
      </c>
    </row>
    <row r="34" spans="1:33" ht="15" customHeight="1" x14ac:dyDescent="0.25">
      <c r="A34" s="38" t="s">
        <v>434</v>
      </c>
      <c r="B34" t="str">
        <f t="shared" si="1"/>
        <v>Torrey Craig</v>
      </c>
      <c r="C34" t="s">
        <v>389</v>
      </c>
      <c r="F34">
        <f>_xlfn.SINGLE(_xlfn.XLOOKUP(TRIM(B34), PlayerStatsSeason!B:B, PlayerStatsSeason!AE:AE, "Not Found"))</f>
        <v>4.2</v>
      </c>
    </row>
    <row r="35" spans="1:33" x14ac:dyDescent="0.25">
      <c r="B35" t="str">
        <f t="shared" si="1"/>
        <v/>
      </c>
      <c r="F35" t="str">
        <f>_xlfn.SINGLE(_xlfn.XLOOKUP(TRIM(B35), PlayerStatsSeason!B:B, PlayerStatsSeason!AE:AE, "Not Found"))</f>
        <v>Not Found</v>
      </c>
    </row>
    <row r="36" spans="1:33" ht="15" customHeight="1" x14ac:dyDescent="0.25">
      <c r="A36" s="64" t="s">
        <v>435</v>
      </c>
      <c r="B36" s="5" t="str">
        <f t="shared" si="1"/>
        <v>Brooklyn Nets</v>
      </c>
      <c r="F36" t="str">
        <f>_xlfn.SINGLE(_xlfn.XLOOKUP(TRIM(B36), PlayerStatsSeason!B:B, PlayerStatsSeason!AE:AE, "Not Found"))</f>
        <v>Not Found</v>
      </c>
      <c r="AF36" s="5"/>
      <c r="AG36" s="5"/>
    </row>
    <row r="37" spans="1:33" x14ac:dyDescent="0.25">
      <c r="A37" t="s">
        <v>385</v>
      </c>
      <c r="B37" s="5" t="str">
        <f t="shared" si="1"/>
        <v>starters</v>
      </c>
      <c r="F37" t="str">
        <f>_xlfn.SINGLE(_xlfn.XLOOKUP(TRIM(B37), PlayerStatsSeason!B:B, PlayerStatsSeason!AE:AE, "Not Found"))</f>
        <v>Not Found</v>
      </c>
    </row>
    <row r="38" spans="1:33" ht="15" customHeight="1" x14ac:dyDescent="0.25">
      <c r="A38" s="38" t="s">
        <v>436</v>
      </c>
      <c r="B38" t="str">
        <f t="shared" si="1"/>
        <v>Trendon Watford</v>
      </c>
      <c r="F38">
        <f>_xlfn.SINGLE(_xlfn.XLOOKUP(TRIM(B38), PlayerStatsSeason!B:B, PlayerStatsSeason!AE:AE, "Not Found"))</f>
        <v>10.199999999999999</v>
      </c>
    </row>
    <row r="39" spans="1:33" ht="15" customHeight="1" x14ac:dyDescent="0.25">
      <c r="A39" s="38" t="s">
        <v>437</v>
      </c>
      <c r="B39" t="str">
        <f t="shared" si="1"/>
        <v>Maxwell Lewis</v>
      </c>
      <c r="F39">
        <f>_xlfn.SINGLE(_xlfn.XLOOKUP(TRIM(B39), PlayerStatsSeason!B:B, PlayerStatsSeason!AE:AE, "Not Found"))</f>
        <v>4.2</v>
      </c>
    </row>
    <row r="40" spans="1:33" ht="15" customHeight="1" x14ac:dyDescent="0.25">
      <c r="A40" s="38" t="s">
        <v>438</v>
      </c>
      <c r="B40" t="str">
        <f t="shared" si="1"/>
        <v>Nic Claxton</v>
      </c>
      <c r="F40">
        <f>_xlfn.SINGLE(_xlfn.XLOOKUP(TRIM(B40), PlayerStatsSeason!B:B, PlayerStatsSeason!AE:AE, "Not Found"))</f>
        <v>10.4</v>
      </c>
    </row>
    <row r="41" spans="1:33" x14ac:dyDescent="0.25">
      <c r="A41" s="38" t="s">
        <v>439</v>
      </c>
      <c r="B41" t="str">
        <f t="shared" si="1"/>
        <v>D'Angelo Russell</v>
      </c>
      <c r="F41">
        <f>_xlfn.SINGLE(_xlfn.XLOOKUP(TRIM(B41), PlayerStatsSeason!B:B, PlayerStatsSeason!AE:AE, "Not Found"))</f>
        <v>12.6</v>
      </c>
    </row>
    <row r="42" spans="1:33" x14ac:dyDescent="0.25">
      <c r="A42" s="38" t="s">
        <v>440</v>
      </c>
      <c r="B42" t="str">
        <f t="shared" si="1"/>
        <v>Keon Johnson</v>
      </c>
      <c r="F42">
        <f>_xlfn.SINGLE(_xlfn.XLOOKUP(TRIM(B42), PlayerStatsSeason!B:B, PlayerStatsSeason!AE:AE, "Not Found"))</f>
        <v>10.6</v>
      </c>
    </row>
    <row r="43" spans="1:33" x14ac:dyDescent="0.25">
      <c r="A43" t="s">
        <v>393</v>
      </c>
      <c r="B43" t="str">
        <f t="shared" si="1"/>
        <v>bench</v>
      </c>
      <c r="F43" t="str">
        <f>_xlfn.SINGLE(_xlfn.XLOOKUP(TRIM(B43), PlayerStatsSeason!B:B, PlayerStatsSeason!AE:AE, "Not Found"))</f>
        <v>Not Found</v>
      </c>
    </row>
    <row r="44" spans="1:33" x14ac:dyDescent="0.25">
      <c r="A44" s="38" t="s">
        <v>441</v>
      </c>
      <c r="B44" t="str">
        <f t="shared" si="1"/>
        <v>Drew Timme</v>
      </c>
      <c r="F44">
        <f>_xlfn.SINGLE(_xlfn.XLOOKUP(TRIM(B44), PlayerStatsSeason!B:B, PlayerStatsSeason!AE:AE, "Not Found"))</f>
        <v>12.1</v>
      </c>
    </row>
    <row r="45" spans="1:33" x14ac:dyDescent="0.25">
      <c r="A45" s="38" t="s">
        <v>442</v>
      </c>
      <c r="B45" t="str">
        <f t="shared" si="1"/>
        <v>Dariq Whitehead</v>
      </c>
      <c r="F45">
        <f>_xlfn.SINGLE(_xlfn.XLOOKUP(TRIM(B45), PlayerStatsSeason!B:B, PlayerStatsSeason!AE:AE, "Not Found"))</f>
        <v>5.8999999999999995</v>
      </c>
    </row>
    <row r="46" spans="1:33" x14ac:dyDescent="0.25">
      <c r="A46" s="38" t="s">
        <v>443</v>
      </c>
      <c r="B46" t="str">
        <f t="shared" si="1"/>
        <v>Tosan Evbuomwan</v>
      </c>
    </row>
    <row r="47" spans="1:33" x14ac:dyDescent="0.25">
      <c r="A47" s="38" t="s">
        <v>444</v>
      </c>
      <c r="B47" t="str">
        <f t="shared" si="1"/>
        <v>Reece Beekman</v>
      </c>
    </row>
    <row r="48" spans="1:33" x14ac:dyDescent="0.25">
      <c r="A48" s="38" t="s">
        <v>445</v>
      </c>
      <c r="B48" t="str">
        <f t="shared" si="1"/>
        <v>Tyson Etienne</v>
      </c>
    </row>
    <row r="49" spans="1:2" x14ac:dyDescent="0.25">
      <c r="A49" s="38" t="s">
        <v>446</v>
      </c>
      <c r="B49" t="str">
        <f t="shared" si="1"/>
        <v>Tyrese Martin</v>
      </c>
    </row>
    <row r="50" spans="1:2" x14ac:dyDescent="0.25">
      <c r="B50" t="str">
        <f t="shared" si="1"/>
        <v/>
      </c>
    </row>
    <row r="51" spans="1:2" x14ac:dyDescent="0.25">
      <c r="A51" s="5" t="s">
        <v>447</v>
      </c>
      <c r="B51" s="5" t="str">
        <f t="shared" si="1"/>
        <v>Charlotte Hornets</v>
      </c>
    </row>
    <row r="52" spans="1:2" x14ac:dyDescent="0.25">
      <c r="A52" t="s">
        <v>385</v>
      </c>
      <c r="B52" s="5" t="str">
        <f t="shared" si="1"/>
        <v>starters</v>
      </c>
    </row>
    <row r="53" spans="1:2" x14ac:dyDescent="0.25">
      <c r="A53" s="38" t="s">
        <v>448</v>
      </c>
      <c r="B53" t="str">
        <f t="shared" si="1"/>
        <v>Miles Bridges</v>
      </c>
    </row>
    <row r="54" spans="1:2" x14ac:dyDescent="0.25">
      <c r="A54" s="38" t="s">
        <v>449</v>
      </c>
      <c r="B54" t="str">
        <f t="shared" si="1"/>
        <v>Jusuf Nurkic</v>
      </c>
    </row>
    <row r="55" spans="1:2" x14ac:dyDescent="0.25">
      <c r="A55" s="38" t="s">
        <v>450</v>
      </c>
      <c r="B55" t="str">
        <f t="shared" si="1"/>
        <v>Seth Curry</v>
      </c>
    </row>
    <row r="56" spans="1:2" x14ac:dyDescent="0.25">
      <c r="A56" s="38" t="s">
        <v>451</v>
      </c>
      <c r="B56" t="str">
        <f t="shared" si="1"/>
        <v>DaQuan Jeffries</v>
      </c>
    </row>
    <row r="57" spans="1:2" x14ac:dyDescent="0.25">
      <c r="A57" s="38" t="s">
        <v>452</v>
      </c>
      <c r="B57" t="str">
        <f t="shared" si="1"/>
        <v>KJ Simpson</v>
      </c>
    </row>
    <row r="58" spans="1:2" x14ac:dyDescent="0.25">
      <c r="A58" t="s">
        <v>393</v>
      </c>
      <c r="B58" t="str">
        <f t="shared" si="1"/>
        <v>bench</v>
      </c>
    </row>
    <row r="59" spans="1:2" x14ac:dyDescent="0.25">
      <c r="A59" s="38" t="s">
        <v>453</v>
      </c>
      <c r="B59" t="str">
        <f t="shared" si="1"/>
        <v>Taj Gibson</v>
      </c>
    </row>
    <row r="60" spans="1:2" x14ac:dyDescent="0.25">
      <c r="A60" s="38" t="s">
        <v>454</v>
      </c>
      <c r="B60" t="str">
        <f t="shared" si="1"/>
        <v>Moussa Diabate</v>
      </c>
    </row>
    <row r="61" spans="1:2" x14ac:dyDescent="0.25">
      <c r="A61" s="38" t="s">
        <v>455</v>
      </c>
      <c r="B61" t="str">
        <f t="shared" si="1"/>
        <v>Tidjane Salaun</v>
      </c>
    </row>
    <row r="62" spans="1:2" x14ac:dyDescent="0.25">
      <c r="A62" s="38" t="s">
        <v>456</v>
      </c>
      <c r="B62" t="str">
        <f t="shared" si="1"/>
        <v>Josh Okogie</v>
      </c>
    </row>
    <row r="63" spans="1:2" x14ac:dyDescent="0.25">
      <c r="A63" s="38" t="s">
        <v>457</v>
      </c>
      <c r="B63" t="str">
        <f t="shared" si="1"/>
        <v>Jaylen Sims</v>
      </c>
    </row>
    <row r="64" spans="1:2" x14ac:dyDescent="0.25">
      <c r="A64" s="38" t="s">
        <v>458</v>
      </c>
      <c r="B64" t="str">
        <f t="shared" si="1"/>
        <v>Grant Williams</v>
      </c>
    </row>
    <row r="65" spans="1:2" x14ac:dyDescent="0.25">
      <c r="A65" s="38"/>
      <c r="B65" t="str">
        <f t="shared" si="1"/>
        <v/>
      </c>
    </row>
    <row r="66" spans="1:2" x14ac:dyDescent="0.25">
      <c r="A66" s="5" t="s">
        <v>459</v>
      </c>
      <c r="B66" s="5" t="str">
        <f t="shared" si="1"/>
        <v>Chicago Bulls</v>
      </c>
    </row>
    <row r="67" spans="1:2" x14ac:dyDescent="0.25">
      <c r="A67" t="s">
        <v>385</v>
      </c>
      <c r="B67" s="5" t="str">
        <f t="shared" si="1"/>
        <v>starters</v>
      </c>
    </row>
    <row r="68" spans="1:2" x14ac:dyDescent="0.25">
      <c r="A68" s="38" t="s">
        <v>460</v>
      </c>
      <c r="B68" t="str">
        <f t="shared" ref="B68:B131" si="2">LEFT(A68, FIND("#", A68 &amp; "#") - 1)</f>
        <v>Matas Buzelis</v>
      </c>
    </row>
    <row r="69" spans="1:2" x14ac:dyDescent="0.25">
      <c r="A69" s="38" t="s">
        <v>461</v>
      </c>
      <c r="B69" t="str">
        <f t="shared" si="2"/>
        <v>Nikola Vucevic</v>
      </c>
    </row>
    <row r="70" spans="1:2" x14ac:dyDescent="0.25">
      <c r="A70" s="38" t="s">
        <v>462</v>
      </c>
      <c r="B70" t="str">
        <f t="shared" si="2"/>
        <v>Coby White</v>
      </c>
    </row>
    <row r="71" spans="1:2" x14ac:dyDescent="0.25">
      <c r="A71" s="38" t="s">
        <v>463</v>
      </c>
      <c r="B71" t="str">
        <f t="shared" si="2"/>
        <v>Kevin Huerter</v>
      </c>
    </row>
    <row r="72" spans="1:2" x14ac:dyDescent="0.25">
      <c r="A72" s="38" t="s">
        <v>464</v>
      </c>
      <c r="B72" t="str">
        <f t="shared" si="2"/>
        <v>Josh Giddey</v>
      </c>
    </row>
    <row r="73" spans="1:2" x14ac:dyDescent="0.25">
      <c r="A73" t="s">
        <v>393</v>
      </c>
      <c r="B73" t="str">
        <f t="shared" si="2"/>
        <v>bench</v>
      </c>
    </row>
    <row r="74" spans="1:2" x14ac:dyDescent="0.25">
      <c r="A74" s="38" t="s">
        <v>465</v>
      </c>
      <c r="B74" t="str">
        <f t="shared" si="2"/>
        <v>Zach Collins</v>
      </c>
    </row>
    <row r="75" spans="1:2" x14ac:dyDescent="0.25">
      <c r="A75" s="38" t="s">
        <v>466</v>
      </c>
      <c r="B75" t="str">
        <f t="shared" si="2"/>
        <v>Patrick Williams</v>
      </c>
    </row>
    <row r="76" spans="1:2" x14ac:dyDescent="0.25">
      <c r="A76" s="38" t="s">
        <v>467</v>
      </c>
      <c r="B76" t="str">
        <f t="shared" si="2"/>
        <v>Dalen Terry</v>
      </c>
    </row>
    <row r="77" spans="1:2" x14ac:dyDescent="0.25">
      <c r="A77" s="38" t="s">
        <v>468</v>
      </c>
      <c r="B77" t="str">
        <f t="shared" si="2"/>
        <v>Julian Phillips</v>
      </c>
    </row>
    <row r="78" spans="1:2" x14ac:dyDescent="0.25">
      <c r="A78" s="38" t="s">
        <v>469</v>
      </c>
      <c r="B78" t="str">
        <f t="shared" si="2"/>
        <v>Talen Horton-Tucker</v>
      </c>
    </row>
    <row r="79" spans="1:2" x14ac:dyDescent="0.25">
      <c r="A79" s="38" t="s">
        <v>470</v>
      </c>
      <c r="B79" t="str">
        <f t="shared" si="2"/>
        <v>Jalen Smith</v>
      </c>
    </row>
    <row r="80" spans="1:2" x14ac:dyDescent="0.25">
      <c r="A80" s="38" t="s">
        <v>471</v>
      </c>
      <c r="B80" t="str">
        <f t="shared" si="2"/>
        <v>E.J. Liddell</v>
      </c>
    </row>
    <row r="81" spans="1:5" x14ac:dyDescent="0.25">
      <c r="A81" s="38" t="s">
        <v>472</v>
      </c>
      <c r="B81" t="str">
        <f t="shared" si="2"/>
        <v>Emanuel Miller</v>
      </c>
    </row>
    <row r="82" spans="1:5" x14ac:dyDescent="0.25">
      <c r="A82" s="38" t="s">
        <v>473</v>
      </c>
      <c r="B82" t="str">
        <f t="shared" si="2"/>
        <v>Jevon Carter</v>
      </c>
    </row>
    <row r="83" spans="1:5" x14ac:dyDescent="0.25">
      <c r="A83" s="38" t="s">
        <v>474</v>
      </c>
      <c r="B83" t="str">
        <f t="shared" si="2"/>
        <v>Jahmir Young</v>
      </c>
    </row>
    <row r="84" spans="1:5" x14ac:dyDescent="0.25">
      <c r="B84" t="str">
        <f t="shared" si="2"/>
        <v/>
      </c>
    </row>
    <row r="85" spans="1:5" x14ac:dyDescent="0.25">
      <c r="A85" s="5" t="s">
        <v>475</v>
      </c>
      <c r="B85" s="5" t="str">
        <f t="shared" si="2"/>
        <v>Cleveland Cavaliers</v>
      </c>
      <c r="C85" s="5"/>
    </row>
    <row r="86" spans="1:5" x14ac:dyDescent="0.25">
      <c r="A86" t="s">
        <v>385</v>
      </c>
      <c r="B86" s="5" t="str">
        <f t="shared" si="2"/>
        <v>starters</v>
      </c>
      <c r="D86" s="187" t="s">
        <v>36</v>
      </c>
      <c r="E86" s="187" t="s">
        <v>384</v>
      </c>
    </row>
    <row r="87" spans="1:5" x14ac:dyDescent="0.25">
      <c r="A87" t="s">
        <v>92</v>
      </c>
      <c r="B87" t="str">
        <f t="shared" si="2"/>
        <v>Evan Mobley</v>
      </c>
      <c r="C87" t="s">
        <v>93</v>
      </c>
      <c r="D87">
        <v>108.4</v>
      </c>
      <c r="E87">
        <v>124.2</v>
      </c>
    </row>
    <row r="88" spans="1:5" x14ac:dyDescent="0.25">
      <c r="A88" t="s">
        <v>84</v>
      </c>
      <c r="B88" t="str">
        <f t="shared" si="2"/>
        <v>Jarrett Allen</v>
      </c>
      <c r="C88" t="s">
        <v>72</v>
      </c>
      <c r="D88">
        <v>108.3</v>
      </c>
      <c r="E88">
        <v>141.9</v>
      </c>
    </row>
    <row r="89" spans="1:5" x14ac:dyDescent="0.25">
      <c r="A89" t="s">
        <v>476</v>
      </c>
      <c r="B89" t="str">
        <f t="shared" si="2"/>
        <v>Darius Garland</v>
      </c>
      <c r="C89" t="s">
        <v>56</v>
      </c>
      <c r="D89">
        <v>114.9</v>
      </c>
      <c r="E89">
        <v>121.2</v>
      </c>
    </row>
    <row r="90" spans="1:5" x14ac:dyDescent="0.25">
      <c r="A90" t="s">
        <v>477</v>
      </c>
      <c r="B90" t="str">
        <f t="shared" si="2"/>
        <v>Donovan Mitchell</v>
      </c>
      <c r="C90" t="s">
        <v>478</v>
      </c>
      <c r="D90">
        <v>112.9</v>
      </c>
      <c r="E90">
        <v>118.2</v>
      </c>
    </row>
    <row r="91" spans="1:5" x14ac:dyDescent="0.25">
      <c r="A91" t="s">
        <v>479</v>
      </c>
      <c r="B91" t="str">
        <f t="shared" si="2"/>
        <v>Max Strus</v>
      </c>
      <c r="C91" t="s">
        <v>63</v>
      </c>
      <c r="D91">
        <v>114.9</v>
      </c>
      <c r="E91">
        <v>126.3</v>
      </c>
    </row>
    <row r="92" spans="1:5" x14ac:dyDescent="0.25">
      <c r="A92" t="s">
        <v>393</v>
      </c>
      <c r="B92" t="str">
        <f t="shared" si="2"/>
        <v>bench</v>
      </c>
    </row>
    <row r="93" spans="1:5" x14ac:dyDescent="0.25">
      <c r="A93" t="s">
        <v>480</v>
      </c>
      <c r="B93" t="str">
        <f t="shared" si="2"/>
        <v>Emoni Bates</v>
      </c>
      <c r="C93" t="s">
        <v>389</v>
      </c>
      <c r="D93">
        <v>117.5</v>
      </c>
      <c r="E93">
        <v>88.5</v>
      </c>
    </row>
    <row r="94" spans="1:5" x14ac:dyDescent="0.25">
      <c r="A94" t="s">
        <v>481</v>
      </c>
      <c r="B94" t="str">
        <f t="shared" si="2"/>
        <v>Jaylon Tyson</v>
      </c>
      <c r="C94" t="s">
        <v>389</v>
      </c>
      <c r="D94">
        <v>114.5</v>
      </c>
      <c r="E94">
        <v>116.3</v>
      </c>
    </row>
    <row r="95" spans="1:5" x14ac:dyDescent="0.25">
      <c r="A95" t="s">
        <v>482</v>
      </c>
      <c r="B95" t="str">
        <f t="shared" si="2"/>
        <v>Nae'Qwan Tomlin</v>
      </c>
      <c r="C95" t="s">
        <v>389</v>
      </c>
      <c r="D95">
        <v>110.3</v>
      </c>
      <c r="E95">
        <v>103.5</v>
      </c>
    </row>
    <row r="96" spans="1:5" x14ac:dyDescent="0.25">
      <c r="A96" t="s">
        <v>483</v>
      </c>
      <c r="B96" t="str">
        <f t="shared" si="2"/>
        <v>De'Andre Hunter</v>
      </c>
      <c r="C96" t="s">
        <v>47</v>
      </c>
      <c r="D96">
        <v>114</v>
      </c>
      <c r="E96">
        <v>126.6</v>
      </c>
    </row>
    <row r="97" spans="1:5" x14ac:dyDescent="0.25">
      <c r="A97" t="s">
        <v>484</v>
      </c>
      <c r="B97" t="str">
        <f t="shared" si="2"/>
        <v>Isaac Okoro</v>
      </c>
      <c r="C97" t="s">
        <v>47</v>
      </c>
      <c r="D97">
        <v>115</v>
      </c>
      <c r="E97">
        <v>124.1</v>
      </c>
    </row>
    <row r="98" spans="1:5" x14ac:dyDescent="0.25">
      <c r="A98" t="s">
        <v>485</v>
      </c>
      <c r="B98" t="str">
        <f t="shared" si="2"/>
        <v>Sam Merrill</v>
      </c>
      <c r="C98" t="s">
        <v>63</v>
      </c>
      <c r="D98">
        <v>114.4</v>
      </c>
      <c r="E98">
        <v>120.8</v>
      </c>
    </row>
    <row r="99" spans="1:5" x14ac:dyDescent="0.25">
      <c r="A99" t="s">
        <v>486</v>
      </c>
      <c r="B99" t="str">
        <f t="shared" si="2"/>
        <v>Javonte Green</v>
      </c>
      <c r="C99" t="s">
        <v>392</v>
      </c>
      <c r="D99">
        <v>108.3</v>
      </c>
      <c r="E99">
        <v>108.6</v>
      </c>
    </row>
    <row r="100" spans="1:5" x14ac:dyDescent="0.25">
      <c r="A100" t="s">
        <v>487</v>
      </c>
      <c r="B100" t="str">
        <f t="shared" si="2"/>
        <v>Craig Porter Jr.</v>
      </c>
      <c r="C100" t="s">
        <v>392</v>
      </c>
      <c r="D100">
        <v>112.8</v>
      </c>
      <c r="E100">
        <v>124.5</v>
      </c>
    </row>
    <row r="101" spans="1:5" x14ac:dyDescent="0.25">
      <c r="A101" t="s">
        <v>488</v>
      </c>
      <c r="B101" t="str">
        <f t="shared" si="2"/>
        <v>Luke Travers</v>
      </c>
      <c r="C101" t="s">
        <v>392</v>
      </c>
      <c r="D101">
        <v>115.3</v>
      </c>
      <c r="E101">
        <v>84.6</v>
      </c>
    </row>
    <row r="102" spans="1:5" x14ac:dyDescent="0.25">
      <c r="A102" t="s">
        <v>489</v>
      </c>
      <c r="B102" t="str">
        <f t="shared" si="2"/>
        <v>Tristan Thompson</v>
      </c>
      <c r="C102" t="s">
        <v>72</v>
      </c>
      <c r="D102">
        <v>110.3</v>
      </c>
      <c r="E102">
        <v>104.4</v>
      </c>
    </row>
    <row r="103" spans="1:5" x14ac:dyDescent="0.25">
      <c r="B103" t="str">
        <f t="shared" si="2"/>
        <v/>
      </c>
    </row>
    <row r="104" spans="1:5" x14ac:dyDescent="0.25">
      <c r="A104" s="5" t="s">
        <v>490</v>
      </c>
      <c r="B104" s="5" t="str">
        <f t="shared" si="2"/>
        <v>Dallas Mavericks</v>
      </c>
    </row>
    <row r="105" spans="1:5" x14ac:dyDescent="0.25">
      <c r="A105" t="s">
        <v>385</v>
      </c>
      <c r="B105" s="5" t="str">
        <f t="shared" si="2"/>
        <v>starters</v>
      </c>
    </row>
    <row r="106" spans="1:5" x14ac:dyDescent="0.25">
      <c r="A106" s="38" t="s">
        <v>491</v>
      </c>
      <c r="B106" t="str">
        <f t="shared" si="2"/>
        <v>Anthony Davis</v>
      </c>
    </row>
    <row r="107" spans="1:5" x14ac:dyDescent="0.25">
      <c r="A107" s="38" t="s">
        <v>492</v>
      </c>
      <c r="B107" t="str">
        <f t="shared" si="2"/>
        <v>Naji Marshall</v>
      </c>
    </row>
    <row r="108" spans="1:5" x14ac:dyDescent="0.25">
      <c r="A108" s="38" t="s">
        <v>493</v>
      </c>
      <c r="B108" t="str">
        <f t="shared" si="2"/>
        <v>Dereck Lively II</v>
      </c>
    </row>
    <row r="109" spans="1:5" x14ac:dyDescent="0.25">
      <c r="A109" s="38" t="s">
        <v>494</v>
      </c>
      <c r="B109" t="str">
        <f t="shared" si="2"/>
        <v>Spencer Dinwiddie</v>
      </c>
    </row>
    <row r="110" spans="1:5" x14ac:dyDescent="0.25">
      <c r="A110" s="38" t="s">
        <v>495</v>
      </c>
      <c r="B110" t="str">
        <f t="shared" si="2"/>
        <v>Klay Thompson</v>
      </c>
    </row>
    <row r="111" spans="1:5" x14ac:dyDescent="0.25">
      <c r="A111" t="s">
        <v>393</v>
      </c>
      <c r="B111" t="str">
        <f t="shared" si="2"/>
        <v>bench</v>
      </c>
    </row>
    <row r="112" spans="1:5" x14ac:dyDescent="0.25">
      <c r="A112" s="38" t="s">
        <v>496</v>
      </c>
      <c r="B112" t="str">
        <f t="shared" si="2"/>
        <v>Kai Jones</v>
      </c>
    </row>
    <row r="113" spans="1:2" x14ac:dyDescent="0.25">
      <c r="A113" s="38" t="s">
        <v>497</v>
      </c>
      <c r="B113" t="str">
        <f t="shared" si="2"/>
        <v>Caleb Martin</v>
      </c>
    </row>
    <row r="114" spans="1:2" x14ac:dyDescent="0.25">
      <c r="A114" s="38" t="s">
        <v>498</v>
      </c>
      <c r="B114" t="str">
        <f t="shared" si="2"/>
        <v>Daniel Gafford</v>
      </c>
    </row>
    <row r="115" spans="1:2" x14ac:dyDescent="0.25">
      <c r="A115" s="38" t="s">
        <v>499</v>
      </c>
      <c r="B115" t="str">
        <f t="shared" si="2"/>
        <v>Max Christie</v>
      </c>
    </row>
    <row r="116" spans="1:2" x14ac:dyDescent="0.25">
      <c r="A116" s="38" t="s">
        <v>500</v>
      </c>
      <c r="B116" t="str">
        <f t="shared" si="2"/>
        <v>Jaden Hardy</v>
      </c>
    </row>
    <row r="117" spans="1:2" x14ac:dyDescent="0.25">
      <c r="A117" s="38" t="s">
        <v>501</v>
      </c>
      <c r="B117" t="str">
        <f t="shared" si="2"/>
        <v>P.J. Washington</v>
      </c>
    </row>
    <row r="118" spans="1:2" x14ac:dyDescent="0.25">
      <c r="A118" s="38" t="s">
        <v>502</v>
      </c>
      <c r="B118" t="str">
        <f t="shared" si="2"/>
        <v>Dwight Powell</v>
      </c>
    </row>
    <row r="119" spans="1:2" x14ac:dyDescent="0.25">
      <c r="B119" t="str">
        <f t="shared" si="2"/>
        <v/>
      </c>
    </row>
    <row r="120" spans="1:2" x14ac:dyDescent="0.25">
      <c r="A120" s="5" t="s">
        <v>503</v>
      </c>
      <c r="B120" s="5" t="str">
        <f t="shared" si="2"/>
        <v>Denver Nuggets</v>
      </c>
    </row>
    <row r="121" spans="1:2" x14ac:dyDescent="0.25">
      <c r="A121" t="s">
        <v>385</v>
      </c>
      <c r="B121" s="5" t="str">
        <f t="shared" si="2"/>
        <v>starters</v>
      </c>
    </row>
    <row r="122" spans="1:2" x14ac:dyDescent="0.25">
      <c r="A122" s="38" t="s">
        <v>504</v>
      </c>
      <c r="B122" t="str">
        <f t="shared" si="2"/>
        <v>Aaron Gordon</v>
      </c>
    </row>
    <row r="123" spans="1:2" x14ac:dyDescent="0.25">
      <c r="A123" s="38" t="s">
        <v>505</v>
      </c>
      <c r="B123" t="str">
        <f t="shared" si="2"/>
        <v>Peyton Watson</v>
      </c>
    </row>
    <row r="124" spans="1:2" x14ac:dyDescent="0.25">
      <c r="A124" s="38" t="s">
        <v>506</v>
      </c>
      <c r="B124" t="str">
        <f t="shared" si="2"/>
        <v>Michael Porter Jr.</v>
      </c>
    </row>
    <row r="125" spans="1:2" x14ac:dyDescent="0.25">
      <c r="A125" s="38" t="s">
        <v>507</v>
      </c>
      <c r="B125" t="str">
        <f t="shared" si="2"/>
        <v>Nikola Jokic</v>
      </c>
    </row>
    <row r="126" spans="1:2" x14ac:dyDescent="0.25">
      <c r="A126" s="38" t="s">
        <v>508</v>
      </c>
      <c r="B126" t="str">
        <f t="shared" si="2"/>
        <v>Christian Braun</v>
      </c>
    </row>
    <row r="127" spans="1:2" x14ac:dyDescent="0.25">
      <c r="A127" t="s">
        <v>393</v>
      </c>
      <c r="B127" t="str">
        <f t="shared" si="2"/>
        <v>bench</v>
      </c>
    </row>
    <row r="128" spans="1:2" x14ac:dyDescent="0.25">
      <c r="A128" s="38" t="s">
        <v>509</v>
      </c>
      <c r="B128" t="str">
        <f t="shared" si="2"/>
        <v>Zeke Nnaji</v>
      </c>
    </row>
    <row r="129" spans="1:2" x14ac:dyDescent="0.25">
      <c r="A129" s="38" t="s">
        <v>510</v>
      </c>
      <c r="B129" t="str">
        <f t="shared" si="2"/>
        <v>Vlatko Cancar</v>
      </c>
    </row>
    <row r="130" spans="1:2" x14ac:dyDescent="0.25">
      <c r="A130" s="38" t="s">
        <v>511</v>
      </c>
      <c r="B130" t="str">
        <f t="shared" si="2"/>
        <v>Russell Westbrook</v>
      </c>
    </row>
    <row r="131" spans="1:2" x14ac:dyDescent="0.25">
      <c r="A131" s="38" t="s">
        <v>512</v>
      </c>
      <c r="B131" t="str">
        <f t="shared" si="2"/>
        <v>Jalen Pickett</v>
      </c>
    </row>
    <row r="132" spans="1:2" x14ac:dyDescent="0.25">
      <c r="A132" s="38" t="s">
        <v>513</v>
      </c>
      <c r="B132" t="str">
        <f t="shared" ref="B132:B195" si="3">LEFT(A132, FIND("#", A132 &amp; "#") - 1)</f>
        <v>Dario Saric</v>
      </c>
    </row>
    <row r="133" spans="1:2" x14ac:dyDescent="0.25">
      <c r="A133" s="38" t="s">
        <v>514</v>
      </c>
      <c r="B133" t="str">
        <f t="shared" si="3"/>
        <v>Hunter Tyson</v>
      </c>
    </row>
    <row r="134" spans="1:2" x14ac:dyDescent="0.25">
      <c r="A134" s="38" t="s">
        <v>515</v>
      </c>
      <c r="B134" t="str">
        <f t="shared" si="3"/>
        <v>Spencer Jones</v>
      </c>
    </row>
    <row r="135" spans="1:2" x14ac:dyDescent="0.25">
      <c r="A135" s="38" t="s">
        <v>516</v>
      </c>
      <c r="B135" t="str">
        <f t="shared" si="3"/>
        <v>DeAndre Jordan</v>
      </c>
    </row>
    <row r="136" spans="1:2" x14ac:dyDescent="0.25">
      <c r="A136" s="38" t="s">
        <v>517</v>
      </c>
      <c r="B136" t="str">
        <f t="shared" si="3"/>
        <v>Julian Strawther</v>
      </c>
    </row>
    <row r="137" spans="1:2" x14ac:dyDescent="0.25">
      <c r="A137" s="38" t="s">
        <v>518</v>
      </c>
      <c r="B137" t="str">
        <f t="shared" si="3"/>
        <v>Trey Alexander</v>
      </c>
    </row>
    <row r="138" spans="1:2" x14ac:dyDescent="0.25">
      <c r="B138" t="str">
        <f t="shared" si="3"/>
        <v/>
      </c>
    </row>
    <row r="139" spans="1:2" x14ac:dyDescent="0.25">
      <c r="A139" s="5" t="s">
        <v>519</v>
      </c>
      <c r="B139" s="5" t="str">
        <f t="shared" si="3"/>
        <v>Detroit Pistons</v>
      </c>
    </row>
    <row r="140" spans="1:2" x14ac:dyDescent="0.25">
      <c r="A140" t="s">
        <v>385</v>
      </c>
      <c r="B140" s="5" t="str">
        <f t="shared" si="3"/>
        <v>starters</v>
      </c>
    </row>
    <row r="141" spans="1:2" x14ac:dyDescent="0.25">
      <c r="A141" s="38" t="s">
        <v>520</v>
      </c>
      <c r="B141" t="str">
        <f t="shared" si="3"/>
        <v>Ausar Thompson</v>
      </c>
    </row>
    <row r="142" spans="1:2" x14ac:dyDescent="0.25">
      <c r="A142" s="40" t="s">
        <v>521</v>
      </c>
      <c r="B142" t="str">
        <f t="shared" si="3"/>
        <v>Tim Hardaway Jr.</v>
      </c>
    </row>
    <row r="143" spans="1:2" x14ac:dyDescent="0.25">
      <c r="A143" s="38" t="s">
        <v>522</v>
      </c>
      <c r="B143" t="str">
        <f t="shared" si="3"/>
        <v>Jalen Duren</v>
      </c>
    </row>
    <row r="144" spans="1:2" x14ac:dyDescent="0.25">
      <c r="A144" s="38" t="s">
        <v>523</v>
      </c>
      <c r="B144" t="str">
        <f t="shared" si="3"/>
        <v>Dennis Schroder</v>
      </c>
    </row>
    <row r="145" spans="1:2" x14ac:dyDescent="0.25">
      <c r="A145" s="38" t="s">
        <v>524</v>
      </c>
      <c r="B145" t="str">
        <f t="shared" si="3"/>
        <v>Malik Beasley</v>
      </c>
    </row>
    <row r="146" spans="1:2" x14ac:dyDescent="0.25">
      <c r="A146" t="s">
        <v>393</v>
      </c>
      <c r="B146" t="str">
        <f t="shared" si="3"/>
        <v>bench</v>
      </c>
    </row>
    <row r="147" spans="1:2" x14ac:dyDescent="0.25">
      <c r="A147" s="38" t="s">
        <v>525</v>
      </c>
      <c r="B147" t="str">
        <f t="shared" si="3"/>
        <v>Simone Fontecchio</v>
      </c>
    </row>
    <row r="148" spans="1:2" x14ac:dyDescent="0.25">
      <c r="A148" s="38" t="s">
        <v>526</v>
      </c>
      <c r="B148" t="str">
        <f t="shared" si="3"/>
        <v>Lindy Waters III</v>
      </c>
    </row>
    <row r="149" spans="1:2" x14ac:dyDescent="0.25">
      <c r="A149" s="38" t="s">
        <v>527</v>
      </c>
      <c r="B149" t="str">
        <f t="shared" si="3"/>
        <v>Paul Reed</v>
      </c>
    </row>
    <row r="150" spans="1:2" x14ac:dyDescent="0.25">
      <c r="A150" s="38" t="s">
        <v>528</v>
      </c>
      <c r="B150" t="str">
        <f t="shared" si="3"/>
        <v>Ronald Holland II</v>
      </c>
    </row>
    <row r="151" spans="1:2" x14ac:dyDescent="0.25">
      <c r="A151" s="38" t="s">
        <v>529</v>
      </c>
      <c r="B151" t="str">
        <f t="shared" si="3"/>
        <v>Marcus Sasser</v>
      </c>
    </row>
    <row r="152" spans="1:2" x14ac:dyDescent="0.25">
      <c r="A152" s="38" t="s">
        <v>530</v>
      </c>
      <c r="B152" t="str">
        <f t="shared" si="3"/>
        <v>Tolu Smith</v>
      </c>
    </row>
    <row r="153" spans="1:2" x14ac:dyDescent="0.25">
      <c r="A153" s="38" t="s">
        <v>531</v>
      </c>
      <c r="B153" t="str">
        <f t="shared" si="3"/>
        <v>Bobi Klintman</v>
      </c>
    </row>
    <row r="154" spans="1:2" x14ac:dyDescent="0.25">
      <c r="A154" s="38" t="s">
        <v>532</v>
      </c>
      <c r="B154" t="str">
        <f t="shared" si="3"/>
        <v>Isaiah Stewart</v>
      </c>
    </row>
    <row r="155" spans="1:2" x14ac:dyDescent="0.25">
      <c r="A155" s="38" t="s">
        <v>533</v>
      </c>
      <c r="B155" t="str">
        <f t="shared" si="3"/>
        <v>Ron Harper Jr.</v>
      </c>
    </row>
    <row r="156" spans="1:2" x14ac:dyDescent="0.25">
      <c r="A156" s="38" t="s">
        <v>534</v>
      </c>
      <c r="B156" t="str">
        <f t="shared" si="3"/>
        <v>Daniss Jenkins</v>
      </c>
    </row>
    <row r="157" spans="1:2" x14ac:dyDescent="0.25">
      <c r="B157" t="str">
        <f t="shared" si="3"/>
        <v/>
      </c>
    </row>
    <row r="158" spans="1:2" x14ac:dyDescent="0.25">
      <c r="A158" s="5" t="s">
        <v>535</v>
      </c>
      <c r="B158" s="5" t="str">
        <f t="shared" si="3"/>
        <v>Golden State Warriors</v>
      </c>
    </row>
    <row r="159" spans="1:2" x14ac:dyDescent="0.25">
      <c r="A159" t="s">
        <v>385</v>
      </c>
      <c r="B159" s="5" t="str">
        <f t="shared" si="3"/>
        <v>starters</v>
      </c>
    </row>
    <row r="160" spans="1:2" x14ac:dyDescent="0.25">
      <c r="A160" s="38" t="s">
        <v>536</v>
      </c>
      <c r="B160" t="str">
        <f t="shared" si="3"/>
        <v>Draymond Green</v>
      </c>
    </row>
    <row r="161" spans="1:2" x14ac:dyDescent="0.25">
      <c r="A161" s="38" t="s">
        <v>537</v>
      </c>
      <c r="B161" t="str">
        <f t="shared" si="3"/>
        <v>Jimmy Butler III</v>
      </c>
    </row>
    <row r="162" spans="1:2" x14ac:dyDescent="0.25">
      <c r="A162" s="38" t="s">
        <v>538</v>
      </c>
      <c r="B162" t="str">
        <f t="shared" si="3"/>
        <v>Stephen Curry</v>
      </c>
    </row>
    <row r="163" spans="1:2" x14ac:dyDescent="0.25">
      <c r="A163" s="38" t="s">
        <v>539</v>
      </c>
      <c r="B163" t="str">
        <f t="shared" si="3"/>
        <v>Moses Moody</v>
      </c>
    </row>
    <row r="164" spans="1:2" x14ac:dyDescent="0.25">
      <c r="A164" s="38" t="s">
        <v>540</v>
      </c>
      <c r="B164" t="str">
        <f t="shared" si="3"/>
        <v>Brandin Podziemski</v>
      </c>
    </row>
    <row r="165" spans="1:2" x14ac:dyDescent="0.25">
      <c r="A165" t="s">
        <v>393</v>
      </c>
      <c r="B165" t="str">
        <f t="shared" si="3"/>
        <v>bench</v>
      </c>
    </row>
    <row r="166" spans="1:2" x14ac:dyDescent="0.25">
      <c r="A166" s="38" t="s">
        <v>541</v>
      </c>
      <c r="B166" t="str">
        <f t="shared" si="3"/>
        <v>Jonathan Kuminga</v>
      </c>
    </row>
    <row r="167" spans="1:2" x14ac:dyDescent="0.25">
      <c r="A167" s="38" t="s">
        <v>542</v>
      </c>
      <c r="B167" t="str">
        <f t="shared" si="3"/>
        <v>Kevon Looney</v>
      </c>
    </row>
    <row r="168" spans="1:2" x14ac:dyDescent="0.25">
      <c r="A168" s="38" t="s">
        <v>543</v>
      </c>
      <c r="B168" t="str">
        <f t="shared" si="3"/>
        <v>Gui Santos</v>
      </c>
    </row>
    <row r="169" spans="1:2" x14ac:dyDescent="0.25">
      <c r="A169" s="38" t="s">
        <v>544</v>
      </c>
      <c r="B169" t="str">
        <f t="shared" si="3"/>
        <v>Quinten Post</v>
      </c>
    </row>
    <row r="170" spans="1:2" x14ac:dyDescent="0.25">
      <c r="A170" s="38" t="s">
        <v>545</v>
      </c>
      <c r="B170" t="str">
        <f t="shared" si="3"/>
        <v>Buddy Hield</v>
      </c>
    </row>
    <row r="171" spans="1:2" x14ac:dyDescent="0.25">
      <c r="A171" s="38" t="s">
        <v>546</v>
      </c>
      <c r="B171" t="str">
        <f t="shared" si="3"/>
        <v>Gary Payton II</v>
      </c>
    </row>
    <row r="172" spans="1:2" x14ac:dyDescent="0.25">
      <c r="A172" s="38" t="s">
        <v>547</v>
      </c>
      <c r="B172" t="str">
        <f t="shared" si="3"/>
        <v>Braxton Key</v>
      </c>
    </row>
    <row r="173" spans="1:2" x14ac:dyDescent="0.25">
      <c r="A173" s="38" t="s">
        <v>548</v>
      </c>
      <c r="B173" t="str">
        <f t="shared" si="3"/>
        <v>Kevin Knox II</v>
      </c>
    </row>
    <row r="174" spans="1:2" x14ac:dyDescent="0.25">
      <c r="A174" s="38" t="s">
        <v>549</v>
      </c>
      <c r="B174" t="str">
        <f t="shared" si="3"/>
        <v>Trayce Jackson-Davis</v>
      </c>
    </row>
    <row r="175" spans="1:2" x14ac:dyDescent="0.25">
      <c r="A175" s="38" t="s">
        <v>550</v>
      </c>
      <c r="B175" t="str">
        <f t="shared" si="3"/>
        <v>Pat Spencer</v>
      </c>
    </row>
    <row r="176" spans="1:2" x14ac:dyDescent="0.25">
      <c r="B176" t="str">
        <f t="shared" si="3"/>
        <v/>
      </c>
    </row>
    <row r="177" spans="1:2" x14ac:dyDescent="0.25">
      <c r="A177" s="5" t="s">
        <v>551</v>
      </c>
      <c r="B177" s="5" t="str">
        <f t="shared" si="3"/>
        <v>Houston Rockets</v>
      </c>
    </row>
    <row r="178" spans="1:2" x14ac:dyDescent="0.25">
      <c r="A178" t="s">
        <v>385</v>
      </c>
      <c r="B178" s="5" t="str">
        <f t="shared" si="3"/>
        <v>starters</v>
      </c>
    </row>
    <row r="179" spans="1:2" x14ac:dyDescent="0.25">
      <c r="A179" s="38" t="s">
        <v>552</v>
      </c>
      <c r="B179" t="str">
        <f t="shared" si="3"/>
        <v>Amen Thompson</v>
      </c>
    </row>
    <row r="180" spans="1:2" x14ac:dyDescent="0.25">
      <c r="A180" s="38" t="s">
        <v>553</v>
      </c>
      <c r="B180" t="str">
        <f t="shared" si="3"/>
        <v>Steven Adams</v>
      </c>
    </row>
    <row r="181" spans="1:2" x14ac:dyDescent="0.25">
      <c r="A181" s="38" t="s">
        <v>554</v>
      </c>
      <c r="B181" t="str">
        <f t="shared" si="3"/>
        <v>Alperen Sengun</v>
      </c>
    </row>
    <row r="182" spans="1:2" x14ac:dyDescent="0.25">
      <c r="A182" s="38" t="s">
        <v>555</v>
      </c>
      <c r="B182" t="str">
        <f t="shared" si="3"/>
        <v>Fred VanVleet</v>
      </c>
    </row>
    <row r="183" spans="1:2" x14ac:dyDescent="0.25">
      <c r="A183" s="38" t="s">
        <v>556</v>
      </c>
      <c r="B183" t="str">
        <f t="shared" si="3"/>
        <v>Jalen Green</v>
      </c>
    </row>
    <row r="184" spans="1:2" x14ac:dyDescent="0.25">
      <c r="A184" t="s">
        <v>393</v>
      </c>
      <c r="B184" t="str">
        <f t="shared" si="3"/>
        <v>bench</v>
      </c>
    </row>
    <row r="185" spans="1:2" x14ac:dyDescent="0.25">
      <c r="A185" s="38" t="s">
        <v>557</v>
      </c>
      <c r="B185" t="str">
        <f t="shared" si="3"/>
        <v>Jabari Smith Jr.</v>
      </c>
    </row>
    <row r="186" spans="1:2" x14ac:dyDescent="0.25">
      <c r="A186" s="38" t="s">
        <v>558</v>
      </c>
      <c r="B186" t="str">
        <f t="shared" si="3"/>
        <v>Tari Eason</v>
      </c>
    </row>
    <row r="187" spans="1:2" x14ac:dyDescent="0.25">
      <c r="A187" s="38" t="s">
        <v>559</v>
      </c>
      <c r="B187" t="str">
        <f t="shared" si="3"/>
        <v>Cam Whitmore</v>
      </c>
    </row>
    <row r="188" spans="1:2" x14ac:dyDescent="0.25">
      <c r="A188" s="38" t="s">
        <v>560</v>
      </c>
      <c r="B188" t="str">
        <f t="shared" si="3"/>
        <v>Jae'Sean Tate</v>
      </c>
    </row>
    <row r="189" spans="1:2" x14ac:dyDescent="0.25">
      <c r="A189" s="38" t="s">
        <v>561</v>
      </c>
      <c r="B189" t="str">
        <f t="shared" si="3"/>
        <v>Aaron Holiday</v>
      </c>
    </row>
    <row r="190" spans="1:2" x14ac:dyDescent="0.25">
      <c r="A190" s="38" t="s">
        <v>562</v>
      </c>
      <c r="B190" t="str">
        <f t="shared" si="3"/>
        <v>Nate Williams</v>
      </c>
    </row>
    <row r="191" spans="1:2" x14ac:dyDescent="0.25">
      <c r="A191" s="38" t="s">
        <v>563</v>
      </c>
      <c r="B191" t="str">
        <f t="shared" si="3"/>
        <v>Reed Sheppard</v>
      </c>
    </row>
    <row r="192" spans="1:2" x14ac:dyDescent="0.25">
      <c r="A192" s="38" t="s">
        <v>564</v>
      </c>
      <c r="B192" t="str">
        <f t="shared" si="3"/>
        <v>Jeff Green</v>
      </c>
    </row>
    <row r="193" spans="1:2" x14ac:dyDescent="0.25">
      <c r="A193" s="38" t="s">
        <v>565</v>
      </c>
      <c r="B193" t="str">
        <f t="shared" si="3"/>
        <v>Dillon Brooks</v>
      </c>
    </row>
    <row r="194" spans="1:2" x14ac:dyDescent="0.25">
      <c r="A194" s="38" t="s">
        <v>566</v>
      </c>
      <c r="B194" t="str">
        <f t="shared" si="3"/>
        <v>Jock Landale</v>
      </c>
    </row>
    <row r="195" spans="1:2" x14ac:dyDescent="0.25">
      <c r="B195" t="str">
        <f t="shared" si="3"/>
        <v/>
      </c>
    </row>
    <row r="196" spans="1:2" x14ac:dyDescent="0.25">
      <c r="A196" s="5" t="s">
        <v>567</v>
      </c>
      <c r="B196" s="5" t="str">
        <f t="shared" ref="B196:B259" si="4">LEFT(A196, FIND("#", A196 &amp; "#") - 1)</f>
        <v>Indiana Pacers</v>
      </c>
    </row>
    <row r="197" spans="1:2" x14ac:dyDescent="0.25">
      <c r="A197" t="s">
        <v>385</v>
      </c>
      <c r="B197" s="5" t="str">
        <f t="shared" si="4"/>
        <v>starters</v>
      </c>
    </row>
    <row r="198" spans="1:2" x14ac:dyDescent="0.25">
      <c r="A198" s="38" t="s">
        <v>568</v>
      </c>
      <c r="B198" t="str">
        <f t="shared" si="4"/>
        <v>Pascal Siakam</v>
      </c>
    </row>
    <row r="199" spans="1:2" x14ac:dyDescent="0.25">
      <c r="A199" s="38" t="s">
        <v>569</v>
      </c>
      <c r="B199" t="str">
        <f t="shared" si="4"/>
        <v>Aaron Nesmith</v>
      </c>
    </row>
    <row r="200" spans="1:2" x14ac:dyDescent="0.25">
      <c r="A200" s="38" t="s">
        <v>570</v>
      </c>
      <c r="B200" t="str">
        <f t="shared" si="4"/>
        <v>Myles Turner</v>
      </c>
    </row>
    <row r="201" spans="1:2" x14ac:dyDescent="0.25">
      <c r="A201" s="38" t="s">
        <v>571</v>
      </c>
      <c r="B201" t="str">
        <f t="shared" si="4"/>
        <v>Andrew Nembhard</v>
      </c>
    </row>
    <row r="202" spans="1:2" x14ac:dyDescent="0.25">
      <c r="A202" s="38" t="s">
        <v>572</v>
      </c>
      <c r="B202" t="str">
        <f t="shared" si="4"/>
        <v>Tyrese Haliburton</v>
      </c>
    </row>
    <row r="203" spans="1:2" x14ac:dyDescent="0.25">
      <c r="A203" t="s">
        <v>393</v>
      </c>
      <c r="B203" t="str">
        <f t="shared" si="4"/>
        <v>bench</v>
      </c>
    </row>
    <row r="204" spans="1:2" x14ac:dyDescent="0.25">
      <c r="A204" s="38" t="s">
        <v>573</v>
      </c>
      <c r="B204" t="str">
        <f t="shared" si="4"/>
        <v>Obi Toppin</v>
      </c>
    </row>
    <row r="205" spans="1:2" x14ac:dyDescent="0.25">
      <c r="A205" s="38" t="s">
        <v>574</v>
      </c>
      <c r="B205" t="str">
        <f t="shared" si="4"/>
        <v>Jarace Walker</v>
      </c>
    </row>
    <row r="206" spans="1:2" x14ac:dyDescent="0.25">
      <c r="A206" s="38" t="s">
        <v>575</v>
      </c>
      <c r="B206" t="str">
        <f t="shared" si="4"/>
        <v>Johnny Furphy</v>
      </c>
    </row>
    <row r="207" spans="1:2" x14ac:dyDescent="0.25">
      <c r="A207" s="38" t="s">
        <v>576</v>
      </c>
      <c r="B207" t="str">
        <f t="shared" si="4"/>
        <v>Thomas Bryant</v>
      </c>
    </row>
    <row r="208" spans="1:2" x14ac:dyDescent="0.25">
      <c r="A208" s="38" t="s">
        <v>577</v>
      </c>
      <c r="B208" t="str">
        <f t="shared" si="4"/>
        <v>Tony Bradley</v>
      </c>
    </row>
    <row r="209" spans="1:2" x14ac:dyDescent="0.25">
      <c r="A209" s="38" t="s">
        <v>578</v>
      </c>
      <c r="B209" t="str">
        <f t="shared" si="4"/>
        <v>T.J. McConnell</v>
      </c>
    </row>
    <row r="210" spans="1:2" x14ac:dyDescent="0.25">
      <c r="A210" s="38" t="s">
        <v>579</v>
      </c>
      <c r="B210" t="str">
        <f t="shared" si="4"/>
        <v>Bennedict Mathurin</v>
      </c>
    </row>
    <row r="211" spans="1:2" x14ac:dyDescent="0.25">
      <c r="A211" s="38" t="s">
        <v>580</v>
      </c>
      <c r="B211" t="str">
        <f t="shared" si="4"/>
        <v>RayJ Dennis</v>
      </c>
    </row>
    <row r="212" spans="1:2" x14ac:dyDescent="0.25">
      <c r="A212" s="38" t="s">
        <v>581</v>
      </c>
      <c r="B212" t="str">
        <f t="shared" si="4"/>
        <v>Ben Sheppard</v>
      </c>
    </row>
    <row r="213" spans="1:2" x14ac:dyDescent="0.25">
      <c r="A213" s="38" t="s">
        <v>582</v>
      </c>
      <c r="B213" t="str">
        <f t="shared" si="4"/>
        <v>James Johnson</v>
      </c>
    </row>
    <row r="214" spans="1:2" x14ac:dyDescent="0.25">
      <c r="B214" t="str">
        <f t="shared" si="4"/>
        <v/>
      </c>
    </row>
    <row r="215" spans="1:2" x14ac:dyDescent="0.25">
      <c r="A215" s="5" t="s">
        <v>583</v>
      </c>
      <c r="B215" s="5" t="str">
        <f t="shared" si="4"/>
        <v>LA Clippers</v>
      </c>
    </row>
    <row r="216" spans="1:2" x14ac:dyDescent="0.25">
      <c r="A216" t="s">
        <v>385</v>
      </c>
      <c r="B216" s="5" t="str">
        <f t="shared" si="4"/>
        <v>starters</v>
      </c>
    </row>
    <row r="217" spans="1:2" x14ac:dyDescent="0.25">
      <c r="A217" s="38" t="s">
        <v>584</v>
      </c>
      <c r="B217" t="str">
        <f t="shared" si="4"/>
        <v>Kawhi Leonard</v>
      </c>
    </row>
    <row r="218" spans="1:2" x14ac:dyDescent="0.25">
      <c r="A218" s="38" t="s">
        <v>585</v>
      </c>
      <c r="B218" t="str">
        <f t="shared" si="4"/>
        <v>Ivica Zubac</v>
      </c>
    </row>
    <row r="219" spans="1:2" x14ac:dyDescent="0.25">
      <c r="A219" s="38" t="s">
        <v>586</v>
      </c>
      <c r="B219" t="str">
        <f t="shared" si="4"/>
        <v>James Harden</v>
      </c>
    </row>
    <row r="220" spans="1:2" x14ac:dyDescent="0.25">
      <c r="A220" s="38" t="s">
        <v>587</v>
      </c>
      <c r="B220" t="str">
        <f t="shared" si="4"/>
        <v>Norman Powell</v>
      </c>
    </row>
    <row r="221" spans="1:2" x14ac:dyDescent="0.25">
      <c r="A221" s="38" t="s">
        <v>588</v>
      </c>
      <c r="B221" t="str">
        <f t="shared" si="4"/>
        <v>Kris Dunn</v>
      </c>
    </row>
    <row r="222" spans="1:2" x14ac:dyDescent="0.25">
      <c r="A222" t="s">
        <v>393</v>
      </c>
      <c r="B222" t="str">
        <f t="shared" si="4"/>
        <v>bench</v>
      </c>
    </row>
    <row r="223" spans="1:2" x14ac:dyDescent="0.25">
      <c r="A223" s="38" t="s">
        <v>589</v>
      </c>
      <c r="B223" t="str">
        <f t="shared" si="4"/>
        <v>Nicolas Batum</v>
      </c>
    </row>
    <row r="224" spans="1:2" x14ac:dyDescent="0.25">
      <c r="A224" s="38" t="s">
        <v>590</v>
      </c>
      <c r="B224" t="str">
        <f t="shared" si="4"/>
        <v>Drew Eubanks</v>
      </c>
    </row>
    <row r="225" spans="1:2" x14ac:dyDescent="0.25">
      <c r="A225" s="38" t="s">
        <v>591</v>
      </c>
      <c r="B225" t="str">
        <f t="shared" si="4"/>
        <v>Derrick Jones Jr.</v>
      </c>
    </row>
    <row r="226" spans="1:2" x14ac:dyDescent="0.25">
      <c r="A226" s="38" t="s">
        <v>592</v>
      </c>
      <c r="B226" t="str">
        <f t="shared" si="4"/>
        <v>Bogdan Bogdanovic</v>
      </c>
    </row>
    <row r="227" spans="1:2" x14ac:dyDescent="0.25">
      <c r="A227" s="38" t="s">
        <v>593</v>
      </c>
      <c r="B227" t="str">
        <f t="shared" si="4"/>
        <v>Patrick Baldwin Jr.</v>
      </c>
    </row>
    <row r="228" spans="1:2" x14ac:dyDescent="0.25">
      <c r="A228" s="38" t="s">
        <v>594</v>
      </c>
      <c r="B228" t="str">
        <f t="shared" si="4"/>
        <v>Patty Mills</v>
      </c>
    </row>
    <row r="229" spans="1:2" x14ac:dyDescent="0.25">
      <c r="A229" s="38" t="s">
        <v>595</v>
      </c>
      <c r="B229" t="str">
        <f t="shared" si="4"/>
        <v>Kobe Brown</v>
      </c>
    </row>
    <row r="230" spans="1:2" x14ac:dyDescent="0.25">
      <c r="A230" s="38" t="s">
        <v>596</v>
      </c>
      <c r="B230" t="str">
        <f t="shared" si="4"/>
        <v>Cam Christie</v>
      </c>
    </row>
    <row r="231" spans="1:2" x14ac:dyDescent="0.25">
      <c r="A231" s="38" t="s">
        <v>597</v>
      </c>
      <c r="B231" t="str">
        <f t="shared" si="4"/>
        <v>Trentyn Flowers</v>
      </c>
    </row>
    <row r="232" spans="1:2" x14ac:dyDescent="0.25">
      <c r="B232" t="str">
        <f t="shared" si="4"/>
        <v/>
      </c>
    </row>
    <row r="233" spans="1:2" x14ac:dyDescent="0.25">
      <c r="A233" s="5" t="s">
        <v>598</v>
      </c>
      <c r="B233" s="5" t="str">
        <f t="shared" si="4"/>
        <v>Los Angeles Lakers</v>
      </c>
    </row>
    <row r="234" spans="1:2" x14ac:dyDescent="0.25">
      <c r="A234" t="s">
        <v>385</v>
      </c>
      <c r="B234" s="5" t="str">
        <f t="shared" si="4"/>
        <v>starters</v>
      </c>
    </row>
    <row r="235" spans="1:2" x14ac:dyDescent="0.25">
      <c r="A235" s="38" t="s">
        <v>599</v>
      </c>
      <c r="B235" t="str">
        <f t="shared" si="4"/>
        <v>Dorian Finney-Smith</v>
      </c>
    </row>
    <row r="236" spans="1:2" x14ac:dyDescent="0.25">
      <c r="A236" s="38" t="s">
        <v>600</v>
      </c>
      <c r="B236" t="str">
        <f t="shared" si="4"/>
        <v>LeBron James</v>
      </c>
    </row>
    <row r="237" spans="1:2" x14ac:dyDescent="0.25">
      <c r="A237" s="38" t="s">
        <v>601</v>
      </c>
      <c r="B237" t="str">
        <f t="shared" si="4"/>
        <v>Jaxson Hayes</v>
      </c>
    </row>
    <row r="238" spans="1:2" x14ac:dyDescent="0.25">
      <c r="A238" s="38" t="s">
        <v>602</v>
      </c>
      <c r="B238" t="str">
        <f t="shared" si="4"/>
        <v>Luka Doncic</v>
      </c>
    </row>
    <row r="239" spans="1:2" x14ac:dyDescent="0.25">
      <c r="A239" s="38" t="s">
        <v>603</v>
      </c>
      <c r="B239" t="str">
        <f t="shared" si="4"/>
        <v>Austin Reaves</v>
      </c>
    </row>
    <row r="240" spans="1:2" x14ac:dyDescent="0.25">
      <c r="A240" t="s">
        <v>393</v>
      </c>
      <c r="B240" t="str">
        <f t="shared" si="4"/>
        <v>bench</v>
      </c>
    </row>
    <row r="241" spans="1:6" x14ac:dyDescent="0.25">
      <c r="A241" s="38" t="s">
        <v>604</v>
      </c>
      <c r="B241" t="str">
        <f t="shared" si="4"/>
        <v>Jarred Vanderbilt</v>
      </c>
    </row>
    <row r="242" spans="1:6" x14ac:dyDescent="0.25">
      <c r="A242" s="38" t="s">
        <v>605</v>
      </c>
      <c r="B242" t="str">
        <f t="shared" si="4"/>
        <v>Gabe Vincent</v>
      </c>
    </row>
    <row r="243" spans="1:6" x14ac:dyDescent="0.25">
      <c r="A243" s="38" t="s">
        <v>606</v>
      </c>
      <c r="B243" t="str">
        <f t="shared" si="4"/>
        <v>Jordan Goodwin</v>
      </c>
    </row>
    <row r="244" spans="1:6" x14ac:dyDescent="0.25">
      <c r="A244" s="38" t="s">
        <v>607</v>
      </c>
      <c r="B244" t="str">
        <f t="shared" si="4"/>
        <v>Dalton Knecht</v>
      </c>
    </row>
    <row r="245" spans="1:6" x14ac:dyDescent="0.25">
      <c r="A245" s="38" t="s">
        <v>608</v>
      </c>
      <c r="B245" t="str">
        <f t="shared" si="4"/>
        <v>Markieff Morris</v>
      </c>
    </row>
    <row r="246" spans="1:6" x14ac:dyDescent="0.25">
      <c r="A246" s="38" t="s">
        <v>609</v>
      </c>
      <c r="B246" t="str">
        <f t="shared" si="4"/>
        <v>Alex Len</v>
      </c>
    </row>
    <row r="247" spans="1:6" x14ac:dyDescent="0.25">
      <c r="A247" s="38" t="s">
        <v>610</v>
      </c>
      <c r="B247" t="str">
        <f t="shared" si="4"/>
        <v>Trey Jemison III</v>
      </c>
    </row>
    <row r="248" spans="1:6" x14ac:dyDescent="0.25">
      <c r="A248" s="38" t="s">
        <v>611</v>
      </c>
      <c r="B248" t="str">
        <f t="shared" si="4"/>
        <v>Shake Milton</v>
      </c>
    </row>
    <row r="249" spans="1:6" x14ac:dyDescent="0.25">
      <c r="B249" t="str">
        <f t="shared" si="4"/>
        <v/>
      </c>
    </row>
    <row r="250" spans="1:6" x14ac:dyDescent="0.25">
      <c r="A250" s="5" t="s">
        <v>612</v>
      </c>
      <c r="B250" s="5" t="str">
        <f t="shared" si="4"/>
        <v>Memphis Grizzlies</v>
      </c>
      <c r="C250" s="5"/>
    </row>
    <row r="251" spans="1:6" x14ac:dyDescent="0.25">
      <c r="A251" t="s">
        <v>385</v>
      </c>
      <c r="B251" s="5" t="str">
        <f t="shared" si="4"/>
        <v>starters</v>
      </c>
      <c r="E251" s="187" t="s">
        <v>613</v>
      </c>
      <c r="F251" s="64" t="s">
        <v>614</v>
      </c>
    </row>
    <row r="252" spans="1:6" x14ac:dyDescent="0.25">
      <c r="A252" t="s">
        <v>155</v>
      </c>
      <c r="B252" t="str">
        <f t="shared" si="4"/>
        <v>Jaren Jackson Jr.</v>
      </c>
      <c r="C252">
        <v>13</v>
      </c>
      <c r="D252" s="5" t="s">
        <v>93</v>
      </c>
      <c r="E252" s="9">
        <v>110.7</v>
      </c>
      <c r="F252" s="117">
        <v>115.4</v>
      </c>
    </row>
    <row r="253" spans="1:6" x14ac:dyDescent="0.25">
      <c r="A253" t="s">
        <v>161</v>
      </c>
      <c r="B253" t="str">
        <f t="shared" si="4"/>
        <v>Jaylen Wells</v>
      </c>
      <c r="C253">
        <v>0</v>
      </c>
      <c r="D253" t="s">
        <v>389</v>
      </c>
      <c r="E253" s="9">
        <v>117.7</v>
      </c>
      <c r="F253" s="117">
        <v>117.5</v>
      </c>
    </row>
    <row r="254" spans="1:6" x14ac:dyDescent="0.25">
      <c r="A254" t="s">
        <v>273</v>
      </c>
      <c r="B254" t="str">
        <f t="shared" si="4"/>
        <v>Zach Edey</v>
      </c>
      <c r="C254">
        <v>14</v>
      </c>
      <c r="D254" t="s">
        <v>72</v>
      </c>
      <c r="E254" s="9">
        <v>109.9</v>
      </c>
      <c r="F254" s="117">
        <v>124.4</v>
      </c>
    </row>
    <row r="255" spans="1:6" x14ac:dyDescent="0.25">
      <c r="A255" t="s">
        <v>301</v>
      </c>
      <c r="B255" t="str">
        <f t="shared" si="4"/>
        <v>Ja Morant</v>
      </c>
      <c r="C255">
        <v>12</v>
      </c>
      <c r="D255" t="s">
        <v>56</v>
      </c>
      <c r="E255" s="9">
        <v>114.5</v>
      </c>
      <c r="F255" s="117">
        <v>112.9</v>
      </c>
    </row>
    <row r="256" spans="1:6" x14ac:dyDescent="0.25">
      <c r="A256" t="s">
        <v>194</v>
      </c>
      <c r="B256" t="str">
        <f t="shared" si="4"/>
        <v>Desmond Bane</v>
      </c>
      <c r="C256">
        <v>22</v>
      </c>
      <c r="D256" t="s">
        <v>63</v>
      </c>
      <c r="E256" s="9">
        <v>113.4</v>
      </c>
      <c r="F256" s="117">
        <v>119</v>
      </c>
    </row>
    <row r="257" spans="1:6" x14ac:dyDescent="0.25">
      <c r="A257" t="s">
        <v>393</v>
      </c>
      <c r="B257" t="str">
        <f t="shared" si="4"/>
        <v>bench</v>
      </c>
      <c r="E257" s="9"/>
      <c r="F257" s="9"/>
    </row>
    <row r="258" spans="1:6" x14ac:dyDescent="0.25">
      <c r="A258" s="38" t="s">
        <v>615</v>
      </c>
      <c r="B258" t="str">
        <f t="shared" si="4"/>
        <v>Santi Aldama</v>
      </c>
      <c r="C258">
        <v>7</v>
      </c>
      <c r="D258" t="s">
        <v>93</v>
      </c>
      <c r="E258" s="9" t="s">
        <v>616</v>
      </c>
      <c r="F258" s="117">
        <v>122.5</v>
      </c>
    </row>
    <row r="259" spans="1:6" x14ac:dyDescent="0.25">
      <c r="A259" s="38" t="s">
        <v>617</v>
      </c>
      <c r="B259" t="str">
        <f t="shared" si="4"/>
        <v>Lamar Stevens</v>
      </c>
      <c r="C259">
        <v>8</v>
      </c>
      <c r="D259" t="s">
        <v>389</v>
      </c>
      <c r="E259" s="9">
        <v>109.8</v>
      </c>
      <c r="F259" s="117">
        <v>99.9</v>
      </c>
    </row>
    <row r="260" spans="1:6" x14ac:dyDescent="0.25">
      <c r="A260" s="38" t="s">
        <v>618</v>
      </c>
      <c r="B260" t="str">
        <f t="shared" ref="B260:B323" si="5">LEFT(A260, FIND("#", A260 &amp; "#") - 1)</f>
        <v>Luke Kennard</v>
      </c>
      <c r="C260">
        <v>10</v>
      </c>
      <c r="D260" t="s">
        <v>63</v>
      </c>
      <c r="E260" s="9">
        <v>116.2</v>
      </c>
      <c r="F260" s="117">
        <v>126.1</v>
      </c>
    </row>
    <row r="261" spans="1:6" x14ac:dyDescent="0.25">
      <c r="A261" s="38" t="s">
        <v>619</v>
      </c>
      <c r="B261" t="str">
        <f t="shared" si="5"/>
        <v>Scotty Pippen Jr.</v>
      </c>
      <c r="C261">
        <v>1</v>
      </c>
      <c r="D261" t="s">
        <v>392</v>
      </c>
      <c r="E261" s="9">
        <v>111.4</v>
      </c>
      <c r="F261" s="117">
        <v>117.3</v>
      </c>
    </row>
    <row r="262" spans="1:6" x14ac:dyDescent="0.25">
      <c r="A262" s="38" t="s">
        <v>620</v>
      </c>
      <c r="B262" t="str">
        <f t="shared" si="5"/>
        <v>Marvin Bagley III</v>
      </c>
      <c r="C262">
        <v>35</v>
      </c>
      <c r="D262" t="s">
        <v>93</v>
      </c>
      <c r="E262" s="9">
        <v>114.3</v>
      </c>
      <c r="F262" s="117">
        <v>113.2</v>
      </c>
    </row>
    <row r="263" spans="1:6" x14ac:dyDescent="0.25">
      <c r="A263" s="38" t="s">
        <v>621</v>
      </c>
      <c r="B263" t="str">
        <f t="shared" si="5"/>
        <v>GG Jackson</v>
      </c>
      <c r="C263">
        <v>45</v>
      </c>
      <c r="D263" t="s">
        <v>389</v>
      </c>
      <c r="E263" s="9">
        <v>114.8</v>
      </c>
      <c r="F263" s="117">
        <v>100.7</v>
      </c>
    </row>
    <row r="264" spans="1:6" x14ac:dyDescent="0.25">
      <c r="A264" s="38" t="s">
        <v>622</v>
      </c>
      <c r="B264" t="str">
        <f t="shared" si="5"/>
        <v>Jay Huff</v>
      </c>
      <c r="C264">
        <v>30</v>
      </c>
      <c r="D264" t="s">
        <v>72</v>
      </c>
      <c r="E264" s="9">
        <v>108.1</v>
      </c>
      <c r="F264" s="117">
        <v>126</v>
      </c>
    </row>
    <row r="265" spans="1:6" x14ac:dyDescent="0.25">
      <c r="A265" s="38" t="s">
        <v>623</v>
      </c>
      <c r="B265" t="str">
        <f t="shared" si="5"/>
        <v>John Konchar</v>
      </c>
      <c r="C265">
        <v>46</v>
      </c>
      <c r="D265" t="s">
        <v>63</v>
      </c>
      <c r="E265" s="9">
        <v>110.6</v>
      </c>
      <c r="F265" s="117">
        <v>125.2</v>
      </c>
    </row>
    <row r="266" spans="1:6" x14ac:dyDescent="0.25">
      <c r="A266" s="38" t="s">
        <v>624</v>
      </c>
      <c r="B266" t="str">
        <f t="shared" si="5"/>
        <v>Cam Spencer</v>
      </c>
      <c r="C266">
        <v>24</v>
      </c>
      <c r="D266" t="s">
        <v>392</v>
      </c>
      <c r="E266" s="9">
        <v>114.9</v>
      </c>
      <c r="F266" s="117">
        <v>136.19999999999999</v>
      </c>
    </row>
    <row r="267" spans="1:6" x14ac:dyDescent="0.25">
      <c r="A267" s="38" t="s">
        <v>625</v>
      </c>
      <c r="B267" t="str">
        <f t="shared" si="5"/>
        <v>Yuki Kawamura</v>
      </c>
      <c r="C267">
        <v>17</v>
      </c>
      <c r="D267" t="s">
        <v>392</v>
      </c>
      <c r="E267" s="9">
        <v>117.7</v>
      </c>
      <c r="F267" s="117">
        <v>109.3</v>
      </c>
    </row>
    <row r="268" spans="1:6" x14ac:dyDescent="0.25">
      <c r="B268" t="str">
        <f t="shared" si="5"/>
        <v/>
      </c>
    </row>
    <row r="269" spans="1:6" x14ac:dyDescent="0.25">
      <c r="A269" s="5" t="s">
        <v>626</v>
      </c>
      <c r="B269" s="5" t="str">
        <f t="shared" si="5"/>
        <v>Miami Heat</v>
      </c>
    </row>
    <row r="270" spans="1:6" x14ac:dyDescent="0.25">
      <c r="A270" t="s">
        <v>385</v>
      </c>
      <c r="B270" s="5" t="str">
        <f t="shared" si="5"/>
        <v>starters</v>
      </c>
    </row>
    <row r="271" spans="1:6" x14ac:dyDescent="0.25">
      <c r="A271" s="38" t="s">
        <v>627</v>
      </c>
      <c r="B271" t="str">
        <f t="shared" si="5"/>
        <v>Bam Adebayo</v>
      </c>
    </row>
    <row r="272" spans="1:6" x14ac:dyDescent="0.25">
      <c r="A272" s="38" t="s">
        <v>628</v>
      </c>
      <c r="B272" t="str">
        <f t="shared" si="5"/>
        <v>Kel'el Ware</v>
      </c>
    </row>
    <row r="273" spans="1:2" x14ac:dyDescent="0.25">
      <c r="A273" s="38" t="s">
        <v>629</v>
      </c>
      <c r="B273" t="str">
        <f t="shared" si="5"/>
        <v>Tyler Herro</v>
      </c>
    </row>
    <row r="274" spans="1:2" x14ac:dyDescent="0.25">
      <c r="A274" s="38" t="s">
        <v>630</v>
      </c>
      <c r="B274" t="str">
        <f t="shared" si="5"/>
        <v>Alec Burks</v>
      </c>
    </row>
    <row r="275" spans="1:2" x14ac:dyDescent="0.25">
      <c r="A275" s="38" t="s">
        <v>631</v>
      </c>
      <c r="B275" t="str">
        <f t="shared" si="5"/>
        <v>Pelle Larsson</v>
      </c>
    </row>
    <row r="276" spans="1:2" x14ac:dyDescent="0.25">
      <c r="A276" t="s">
        <v>393</v>
      </c>
      <c r="B276" t="str">
        <f t="shared" si="5"/>
        <v>bench</v>
      </c>
    </row>
    <row r="277" spans="1:2" x14ac:dyDescent="0.25">
      <c r="A277" s="38" t="s">
        <v>632</v>
      </c>
      <c r="B277" t="str">
        <f t="shared" si="5"/>
        <v>Duncan Robinson</v>
      </c>
    </row>
    <row r="278" spans="1:2" x14ac:dyDescent="0.25">
      <c r="A278" s="38" t="s">
        <v>633</v>
      </c>
      <c r="B278" t="str">
        <f t="shared" si="5"/>
        <v>Haywood Highsmith</v>
      </c>
    </row>
    <row r="279" spans="1:2" x14ac:dyDescent="0.25">
      <c r="A279" s="38" t="s">
        <v>634</v>
      </c>
      <c r="B279" t="str">
        <f t="shared" si="5"/>
        <v>Kyle Anderson</v>
      </c>
    </row>
    <row r="280" spans="1:2" x14ac:dyDescent="0.25">
      <c r="A280" s="38" t="s">
        <v>635</v>
      </c>
      <c r="B280" t="str">
        <f t="shared" si="5"/>
        <v>Davion Mitchell</v>
      </c>
    </row>
    <row r="281" spans="1:2" x14ac:dyDescent="0.25">
      <c r="A281" s="38" t="s">
        <v>636</v>
      </c>
      <c r="B281" t="str">
        <f t="shared" si="5"/>
        <v>Keshad Johnson</v>
      </c>
    </row>
    <row r="282" spans="1:2" x14ac:dyDescent="0.25">
      <c r="A282" s="38" t="s">
        <v>637</v>
      </c>
      <c r="B282" t="str">
        <f t="shared" si="5"/>
        <v>Andrew Wiggins</v>
      </c>
    </row>
    <row r="283" spans="1:2" x14ac:dyDescent="0.25">
      <c r="A283" s="38" t="s">
        <v>638</v>
      </c>
      <c r="B283" t="str">
        <f t="shared" si="5"/>
        <v>Terry Rozier</v>
      </c>
    </row>
    <row r="284" spans="1:2" x14ac:dyDescent="0.25">
      <c r="A284" s="38" t="s">
        <v>639</v>
      </c>
      <c r="B284" t="str">
        <f t="shared" si="5"/>
        <v>Josh Christopher</v>
      </c>
    </row>
    <row r="285" spans="1:2" x14ac:dyDescent="0.25">
      <c r="A285" s="38" t="s">
        <v>640</v>
      </c>
      <c r="B285" t="str">
        <f t="shared" si="5"/>
        <v>Isaiah Stevens</v>
      </c>
    </row>
    <row r="286" spans="1:2" x14ac:dyDescent="0.25">
      <c r="A286" s="38" t="s">
        <v>641</v>
      </c>
      <c r="B286" t="str">
        <f t="shared" si="5"/>
        <v>Jaime Jaquez Jr.</v>
      </c>
    </row>
    <row r="287" spans="1:2" x14ac:dyDescent="0.25">
      <c r="B287" t="str">
        <f t="shared" si="5"/>
        <v/>
      </c>
    </row>
    <row r="288" spans="1:2" x14ac:dyDescent="0.25">
      <c r="A288" s="5" t="s">
        <v>642</v>
      </c>
      <c r="B288" s="5" t="str">
        <f t="shared" si="5"/>
        <v>Milwaukee Bucks</v>
      </c>
    </row>
    <row r="289" spans="1:2" x14ac:dyDescent="0.25">
      <c r="A289" t="s">
        <v>385</v>
      </c>
      <c r="B289" s="5" t="str">
        <f t="shared" si="5"/>
        <v>starters</v>
      </c>
    </row>
    <row r="290" spans="1:2" x14ac:dyDescent="0.25">
      <c r="A290" s="38" t="s">
        <v>643</v>
      </c>
      <c r="B290" t="str">
        <f t="shared" si="5"/>
        <v>Taurean Prince</v>
      </c>
    </row>
    <row r="291" spans="1:2" x14ac:dyDescent="0.25">
      <c r="A291" s="38" t="s">
        <v>644</v>
      </c>
      <c r="B291" t="str">
        <f t="shared" si="5"/>
        <v>Giannis Antetokounmpo</v>
      </c>
    </row>
    <row r="292" spans="1:2" x14ac:dyDescent="0.25">
      <c r="A292" s="38" t="s">
        <v>645</v>
      </c>
      <c r="B292" t="str">
        <f t="shared" si="5"/>
        <v>Kyle Kuzma</v>
      </c>
    </row>
    <row r="293" spans="1:2" x14ac:dyDescent="0.25">
      <c r="A293" s="38" t="s">
        <v>646</v>
      </c>
      <c r="B293" t="str">
        <f t="shared" si="5"/>
        <v>Brook Lopez</v>
      </c>
    </row>
    <row r="294" spans="1:2" x14ac:dyDescent="0.25">
      <c r="A294" s="38" t="s">
        <v>647</v>
      </c>
      <c r="B294" t="str">
        <f t="shared" si="5"/>
        <v>Ryan Rollins</v>
      </c>
    </row>
    <row r="295" spans="1:2" x14ac:dyDescent="0.25">
      <c r="A295" t="s">
        <v>393</v>
      </c>
      <c r="B295" t="str">
        <f t="shared" si="5"/>
        <v>bench</v>
      </c>
    </row>
    <row r="296" spans="1:2" x14ac:dyDescent="0.25">
      <c r="A296" s="38" t="s">
        <v>648</v>
      </c>
      <c r="B296" t="str">
        <f t="shared" si="5"/>
        <v>Pete Nance</v>
      </c>
    </row>
    <row r="297" spans="1:2" x14ac:dyDescent="0.25">
      <c r="A297" s="38" t="s">
        <v>649</v>
      </c>
      <c r="B297" t="str">
        <f t="shared" si="5"/>
        <v>Chris Livingston</v>
      </c>
    </row>
    <row r="298" spans="1:2" x14ac:dyDescent="0.25">
      <c r="A298" s="38" t="s">
        <v>650</v>
      </c>
      <c r="B298" t="str">
        <f t="shared" si="5"/>
        <v>Tyler Smith</v>
      </c>
    </row>
    <row r="299" spans="1:2" x14ac:dyDescent="0.25">
      <c r="A299" s="38" t="s">
        <v>651</v>
      </c>
      <c r="B299" t="str">
        <f t="shared" si="5"/>
        <v>Pat Connaughton</v>
      </c>
    </row>
    <row r="300" spans="1:2" x14ac:dyDescent="0.25">
      <c r="A300" s="38" t="s">
        <v>652</v>
      </c>
      <c r="B300" t="str">
        <f t="shared" si="5"/>
        <v>Gary Trent Jr.</v>
      </c>
    </row>
    <row r="301" spans="1:2" x14ac:dyDescent="0.25">
      <c r="A301" s="38" t="s">
        <v>653</v>
      </c>
      <c r="B301" t="str">
        <f t="shared" si="5"/>
        <v>Jamaree Bouyea</v>
      </c>
    </row>
    <row r="302" spans="1:2" x14ac:dyDescent="0.25">
      <c r="A302" s="38" t="s">
        <v>654</v>
      </c>
      <c r="B302" t="str">
        <f t="shared" si="5"/>
        <v>Kevin Porter Jr.</v>
      </c>
    </row>
    <row r="303" spans="1:2" x14ac:dyDescent="0.25">
      <c r="A303" s="38" t="s">
        <v>655</v>
      </c>
      <c r="B303" t="str">
        <f t="shared" si="5"/>
        <v>AJ Green</v>
      </c>
    </row>
    <row r="304" spans="1:2" x14ac:dyDescent="0.25">
      <c r="A304" s="38" t="s">
        <v>656</v>
      </c>
      <c r="B304" t="str">
        <f t="shared" si="5"/>
        <v>Andre Jackson Jr.</v>
      </c>
    </row>
    <row r="305" spans="1:2" x14ac:dyDescent="0.25">
      <c r="A305" s="38" t="s">
        <v>657</v>
      </c>
      <c r="B305" t="str">
        <f t="shared" si="5"/>
        <v>Stanley Umude</v>
      </c>
    </row>
    <row r="306" spans="1:2" x14ac:dyDescent="0.25">
      <c r="B306" t="str">
        <f t="shared" si="5"/>
        <v/>
      </c>
    </row>
    <row r="307" spans="1:2" x14ac:dyDescent="0.25">
      <c r="A307" s="5" t="s">
        <v>658</v>
      </c>
      <c r="B307" s="5" t="str">
        <f t="shared" si="5"/>
        <v>Minnesota Timberwolves</v>
      </c>
    </row>
    <row r="308" spans="1:2" x14ac:dyDescent="0.25">
      <c r="A308" t="s">
        <v>385</v>
      </c>
      <c r="B308" s="5" t="str">
        <f t="shared" si="5"/>
        <v>starters</v>
      </c>
    </row>
    <row r="309" spans="1:2" x14ac:dyDescent="0.25">
      <c r="A309" s="38" t="s">
        <v>659</v>
      </c>
      <c r="B309" t="str">
        <f t="shared" si="5"/>
        <v>Julius Randle</v>
      </c>
    </row>
    <row r="310" spans="1:2" x14ac:dyDescent="0.25">
      <c r="A310" s="38" t="s">
        <v>660</v>
      </c>
      <c r="B310" t="str">
        <f t="shared" si="5"/>
        <v>Jaden McDaniels</v>
      </c>
    </row>
    <row r="311" spans="1:2" x14ac:dyDescent="0.25">
      <c r="A311" s="38" t="s">
        <v>661</v>
      </c>
      <c r="B311" t="str">
        <f t="shared" si="5"/>
        <v>Rudy Gobert</v>
      </c>
    </row>
    <row r="312" spans="1:2" x14ac:dyDescent="0.25">
      <c r="A312" s="38" t="s">
        <v>662</v>
      </c>
      <c r="B312" t="str">
        <f t="shared" si="5"/>
        <v>Mike Conley</v>
      </c>
    </row>
    <row r="313" spans="1:2" x14ac:dyDescent="0.25">
      <c r="A313" s="38" t="s">
        <v>663</v>
      </c>
      <c r="B313" t="str">
        <f t="shared" si="5"/>
        <v>Anthony Edwards</v>
      </c>
    </row>
    <row r="314" spans="1:2" x14ac:dyDescent="0.25">
      <c r="A314" t="s">
        <v>393</v>
      </c>
      <c r="B314" t="str">
        <f t="shared" si="5"/>
        <v>bench</v>
      </c>
    </row>
    <row r="315" spans="1:2" x14ac:dyDescent="0.25">
      <c r="A315" s="38" t="s">
        <v>664</v>
      </c>
      <c r="B315" t="str">
        <f t="shared" si="5"/>
        <v>Josh Minott</v>
      </c>
    </row>
    <row r="316" spans="1:2" x14ac:dyDescent="0.25">
      <c r="A316" s="38" t="s">
        <v>665</v>
      </c>
      <c r="B316" t="str">
        <f t="shared" si="5"/>
        <v>Leonard Miller</v>
      </c>
    </row>
    <row r="317" spans="1:2" x14ac:dyDescent="0.25">
      <c r="A317" s="38" t="s">
        <v>666</v>
      </c>
      <c r="B317" t="str">
        <f t="shared" si="5"/>
        <v>Luka Garza</v>
      </c>
    </row>
    <row r="318" spans="1:2" x14ac:dyDescent="0.25">
      <c r="A318" s="38" t="s">
        <v>667</v>
      </c>
      <c r="B318" t="str">
        <f t="shared" si="5"/>
        <v>Naz Reid</v>
      </c>
    </row>
    <row r="319" spans="1:2" x14ac:dyDescent="0.25">
      <c r="A319" s="38" t="s">
        <v>668</v>
      </c>
      <c r="B319" t="str">
        <f t="shared" si="5"/>
        <v>Bones Hyland</v>
      </c>
    </row>
    <row r="320" spans="1:2" x14ac:dyDescent="0.25">
      <c r="A320" s="38" t="s">
        <v>669</v>
      </c>
      <c r="B320" t="str">
        <f t="shared" si="5"/>
        <v>Donte DiVincenzo</v>
      </c>
    </row>
    <row r="321" spans="1:6" x14ac:dyDescent="0.25">
      <c r="A321" s="38" t="s">
        <v>670</v>
      </c>
      <c r="B321" t="str">
        <f t="shared" si="5"/>
        <v>Nickeil Alexander-Walker</v>
      </c>
    </row>
    <row r="322" spans="1:6" x14ac:dyDescent="0.25">
      <c r="A322" s="38" t="s">
        <v>671</v>
      </c>
      <c r="B322" t="str">
        <f t="shared" si="5"/>
        <v>Jaylen Clark</v>
      </c>
    </row>
    <row r="323" spans="1:6" x14ac:dyDescent="0.25">
      <c r="A323" s="38" t="s">
        <v>672</v>
      </c>
      <c r="B323" t="str">
        <f t="shared" si="5"/>
        <v>Rob Dillingham</v>
      </c>
    </row>
    <row r="324" spans="1:6" x14ac:dyDescent="0.25">
      <c r="A324" s="38" t="s">
        <v>673</v>
      </c>
      <c r="B324" t="str">
        <f t="shared" ref="B324:B387" si="6">LEFT(A324, FIND("#", A324 &amp; "#") - 1)</f>
        <v>Joe Ingles</v>
      </c>
    </row>
    <row r="325" spans="1:6" x14ac:dyDescent="0.25">
      <c r="B325" t="str">
        <f t="shared" si="6"/>
        <v/>
      </c>
    </row>
    <row r="326" spans="1:6" x14ac:dyDescent="0.25">
      <c r="A326" s="5" t="s">
        <v>674</v>
      </c>
      <c r="B326" s="5" t="str">
        <f t="shared" si="6"/>
        <v>New Orleans Pelicans</v>
      </c>
      <c r="F326" s="5"/>
    </row>
    <row r="327" spans="1:6" x14ac:dyDescent="0.25">
      <c r="A327" t="s">
        <v>385</v>
      </c>
      <c r="B327" s="5" t="str">
        <f t="shared" si="6"/>
        <v>starters</v>
      </c>
    </row>
    <row r="328" spans="1:6" x14ac:dyDescent="0.25">
      <c r="A328" s="38" t="s">
        <v>675</v>
      </c>
      <c r="B328" t="str">
        <f t="shared" si="6"/>
        <v>Kelly Olynyk</v>
      </c>
    </row>
    <row r="329" spans="1:6" x14ac:dyDescent="0.25">
      <c r="A329" s="38" t="s">
        <v>676</v>
      </c>
      <c r="B329" t="str">
        <f t="shared" si="6"/>
        <v>Bruce Brown</v>
      </c>
    </row>
    <row r="330" spans="1:6" x14ac:dyDescent="0.25">
      <c r="A330" s="38" t="s">
        <v>677</v>
      </c>
      <c r="B330" t="str">
        <f t="shared" si="6"/>
        <v>Keion Brooks Jr.</v>
      </c>
    </row>
    <row r="331" spans="1:6" x14ac:dyDescent="0.25">
      <c r="A331" s="38" t="s">
        <v>678</v>
      </c>
      <c r="B331" t="str">
        <f t="shared" si="6"/>
        <v>Yves Missi</v>
      </c>
    </row>
    <row r="332" spans="1:6" x14ac:dyDescent="0.25">
      <c r="A332" s="38" t="s">
        <v>679</v>
      </c>
      <c r="B332" t="str">
        <f t="shared" si="6"/>
        <v>Jose Alvarado</v>
      </c>
    </row>
    <row r="333" spans="1:6" x14ac:dyDescent="0.25">
      <c r="A333" t="s">
        <v>393</v>
      </c>
      <c r="B333" t="str">
        <f t="shared" si="6"/>
        <v>bench</v>
      </c>
    </row>
    <row r="334" spans="1:6" x14ac:dyDescent="0.25">
      <c r="A334" s="38" t="s">
        <v>680</v>
      </c>
      <c r="B334" t="str">
        <f t="shared" si="6"/>
        <v>Jamal Cain</v>
      </c>
    </row>
    <row r="335" spans="1:6" x14ac:dyDescent="0.25">
      <c r="A335" s="38" t="s">
        <v>681</v>
      </c>
      <c r="B335" t="str">
        <f t="shared" si="6"/>
        <v>Jeremiah Robinson-Earl</v>
      </c>
    </row>
    <row r="336" spans="1:6" x14ac:dyDescent="0.25">
      <c r="A336" s="38" t="s">
        <v>682</v>
      </c>
      <c r="B336" t="str">
        <f t="shared" si="6"/>
        <v>Karlo Matkovic</v>
      </c>
    </row>
    <row r="337" spans="1:5" x14ac:dyDescent="0.25">
      <c r="A337" s="38" t="s">
        <v>683</v>
      </c>
      <c r="B337" t="str">
        <f t="shared" si="6"/>
        <v>Elfrid Payton</v>
      </c>
    </row>
    <row r="338" spans="1:5" x14ac:dyDescent="0.25">
      <c r="A338" s="38" t="s">
        <v>684</v>
      </c>
      <c r="B338" t="str">
        <f t="shared" si="6"/>
        <v>Antonio Reeves</v>
      </c>
    </row>
    <row r="339" spans="1:5" x14ac:dyDescent="0.25">
      <c r="A339" s="38" t="s">
        <v>685</v>
      </c>
      <c r="B339" t="str">
        <f t="shared" si="6"/>
        <v>Kylor Kelley</v>
      </c>
    </row>
    <row r="340" spans="1:5" x14ac:dyDescent="0.25">
      <c r="A340" s="38" t="s">
        <v>686</v>
      </c>
      <c r="B340" t="str">
        <f t="shared" si="6"/>
        <v>Lester Quinones</v>
      </c>
    </row>
    <row r="341" spans="1:5" x14ac:dyDescent="0.25">
      <c r="A341" s="38"/>
      <c r="B341" t="str">
        <f t="shared" si="6"/>
        <v/>
      </c>
    </row>
    <row r="342" spans="1:5" x14ac:dyDescent="0.25">
      <c r="A342" s="5" t="s">
        <v>687</v>
      </c>
      <c r="B342" s="5" t="str">
        <f t="shared" si="6"/>
        <v>New York Knicks</v>
      </c>
      <c r="D342" s="8"/>
    </row>
    <row r="343" spans="1:5" x14ac:dyDescent="0.25">
      <c r="A343" t="s">
        <v>385</v>
      </c>
      <c r="B343" s="5" t="str">
        <f t="shared" si="6"/>
        <v>starters</v>
      </c>
      <c r="D343" s="8" t="s">
        <v>36</v>
      </c>
      <c r="E343" s="8" t="s">
        <v>384</v>
      </c>
    </row>
    <row r="344" spans="1:5" x14ac:dyDescent="0.25">
      <c r="A344" s="52" t="s">
        <v>688</v>
      </c>
      <c r="B344" t="str">
        <f t="shared" si="6"/>
        <v>Mikal Bridges</v>
      </c>
      <c r="C344" t="s">
        <v>47</v>
      </c>
      <c r="D344" s="8">
        <v>118.3</v>
      </c>
      <c r="E344" s="8">
        <v>115.8</v>
      </c>
    </row>
    <row r="345" spans="1:5" x14ac:dyDescent="0.25">
      <c r="A345" s="52" t="s">
        <v>689</v>
      </c>
      <c r="B345" t="str">
        <f t="shared" si="6"/>
        <v>OG Anunoby</v>
      </c>
      <c r="C345" t="s">
        <v>47</v>
      </c>
      <c r="D345" s="8">
        <v>114.3</v>
      </c>
      <c r="E345" s="8">
        <v>118.5</v>
      </c>
    </row>
    <row r="346" spans="1:5" x14ac:dyDescent="0.25">
      <c r="A346" s="52" t="s">
        <v>690</v>
      </c>
      <c r="B346" t="str">
        <f t="shared" si="6"/>
        <v>Karl-Anthony Towns</v>
      </c>
      <c r="C346" t="s">
        <v>72</v>
      </c>
      <c r="D346" s="8">
        <v>108.7</v>
      </c>
      <c r="E346" s="8">
        <v>122.3</v>
      </c>
    </row>
    <row r="347" spans="1:5" x14ac:dyDescent="0.25">
      <c r="A347" s="52" t="s">
        <v>691</v>
      </c>
      <c r="B347" t="str">
        <f t="shared" si="6"/>
        <v>Josh Hart</v>
      </c>
      <c r="C347" t="s">
        <v>63</v>
      </c>
      <c r="D347" s="8">
        <v>112.4</v>
      </c>
      <c r="E347" s="8" t="s">
        <v>692</v>
      </c>
    </row>
    <row r="348" spans="1:5" x14ac:dyDescent="0.25">
      <c r="A348" s="52" t="s">
        <v>693</v>
      </c>
      <c r="B348" t="str">
        <f t="shared" si="6"/>
        <v>Delon Wright</v>
      </c>
      <c r="C348" t="s">
        <v>63</v>
      </c>
      <c r="D348" s="8">
        <v>114.1</v>
      </c>
      <c r="E348" s="8">
        <v>116.2</v>
      </c>
    </row>
    <row r="349" spans="1:5" x14ac:dyDescent="0.25">
      <c r="A349" t="s">
        <v>393</v>
      </c>
      <c r="B349" t="str">
        <f t="shared" si="6"/>
        <v>bench</v>
      </c>
      <c r="D349" s="8"/>
    </row>
    <row r="350" spans="1:5" x14ac:dyDescent="0.25">
      <c r="A350" s="52" t="s">
        <v>694</v>
      </c>
      <c r="B350" t="str">
        <f t="shared" si="6"/>
        <v>Precious Achiuwa</v>
      </c>
      <c r="C350" t="s">
        <v>93</v>
      </c>
      <c r="D350" s="8">
        <v>112</v>
      </c>
      <c r="E350" s="8" t="s">
        <v>692</v>
      </c>
    </row>
    <row r="351" spans="1:5" x14ac:dyDescent="0.25">
      <c r="A351" s="52" t="s">
        <v>695</v>
      </c>
      <c r="B351" t="str">
        <f t="shared" si="6"/>
        <v>Anton Watson</v>
      </c>
      <c r="C351" t="s">
        <v>389</v>
      </c>
      <c r="D351" s="8">
        <v>121.9</v>
      </c>
      <c r="E351" s="8" t="s">
        <v>692</v>
      </c>
    </row>
    <row r="352" spans="1:5" x14ac:dyDescent="0.25">
      <c r="A352" s="52" t="s">
        <v>696</v>
      </c>
      <c r="B352" t="str">
        <f t="shared" si="6"/>
        <v>MarJon Beauchamp</v>
      </c>
      <c r="C352" t="s">
        <v>389</v>
      </c>
      <c r="D352" s="8">
        <v>113.1</v>
      </c>
      <c r="E352" s="8" t="s">
        <v>692</v>
      </c>
    </row>
    <row r="353" spans="1:5" x14ac:dyDescent="0.25">
      <c r="A353" s="52" t="s">
        <v>697</v>
      </c>
      <c r="B353" t="str">
        <f t="shared" si="6"/>
        <v>Landry Shamet</v>
      </c>
      <c r="C353" t="s">
        <v>63</v>
      </c>
      <c r="D353" s="8" t="s">
        <v>698</v>
      </c>
      <c r="E353" s="8">
        <v>107.9</v>
      </c>
    </row>
    <row r="354" spans="1:5" x14ac:dyDescent="0.25">
      <c r="A354" s="52" t="s">
        <v>699</v>
      </c>
      <c r="B354" t="str">
        <f t="shared" si="6"/>
        <v>Tyler Kolek</v>
      </c>
      <c r="C354" t="s">
        <v>392</v>
      </c>
      <c r="D354" s="8">
        <v>115.7</v>
      </c>
      <c r="E354" s="8" t="s">
        <v>692</v>
      </c>
    </row>
    <row r="355" spans="1:5" x14ac:dyDescent="0.25">
      <c r="A355" s="52" t="s">
        <v>700</v>
      </c>
      <c r="B355" t="str">
        <f t="shared" si="6"/>
        <v>P.J. Tucker</v>
      </c>
      <c r="C355" t="s">
        <v>93</v>
      </c>
      <c r="D355" s="8">
        <v>123.5</v>
      </c>
      <c r="E355" s="8" t="s">
        <v>692</v>
      </c>
    </row>
    <row r="356" spans="1:5" x14ac:dyDescent="0.25">
      <c r="A356" s="52" t="s">
        <v>701</v>
      </c>
      <c r="B356" t="str">
        <f t="shared" si="6"/>
        <v>Mitchell Robinson</v>
      </c>
      <c r="C356" t="s">
        <v>72</v>
      </c>
      <c r="D356" s="8">
        <v>108</v>
      </c>
      <c r="E356" s="8">
        <v>141.4</v>
      </c>
    </row>
    <row r="357" spans="1:5" x14ac:dyDescent="0.25">
      <c r="A357" t="s">
        <v>154</v>
      </c>
      <c r="B357" t="str">
        <f t="shared" si="6"/>
        <v>Jalen Brunson</v>
      </c>
      <c r="C357" t="s">
        <v>56</v>
      </c>
      <c r="D357" s="8"/>
    </row>
    <row r="358" spans="1:5" x14ac:dyDescent="0.25">
      <c r="B358" t="str">
        <f t="shared" si="6"/>
        <v/>
      </c>
    </row>
    <row r="359" spans="1:5" x14ac:dyDescent="0.25">
      <c r="A359" s="5" t="s">
        <v>702</v>
      </c>
      <c r="B359" s="5" t="str">
        <f t="shared" si="6"/>
        <v>Oklahoma City Thunder</v>
      </c>
      <c r="C359" s="5"/>
      <c r="D359" s="5"/>
    </row>
    <row r="360" spans="1:5" x14ac:dyDescent="0.25">
      <c r="A360" t="s">
        <v>385</v>
      </c>
      <c r="B360" s="5" t="str">
        <f t="shared" si="6"/>
        <v>starters</v>
      </c>
    </row>
    <row r="361" spans="1:5" x14ac:dyDescent="0.25">
      <c r="A361" s="38" t="s">
        <v>703</v>
      </c>
      <c r="B361" t="str">
        <f t="shared" si="6"/>
        <v>Chet Holmgren</v>
      </c>
      <c r="C361" t="s">
        <v>424</v>
      </c>
      <c r="D361" s="38"/>
    </row>
    <row r="362" spans="1:5" x14ac:dyDescent="0.25">
      <c r="A362" s="38" t="s">
        <v>704</v>
      </c>
      <c r="B362" t="str">
        <f t="shared" si="6"/>
        <v>Jalen Williams</v>
      </c>
      <c r="C362" t="s">
        <v>402</v>
      </c>
      <c r="D362" s="38"/>
    </row>
    <row r="363" spans="1:5" x14ac:dyDescent="0.25">
      <c r="A363" s="38" t="s">
        <v>705</v>
      </c>
      <c r="B363" t="str">
        <f t="shared" si="6"/>
        <v>Isaiah Hartenstein</v>
      </c>
      <c r="C363" t="s">
        <v>424</v>
      </c>
      <c r="D363" s="38"/>
    </row>
    <row r="364" spans="1:5" x14ac:dyDescent="0.25">
      <c r="A364" s="38" t="s">
        <v>706</v>
      </c>
      <c r="B364" t="str">
        <f t="shared" si="6"/>
        <v>Shai Gilgeous-Alexander</v>
      </c>
      <c r="C364" t="s">
        <v>411</v>
      </c>
      <c r="D364" s="38"/>
    </row>
    <row r="365" spans="1:5" x14ac:dyDescent="0.25">
      <c r="A365" s="38" t="s">
        <v>707</v>
      </c>
      <c r="B365" t="str">
        <f t="shared" si="6"/>
        <v>Luguentz Dort</v>
      </c>
      <c r="C365" t="s">
        <v>408</v>
      </c>
      <c r="D365" s="38"/>
    </row>
    <row r="366" spans="1:5" x14ac:dyDescent="0.25">
      <c r="A366" t="s">
        <v>393</v>
      </c>
      <c r="B366" t="str">
        <f t="shared" si="6"/>
        <v>bench</v>
      </c>
    </row>
    <row r="367" spans="1:5" x14ac:dyDescent="0.25">
      <c r="A367" s="38" t="s">
        <v>708</v>
      </c>
      <c r="B367" t="str">
        <f t="shared" si="6"/>
        <v>Dillon Jones</v>
      </c>
      <c r="C367" t="s">
        <v>411</v>
      </c>
      <c r="D367" s="38"/>
    </row>
    <row r="368" spans="1:5" x14ac:dyDescent="0.25">
      <c r="A368" s="38" t="s">
        <v>709</v>
      </c>
      <c r="B368" t="str">
        <f t="shared" si="6"/>
        <v>Kenrich Williams</v>
      </c>
      <c r="C368" t="s">
        <v>406</v>
      </c>
      <c r="D368" s="38"/>
    </row>
    <row r="369" spans="1:4" x14ac:dyDescent="0.25">
      <c r="A369" s="38" t="s">
        <v>710</v>
      </c>
      <c r="B369" t="str">
        <f t="shared" si="6"/>
        <v>Branden Carlson</v>
      </c>
      <c r="C369" t="s">
        <v>424</v>
      </c>
      <c r="D369" s="38"/>
    </row>
    <row r="370" spans="1:4" x14ac:dyDescent="0.25">
      <c r="A370" s="38" t="s">
        <v>711</v>
      </c>
      <c r="B370" t="str">
        <f t="shared" si="6"/>
        <v>Alex Caruso</v>
      </c>
      <c r="C370" t="s">
        <v>408</v>
      </c>
      <c r="D370" s="38"/>
    </row>
    <row r="371" spans="1:4" x14ac:dyDescent="0.25">
      <c r="A371" s="38" t="s">
        <v>712</v>
      </c>
      <c r="B371" t="str">
        <f t="shared" si="6"/>
        <v>Aaron Wiggins</v>
      </c>
      <c r="C371" t="s">
        <v>402</v>
      </c>
      <c r="D371" s="38"/>
    </row>
    <row r="372" spans="1:4" x14ac:dyDescent="0.25">
      <c r="A372" s="38" t="s">
        <v>713</v>
      </c>
      <c r="B372" t="str">
        <f t="shared" si="6"/>
        <v>Cason Wallace</v>
      </c>
      <c r="C372" t="s">
        <v>411</v>
      </c>
      <c r="D372" s="38"/>
    </row>
    <row r="373" spans="1:4" x14ac:dyDescent="0.25">
      <c r="A373" s="38" t="s">
        <v>714</v>
      </c>
      <c r="B373" t="str">
        <f t="shared" si="6"/>
        <v>Isaiah Joe</v>
      </c>
      <c r="C373" t="s">
        <v>408</v>
      </c>
      <c r="D373" s="38"/>
    </row>
    <row r="374" spans="1:4" x14ac:dyDescent="0.25">
      <c r="B374" t="str">
        <f t="shared" si="6"/>
        <v/>
      </c>
    </row>
    <row r="375" spans="1:4" x14ac:dyDescent="0.25">
      <c r="A375" s="5" t="s">
        <v>715</v>
      </c>
      <c r="B375" s="5" t="str">
        <f t="shared" si="6"/>
        <v>Orlando Magic</v>
      </c>
    </row>
    <row r="376" spans="1:4" x14ac:dyDescent="0.25">
      <c r="A376" t="s">
        <v>385</v>
      </c>
      <c r="B376" s="5" t="str">
        <f t="shared" si="6"/>
        <v>starters</v>
      </c>
    </row>
    <row r="377" spans="1:4" x14ac:dyDescent="0.25">
      <c r="A377" s="38" t="s">
        <v>716</v>
      </c>
      <c r="B377" t="str">
        <f t="shared" si="6"/>
        <v>Paolo Banchero</v>
      </c>
    </row>
    <row r="378" spans="1:4" x14ac:dyDescent="0.25">
      <c r="A378" s="38" t="s">
        <v>717</v>
      </c>
      <c r="B378" t="str">
        <f t="shared" si="6"/>
        <v>Franz Wagner</v>
      </c>
    </row>
    <row r="379" spans="1:4" x14ac:dyDescent="0.25">
      <c r="A379" s="38" t="s">
        <v>718</v>
      </c>
      <c r="B379" t="str">
        <f t="shared" si="6"/>
        <v>Wendell Carter Jr.</v>
      </c>
    </row>
    <row r="380" spans="1:4" x14ac:dyDescent="0.25">
      <c r="A380" s="38" t="s">
        <v>719</v>
      </c>
      <c r="B380" t="str">
        <f t="shared" si="6"/>
        <v>Cory Joseph</v>
      </c>
    </row>
    <row r="381" spans="1:4" x14ac:dyDescent="0.25">
      <c r="A381" s="38" t="s">
        <v>720</v>
      </c>
      <c r="B381" t="str">
        <f t="shared" si="6"/>
        <v>Kentavious Caldwell-Pope</v>
      </c>
    </row>
    <row r="382" spans="1:4" x14ac:dyDescent="0.25">
      <c r="A382" t="s">
        <v>393</v>
      </c>
      <c r="B382" t="str">
        <f t="shared" si="6"/>
        <v>bench</v>
      </c>
    </row>
    <row r="383" spans="1:4" x14ac:dyDescent="0.25">
      <c r="A383" s="38" t="s">
        <v>721</v>
      </c>
      <c r="B383" t="str">
        <f t="shared" si="6"/>
        <v>Jonathan Isaac</v>
      </c>
    </row>
    <row r="384" spans="1:4" x14ac:dyDescent="0.25">
      <c r="A384" s="38" t="s">
        <v>722</v>
      </c>
      <c r="B384" t="str">
        <f t="shared" si="6"/>
        <v>Goga Bitadze</v>
      </c>
    </row>
    <row r="385" spans="1:2" x14ac:dyDescent="0.25">
      <c r="A385" s="38" t="s">
        <v>723</v>
      </c>
      <c r="B385" t="str">
        <f t="shared" si="6"/>
        <v>Cole Anthony</v>
      </c>
    </row>
    <row r="386" spans="1:2" x14ac:dyDescent="0.25">
      <c r="A386" s="38" t="s">
        <v>724</v>
      </c>
      <c r="B386" t="str">
        <f t="shared" si="6"/>
        <v>Gary Harris</v>
      </c>
    </row>
    <row r="387" spans="1:2" x14ac:dyDescent="0.25">
      <c r="A387" s="38" t="s">
        <v>725</v>
      </c>
      <c r="B387" t="str">
        <f t="shared" si="6"/>
        <v>Caleb Houstan</v>
      </c>
    </row>
    <row r="388" spans="1:2" x14ac:dyDescent="0.25">
      <c r="A388" s="38" t="s">
        <v>726</v>
      </c>
      <c r="B388" t="str">
        <f t="shared" ref="B388:B451" si="7">LEFT(A388, FIND("#", A388 &amp; "#") - 1)</f>
        <v>Anthony Black</v>
      </c>
    </row>
    <row r="389" spans="1:2" x14ac:dyDescent="0.25">
      <c r="A389" s="38" t="s">
        <v>727</v>
      </c>
      <c r="B389" t="str">
        <f t="shared" si="7"/>
        <v>Tristan da Silva</v>
      </c>
    </row>
    <row r="390" spans="1:2" x14ac:dyDescent="0.25">
      <c r="A390" s="38" t="s">
        <v>728</v>
      </c>
      <c r="B390" t="str">
        <f t="shared" si="7"/>
        <v>Trevelin Queen</v>
      </c>
    </row>
    <row r="391" spans="1:2" x14ac:dyDescent="0.25">
      <c r="A391" s="38" t="s">
        <v>729</v>
      </c>
      <c r="B391" t="str">
        <f t="shared" si="7"/>
        <v>Jett Howard</v>
      </c>
    </row>
    <row r="392" spans="1:2" x14ac:dyDescent="0.25">
      <c r="B392" t="str">
        <f t="shared" si="7"/>
        <v/>
      </c>
    </row>
    <row r="393" spans="1:2" x14ac:dyDescent="0.25">
      <c r="A393" s="5" t="s">
        <v>730</v>
      </c>
      <c r="B393" s="5" t="str">
        <f t="shared" si="7"/>
        <v>Philadelphia 76ers</v>
      </c>
    </row>
    <row r="394" spans="1:2" x14ac:dyDescent="0.25">
      <c r="A394" t="s">
        <v>385</v>
      </c>
      <c r="B394" s="5" t="str">
        <f t="shared" si="7"/>
        <v>starters</v>
      </c>
    </row>
    <row r="395" spans="1:2" x14ac:dyDescent="0.25">
      <c r="A395" s="38" t="s">
        <v>731</v>
      </c>
      <c r="B395" t="str">
        <f t="shared" si="7"/>
        <v>Guerschon Yabusele</v>
      </c>
    </row>
    <row r="396" spans="1:2" x14ac:dyDescent="0.25">
      <c r="A396" s="38" t="s">
        <v>732</v>
      </c>
      <c r="B396" t="str">
        <f t="shared" si="7"/>
        <v>Justin Edwards</v>
      </c>
    </row>
    <row r="397" spans="1:2" x14ac:dyDescent="0.25">
      <c r="A397" s="38" t="s">
        <v>733</v>
      </c>
      <c r="B397" t="str">
        <f t="shared" si="7"/>
        <v>Adem Bona</v>
      </c>
    </row>
    <row r="398" spans="1:2" x14ac:dyDescent="0.25">
      <c r="A398" s="38" t="s">
        <v>734</v>
      </c>
      <c r="B398" t="str">
        <f t="shared" si="7"/>
        <v>Jared Butler</v>
      </c>
    </row>
    <row r="399" spans="1:2" x14ac:dyDescent="0.25">
      <c r="A399" s="38" t="s">
        <v>735</v>
      </c>
      <c r="B399" t="str">
        <f t="shared" si="7"/>
        <v>Quentin Grimes</v>
      </c>
    </row>
    <row r="400" spans="1:2" x14ac:dyDescent="0.25">
      <c r="A400" t="s">
        <v>393</v>
      </c>
      <c r="B400" t="str">
        <f t="shared" si="7"/>
        <v>bench</v>
      </c>
    </row>
    <row r="401" spans="1:2" x14ac:dyDescent="0.25">
      <c r="A401" s="38" t="s">
        <v>736</v>
      </c>
      <c r="B401" t="str">
        <f t="shared" si="7"/>
        <v>Phillip Wheeler</v>
      </c>
    </row>
    <row r="402" spans="1:2" x14ac:dyDescent="0.25">
      <c r="A402" s="38" t="s">
        <v>737</v>
      </c>
      <c r="B402" t="str">
        <f t="shared" si="7"/>
        <v>Colin Castleton</v>
      </c>
    </row>
    <row r="403" spans="1:2" x14ac:dyDescent="0.25">
      <c r="A403" s="38" t="s">
        <v>738</v>
      </c>
      <c r="B403" t="str">
        <f t="shared" si="7"/>
        <v>Lonnie Walker IV</v>
      </c>
    </row>
    <row r="404" spans="1:2" x14ac:dyDescent="0.25">
      <c r="A404" s="38" t="s">
        <v>739</v>
      </c>
      <c r="B404" t="str">
        <f t="shared" si="7"/>
        <v>Jalen Hood-Schifino</v>
      </c>
    </row>
    <row r="405" spans="1:2" x14ac:dyDescent="0.25">
      <c r="A405" s="38" t="s">
        <v>740</v>
      </c>
      <c r="B405" t="str">
        <f t="shared" si="7"/>
        <v>Ricky Council IV</v>
      </c>
    </row>
    <row r="406" spans="1:2" x14ac:dyDescent="0.25">
      <c r="A406" s="38" t="s">
        <v>741</v>
      </c>
      <c r="B406" t="str">
        <f t="shared" si="7"/>
        <v>Andre Drummond</v>
      </c>
    </row>
    <row r="407" spans="1:2" x14ac:dyDescent="0.25">
      <c r="A407" s="38" t="s">
        <v>742</v>
      </c>
      <c r="B407" t="str">
        <f t="shared" si="7"/>
        <v>Kelly Oubre Jr.</v>
      </c>
    </row>
    <row r="408" spans="1:2" x14ac:dyDescent="0.25">
      <c r="B408" t="str">
        <f t="shared" si="7"/>
        <v/>
      </c>
    </row>
    <row r="409" spans="1:2" x14ac:dyDescent="0.25">
      <c r="A409" s="5" t="s">
        <v>743</v>
      </c>
      <c r="B409" s="5" t="str">
        <f t="shared" si="7"/>
        <v>Phoenix Suns</v>
      </c>
    </row>
    <row r="410" spans="1:2" x14ac:dyDescent="0.25">
      <c r="A410" t="s">
        <v>385</v>
      </c>
      <c r="B410" s="5" t="str">
        <f t="shared" si="7"/>
        <v>starters</v>
      </c>
    </row>
    <row r="411" spans="1:2" x14ac:dyDescent="0.25">
      <c r="A411" s="38" t="s">
        <v>744</v>
      </c>
      <c r="B411" t="str">
        <f t="shared" si="7"/>
        <v>Royce O'Neale</v>
      </c>
    </row>
    <row r="412" spans="1:2" x14ac:dyDescent="0.25">
      <c r="A412" s="38" t="s">
        <v>745</v>
      </c>
      <c r="B412" t="str">
        <f t="shared" si="7"/>
        <v>Ryan Dunn</v>
      </c>
    </row>
    <row r="413" spans="1:2" x14ac:dyDescent="0.25">
      <c r="A413" s="38" t="s">
        <v>746</v>
      </c>
      <c r="B413" t="str">
        <f t="shared" si="7"/>
        <v>Oso Ighodaro</v>
      </c>
    </row>
    <row r="414" spans="1:2" x14ac:dyDescent="0.25">
      <c r="A414" s="38" t="s">
        <v>747</v>
      </c>
      <c r="B414" t="str">
        <f t="shared" si="7"/>
        <v>Bradley Beal</v>
      </c>
    </row>
    <row r="415" spans="1:2" x14ac:dyDescent="0.25">
      <c r="A415" s="38" t="s">
        <v>748</v>
      </c>
      <c r="B415" t="str">
        <f t="shared" si="7"/>
        <v>Devin Booker</v>
      </c>
    </row>
    <row r="416" spans="1:2" x14ac:dyDescent="0.25">
      <c r="A416" t="s">
        <v>393</v>
      </c>
      <c r="B416" t="str">
        <f t="shared" si="7"/>
        <v>bench</v>
      </c>
    </row>
    <row r="417" spans="1:2" x14ac:dyDescent="0.25">
      <c r="A417" s="38" t="s">
        <v>749</v>
      </c>
      <c r="B417" t="str">
        <f t="shared" si="7"/>
        <v>Cody Martin</v>
      </c>
    </row>
    <row r="418" spans="1:2" x14ac:dyDescent="0.25">
      <c r="A418" s="38" t="s">
        <v>750</v>
      </c>
      <c r="B418" t="str">
        <f t="shared" si="7"/>
        <v>Nick Richards</v>
      </c>
    </row>
    <row r="419" spans="1:2" x14ac:dyDescent="0.25">
      <c r="A419" s="38" t="s">
        <v>751</v>
      </c>
      <c r="B419" t="str">
        <f t="shared" si="7"/>
        <v>Bol Bol</v>
      </c>
    </row>
    <row r="420" spans="1:2" x14ac:dyDescent="0.25">
      <c r="A420" s="38" t="s">
        <v>752</v>
      </c>
      <c r="B420" t="str">
        <f t="shared" si="7"/>
        <v>Tyus Jones</v>
      </c>
    </row>
    <row r="421" spans="1:2" x14ac:dyDescent="0.25">
      <c r="A421" s="38" t="s">
        <v>753</v>
      </c>
      <c r="B421" t="str">
        <f t="shared" si="7"/>
        <v>Damion Lee</v>
      </c>
    </row>
    <row r="422" spans="1:2" x14ac:dyDescent="0.25">
      <c r="A422" s="38" t="s">
        <v>754</v>
      </c>
      <c r="B422" t="str">
        <f t="shared" si="7"/>
        <v>Grayson Allen</v>
      </c>
    </row>
    <row r="423" spans="1:2" x14ac:dyDescent="0.25">
      <c r="A423" s="38" t="s">
        <v>755</v>
      </c>
      <c r="B423" t="str">
        <f t="shared" si="7"/>
        <v>Vasilije Micic</v>
      </c>
    </row>
    <row r="424" spans="1:2" x14ac:dyDescent="0.25">
      <c r="A424" s="38" t="s">
        <v>756</v>
      </c>
      <c r="B424" t="str">
        <f t="shared" si="7"/>
        <v>Collin Gillespie</v>
      </c>
    </row>
    <row r="425" spans="1:2" x14ac:dyDescent="0.25">
      <c r="A425" s="38" t="s">
        <v>757</v>
      </c>
      <c r="B425" t="str">
        <f t="shared" si="7"/>
        <v>Mason Plumlee</v>
      </c>
    </row>
    <row r="426" spans="1:2" x14ac:dyDescent="0.25">
      <c r="A426" s="38" t="s">
        <v>758</v>
      </c>
      <c r="B426" t="str">
        <f t="shared" si="7"/>
        <v>Monte Morris</v>
      </c>
    </row>
    <row r="427" spans="1:2" x14ac:dyDescent="0.25">
      <c r="B427" t="str">
        <f t="shared" si="7"/>
        <v/>
      </c>
    </row>
    <row r="428" spans="1:2" x14ac:dyDescent="0.25">
      <c r="A428" s="5" t="s">
        <v>759</v>
      </c>
      <c r="B428" s="5" t="str">
        <f t="shared" si="7"/>
        <v>Portland Trail Blazers</v>
      </c>
    </row>
    <row r="429" spans="1:2" x14ac:dyDescent="0.25">
      <c r="A429" t="s">
        <v>385</v>
      </c>
      <c r="B429" s="5" t="str">
        <f t="shared" si="7"/>
        <v>starters</v>
      </c>
    </row>
    <row r="430" spans="1:2" x14ac:dyDescent="0.25">
      <c r="A430" s="38" t="s">
        <v>760</v>
      </c>
      <c r="B430" t="str">
        <f t="shared" si="7"/>
        <v>Deni Avdija</v>
      </c>
    </row>
    <row r="431" spans="1:2" x14ac:dyDescent="0.25">
      <c r="A431" s="38" t="s">
        <v>761</v>
      </c>
      <c r="B431" t="str">
        <f t="shared" si="7"/>
        <v>Donovan Clingan</v>
      </c>
    </row>
    <row r="432" spans="1:2" x14ac:dyDescent="0.25">
      <c r="A432" s="38" t="s">
        <v>762</v>
      </c>
      <c r="B432" t="str">
        <f t="shared" si="7"/>
        <v>Matisse Thybulle</v>
      </c>
    </row>
    <row r="433" spans="1:2" x14ac:dyDescent="0.25">
      <c r="A433" s="38" t="s">
        <v>763</v>
      </c>
      <c r="B433" t="str">
        <f t="shared" si="7"/>
        <v>Shaedon Sharpe</v>
      </c>
    </row>
    <row r="434" spans="1:2" x14ac:dyDescent="0.25">
      <c r="A434" s="38" t="s">
        <v>764</v>
      </c>
      <c r="B434" t="str">
        <f t="shared" si="7"/>
        <v>Dalano Banton</v>
      </c>
    </row>
    <row r="435" spans="1:2" x14ac:dyDescent="0.25">
      <c r="A435" t="s">
        <v>393</v>
      </c>
      <c r="B435" t="str">
        <f t="shared" si="7"/>
        <v>bench</v>
      </c>
    </row>
    <row r="436" spans="1:2" x14ac:dyDescent="0.25">
      <c r="A436" s="38" t="s">
        <v>765</v>
      </c>
      <c r="B436" t="str">
        <f t="shared" si="7"/>
        <v>Justin Minaya</v>
      </c>
    </row>
    <row r="437" spans="1:2" x14ac:dyDescent="0.25">
      <c r="A437" s="38" t="s">
        <v>766</v>
      </c>
      <c r="B437" t="str">
        <f t="shared" si="7"/>
        <v>Jabari Walker</v>
      </c>
    </row>
    <row r="438" spans="1:2" x14ac:dyDescent="0.25">
      <c r="A438" s="38" t="s">
        <v>767</v>
      </c>
      <c r="B438" t="str">
        <f t="shared" si="7"/>
        <v>Kris Murray</v>
      </c>
    </row>
    <row r="439" spans="1:2" x14ac:dyDescent="0.25">
      <c r="A439" s="38" t="s">
        <v>768</v>
      </c>
      <c r="B439" t="str">
        <f t="shared" si="7"/>
        <v>Rayan Rupert</v>
      </c>
    </row>
    <row r="440" spans="1:2" x14ac:dyDescent="0.25">
      <c r="A440" s="38" t="s">
        <v>769</v>
      </c>
      <c r="B440" t="str">
        <f t="shared" si="7"/>
        <v>Toumani Camara</v>
      </c>
    </row>
    <row r="441" spans="1:2" x14ac:dyDescent="0.25">
      <c r="A441" s="38" t="s">
        <v>770</v>
      </c>
      <c r="B441" t="str">
        <f t="shared" si="7"/>
        <v>Jerami Grant</v>
      </c>
    </row>
    <row r="442" spans="1:2" x14ac:dyDescent="0.25">
      <c r="A442" s="38" t="s">
        <v>771</v>
      </c>
      <c r="B442" t="str">
        <f t="shared" si="7"/>
        <v>Duop Reath</v>
      </c>
    </row>
    <row r="443" spans="1:2" x14ac:dyDescent="0.25">
      <c r="A443" s="38" t="s">
        <v>772</v>
      </c>
      <c r="B443" t="str">
        <f t="shared" si="7"/>
        <v>Deandre Ayton</v>
      </c>
    </row>
    <row r="444" spans="1:2" x14ac:dyDescent="0.25">
      <c r="A444" s="38" t="s">
        <v>773</v>
      </c>
      <c r="B444" t="str">
        <f t="shared" si="7"/>
        <v>Anfernee Simons</v>
      </c>
    </row>
    <row r="445" spans="1:2" x14ac:dyDescent="0.25">
      <c r="A445" s="38" t="s">
        <v>774</v>
      </c>
      <c r="B445" t="str">
        <f t="shared" si="7"/>
        <v>Scoot Henderson</v>
      </c>
    </row>
    <row r="446" spans="1:2" x14ac:dyDescent="0.25">
      <c r="B446" t="str">
        <f t="shared" si="7"/>
        <v/>
      </c>
    </row>
    <row r="447" spans="1:2" x14ac:dyDescent="0.25">
      <c r="A447" s="5" t="s">
        <v>775</v>
      </c>
      <c r="B447" s="5" t="str">
        <f t="shared" si="7"/>
        <v>Sacramento Kings</v>
      </c>
    </row>
    <row r="448" spans="1:2" x14ac:dyDescent="0.25">
      <c r="A448" t="s">
        <v>385</v>
      </c>
      <c r="B448" s="5" t="str">
        <f t="shared" si="7"/>
        <v>starters</v>
      </c>
    </row>
    <row r="449" spans="1:2" x14ac:dyDescent="0.25">
      <c r="A449" s="38" t="s">
        <v>776</v>
      </c>
      <c r="B449" t="str">
        <f t="shared" si="7"/>
        <v>Domantas Sabonis</v>
      </c>
    </row>
    <row r="450" spans="1:2" x14ac:dyDescent="0.25">
      <c r="A450" s="38" t="s">
        <v>777</v>
      </c>
      <c r="B450" t="str">
        <f t="shared" si="7"/>
        <v>DeMar DeRozan</v>
      </c>
    </row>
    <row r="451" spans="1:2" x14ac:dyDescent="0.25">
      <c r="A451" s="38" t="s">
        <v>778</v>
      </c>
      <c r="B451" t="str">
        <f t="shared" si="7"/>
        <v>Keegan Murray</v>
      </c>
    </row>
    <row r="452" spans="1:2" x14ac:dyDescent="0.25">
      <c r="A452" s="38" t="s">
        <v>779</v>
      </c>
      <c r="B452" t="str">
        <f t="shared" ref="B452:B515" si="8">LEFT(A452, FIND("#", A452 &amp; "#") - 1)</f>
        <v>Zach LaVine</v>
      </c>
    </row>
    <row r="453" spans="1:2" x14ac:dyDescent="0.25">
      <c r="A453" s="38" t="s">
        <v>780</v>
      </c>
      <c r="B453" t="str">
        <f t="shared" si="8"/>
        <v>Keon Ellis</v>
      </c>
    </row>
    <row r="454" spans="1:2" x14ac:dyDescent="0.25">
      <c r="A454" t="s">
        <v>393</v>
      </c>
      <c r="B454" t="str">
        <f t="shared" si="8"/>
        <v>bench</v>
      </c>
    </row>
    <row r="455" spans="1:2" x14ac:dyDescent="0.25">
      <c r="A455" s="38" t="s">
        <v>781</v>
      </c>
      <c r="B455" t="str">
        <f t="shared" si="8"/>
        <v>Jae Crowder</v>
      </c>
    </row>
    <row r="456" spans="1:2" x14ac:dyDescent="0.25">
      <c r="A456" s="38" t="s">
        <v>782</v>
      </c>
      <c r="B456" t="str">
        <f t="shared" si="8"/>
        <v>Trey Lyles</v>
      </c>
    </row>
    <row r="457" spans="1:2" x14ac:dyDescent="0.25">
      <c r="A457" s="38" t="s">
        <v>783</v>
      </c>
      <c r="B457" t="str">
        <f t="shared" si="8"/>
        <v>Doug McDermott</v>
      </c>
    </row>
    <row r="458" spans="1:2" x14ac:dyDescent="0.25">
      <c r="A458" s="38" t="s">
        <v>784</v>
      </c>
      <c r="B458" t="str">
        <f t="shared" si="8"/>
        <v>Jonas Valanciunas</v>
      </c>
    </row>
    <row r="459" spans="1:2" x14ac:dyDescent="0.25">
      <c r="A459" s="38" t="s">
        <v>785</v>
      </c>
      <c r="B459" t="str">
        <f t="shared" si="8"/>
        <v>Isaac Jones</v>
      </c>
    </row>
    <row r="460" spans="1:2" x14ac:dyDescent="0.25">
      <c r="A460" s="38" t="s">
        <v>786</v>
      </c>
      <c r="B460" t="str">
        <f t="shared" si="8"/>
        <v>Markelle Fultz</v>
      </c>
    </row>
    <row r="461" spans="1:2" x14ac:dyDescent="0.25">
      <c r="A461" s="38" t="s">
        <v>787</v>
      </c>
      <c r="B461" t="str">
        <f t="shared" si="8"/>
        <v>Malik Monk</v>
      </c>
    </row>
    <row r="462" spans="1:2" x14ac:dyDescent="0.25">
      <c r="A462" s="38" t="s">
        <v>788</v>
      </c>
      <c r="B462" t="str">
        <f t="shared" si="8"/>
        <v>Devin Carter</v>
      </c>
    </row>
    <row r="463" spans="1:2" x14ac:dyDescent="0.25">
      <c r="B463" t="str">
        <f t="shared" si="8"/>
        <v/>
      </c>
    </row>
    <row r="464" spans="1:2" x14ac:dyDescent="0.25">
      <c r="A464" s="5" t="s">
        <v>789</v>
      </c>
      <c r="B464" s="5" t="str">
        <f t="shared" si="8"/>
        <v>San Antonio Spurs</v>
      </c>
    </row>
    <row r="465" spans="1:2" x14ac:dyDescent="0.25">
      <c r="A465" t="s">
        <v>385</v>
      </c>
      <c r="B465" s="5" t="str">
        <f t="shared" si="8"/>
        <v>starters</v>
      </c>
    </row>
    <row r="466" spans="1:2" x14ac:dyDescent="0.25">
      <c r="A466" s="38" t="s">
        <v>790</v>
      </c>
      <c r="B466" t="str">
        <f t="shared" si="8"/>
        <v>Harrison Barnes</v>
      </c>
    </row>
    <row r="467" spans="1:2" x14ac:dyDescent="0.25">
      <c r="A467" s="38" t="s">
        <v>791</v>
      </c>
      <c r="B467" t="str">
        <f t="shared" si="8"/>
        <v>Bismack Biyombo</v>
      </c>
    </row>
    <row r="468" spans="1:2" x14ac:dyDescent="0.25">
      <c r="A468" s="38" t="s">
        <v>792</v>
      </c>
      <c r="B468" t="str">
        <f t="shared" si="8"/>
        <v>Chris Paul</v>
      </c>
    </row>
    <row r="469" spans="1:2" x14ac:dyDescent="0.25">
      <c r="A469" s="38" t="s">
        <v>793</v>
      </c>
      <c r="B469" t="str">
        <f t="shared" si="8"/>
        <v>Devin Vassell</v>
      </c>
    </row>
    <row r="470" spans="1:2" x14ac:dyDescent="0.25">
      <c r="A470" s="38" t="s">
        <v>794</v>
      </c>
      <c r="B470" t="str">
        <f t="shared" si="8"/>
        <v>Stephon Castle</v>
      </c>
    </row>
    <row r="471" spans="1:2" x14ac:dyDescent="0.25">
      <c r="A471" t="s">
        <v>393</v>
      </c>
      <c r="B471" t="str">
        <f t="shared" si="8"/>
        <v>bench</v>
      </c>
    </row>
    <row r="472" spans="1:2" x14ac:dyDescent="0.25">
      <c r="A472" s="38" t="s">
        <v>795</v>
      </c>
      <c r="B472" t="str">
        <f t="shared" si="8"/>
        <v>Sandro Mamukelashvili</v>
      </c>
    </row>
    <row r="473" spans="1:2" x14ac:dyDescent="0.25">
      <c r="A473" s="38" t="s">
        <v>796</v>
      </c>
      <c r="B473" t="str">
        <f t="shared" si="8"/>
        <v>Julian Champagnie</v>
      </c>
    </row>
    <row r="474" spans="1:2" x14ac:dyDescent="0.25">
      <c r="A474" s="38" t="s">
        <v>797</v>
      </c>
      <c r="B474" t="str">
        <f t="shared" si="8"/>
        <v>Keldon Johnson</v>
      </c>
    </row>
    <row r="475" spans="1:2" x14ac:dyDescent="0.25">
      <c r="A475" s="38" t="s">
        <v>798</v>
      </c>
      <c r="B475" t="str">
        <f t="shared" si="8"/>
        <v>Charles Bassey</v>
      </c>
    </row>
    <row r="476" spans="1:2" x14ac:dyDescent="0.25">
      <c r="A476" s="38" t="s">
        <v>799</v>
      </c>
      <c r="B476" t="str">
        <f t="shared" si="8"/>
        <v>Jordan McLaughlin</v>
      </c>
    </row>
    <row r="477" spans="1:2" x14ac:dyDescent="0.25">
      <c r="A477" s="38" t="s">
        <v>800</v>
      </c>
      <c r="B477" t="str">
        <f t="shared" si="8"/>
        <v>Blake Wesley</v>
      </c>
    </row>
    <row r="478" spans="1:2" x14ac:dyDescent="0.25">
      <c r="A478" s="38" t="s">
        <v>801</v>
      </c>
      <c r="B478" t="str">
        <f t="shared" si="8"/>
        <v>Malaki Branham</v>
      </c>
    </row>
    <row r="479" spans="1:2" x14ac:dyDescent="0.25">
      <c r="B479" t="str">
        <f t="shared" si="8"/>
        <v/>
      </c>
    </row>
    <row r="480" spans="1:2" x14ac:dyDescent="0.25">
      <c r="A480" s="5" t="s">
        <v>802</v>
      </c>
      <c r="B480" s="5" t="str">
        <f t="shared" si="8"/>
        <v>Toronto Raptors</v>
      </c>
    </row>
    <row r="481" spans="1:2" x14ac:dyDescent="0.25">
      <c r="A481" t="s">
        <v>385</v>
      </c>
      <c r="B481" t="str">
        <f t="shared" si="8"/>
        <v>starters</v>
      </c>
    </row>
    <row r="482" spans="1:2" x14ac:dyDescent="0.25">
      <c r="A482" s="38" t="s">
        <v>803</v>
      </c>
      <c r="B482" t="str">
        <f t="shared" si="8"/>
        <v>Jamison Battle</v>
      </c>
    </row>
    <row r="483" spans="1:2" x14ac:dyDescent="0.25">
      <c r="A483" s="38" t="s">
        <v>804</v>
      </c>
      <c r="B483" t="str">
        <f t="shared" si="8"/>
        <v>Jonathan Mogbo</v>
      </c>
    </row>
    <row r="484" spans="1:2" x14ac:dyDescent="0.25">
      <c r="A484" s="39" t="s">
        <v>805</v>
      </c>
      <c r="B484" t="str">
        <f t="shared" si="8"/>
        <v>Jakob Poeltl</v>
      </c>
    </row>
    <row r="485" spans="1:2" x14ac:dyDescent="0.25">
      <c r="A485" s="38" t="s">
        <v>806</v>
      </c>
      <c r="B485" t="str">
        <f t="shared" si="8"/>
        <v>Immanuel Quickley</v>
      </c>
    </row>
    <row r="486" spans="1:2" x14ac:dyDescent="0.25">
      <c r="A486" s="38" t="s">
        <v>807</v>
      </c>
      <c r="B486" t="str">
        <f t="shared" si="8"/>
        <v>Ja'Kobe Walter</v>
      </c>
    </row>
    <row r="487" spans="1:2" x14ac:dyDescent="0.25">
      <c r="A487" t="s">
        <v>393</v>
      </c>
      <c r="B487" t="str">
        <f t="shared" si="8"/>
        <v>bench</v>
      </c>
    </row>
    <row r="488" spans="1:2" x14ac:dyDescent="0.25">
      <c r="A488" s="38" t="s">
        <v>808</v>
      </c>
      <c r="B488" t="str">
        <f t="shared" si="8"/>
        <v>Cole Swider</v>
      </c>
    </row>
    <row r="489" spans="1:2" x14ac:dyDescent="0.25">
      <c r="A489" s="38" t="s">
        <v>809</v>
      </c>
      <c r="B489" t="str">
        <f t="shared" si="8"/>
        <v>Orlando Robinson</v>
      </c>
    </row>
    <row r="490" spans="1:2" x14ac:dyDescent="0.25">
      <c r="A490" s="38" t="s">
        <v>810</v>
      </c>
      <c r="B490" t="str">
        <f t="shared" si="8"/>
        <v>A.J. Lawson</v>
      </c>
    </row>
    <row r="491" spans="1:2" x14ac:dyDescent="0.25">
      <c r="A491" s="38" t="s">
        <v>811</v>
      </c>
      <c r="B491" t="str">
        <f t="shared" si="8"/>
        <v>Jared Rhoden</v>
      </c>
    </row>
    <row r="492" spans="1:2" x14ac:dyDescent="0.25">
      <c r="A492" s="38" t="s">
        <v>812</v>
      </c>
      <c r="B492" t="str">
        <f t="shared" si="8"/>
        <v>Jamal Shead</v>
      </c>
    </row>
    <row r="493" spans="1:2" x14ac:dyDescent="0.25">
      <c r="A493" s="38" t="s">
        <v>813</v>
      </c>
      <c r="B493" t="str">
        <f t="shared" si="8"/>
        <v>Chris Boucher</v>
      </c>
    </row>
    <row r="494" spans="1:2" x14ac:dyDescent="0.25">
      <c r="A494" s="38" t="s">
        <v>814</v>
      </c>
      <c r="B494" t="str">
        <f t="shared" si="8"/>
        <v>Garrett Temple</v>
      </c>
    </row>
    <row r="495" spans="1:2" x14ac:dyDescent="0.25">
      <c r="B495" t="str">
        <f t="shared" si="8"/>
        <v/>
      </c>
    </row>
    <row r="496" spans="1:2" x14ac:dyDescent="0.25">
      <c r="A496" s="5" t="s">
        <v>815</v>
      </c>
      <c r="B496" s="5" t="str">
        <f t="shared" si="8"/>
        <v>Utah Jazz</v>
      </c>
    </row>
    <row r="497" spans="1:2" x14ac:dyDescent="0.25">
      <c r="A497" t="s">
        <v>385</v>
      </c>
      <c r="B497" s="5" t="str">
        <f t="shared" si="8"/>
        <v>starters</v>
      </c>
    </row>
    <row r="498" spans="1:2" x14ac:dyDescent="0.25">
      <c r="A498" s="38" t="s">
        <v>816</v>
      </c>
      <c r="B498" t="str">
        <f t="shared" si="8"/>
        <v>Kyle Filipowski</v>
      </c>
    </row>
    <row r="499" spans="1:2" x14ac:dyDescent="0.25">
      <c r="A499" s="38" t="s">
        <v>817</v>
      </c>
      <c r="B499" t="str">
        <f t="shared" si="8"/>
        <v>Brice Sensabaugh</v>
      </c>
    </row>
    <row r="500" spans="1:2" x14ac:dyDescent="0.25">
      <c r="A500" s="38" t="s">
        <v>818</v>
      </c>
      <c r="B500" t="str">
        <f t="shared" si="8"/>
        <v>Collin Sexton</v>
      </c>
    </row>
    <row r="501" spans="1:2" x14ac:dyDescent="0.25">
      <c r="A501" s="38" t="s">
        <v>819</v>
      </c>
      <c r="B501" t="str">
        <f t="shared" si="8"/>
        <v>Johnny Juzang</v>
      </c>
    </row>
    <row r="502" spans="1:2" x14ac:dyDescent="0.25">
      <c r="A502" s="38" t="s">
        <v>820</v>
      </c>
      <c r="B502" t="str">
        <f t="shared" si="8"/>
        <v>Isaiah Collier</v>
      </c>
    </row>
    <row r="503" spans="1:2" x14ac:dyDescent="0.25">
      <c r="A503" t="s">
        <v>393</v>
      </c>
      <c r="B503" t="str">
        <f t="shared" si="8"/>
        <v>bench</v>
      </c>
    </row>
    <row r="504" spans="1:2" x14ac:dyDescent="0.25">
      <c r="A504" s="38" t="s">
        <v>821</v>
      </c>
      <c r="B504" t="str">
        <f t="shared" si="8"/>
        <v>Micah Potter</v>
      </c>
    </row>
    <row r="505" spans="1:2" x14ac:dyDescent="0.25">
      <c r="A505" s="38" t="s">
        <v>822</v>
      </c>
      <c r="B505" t="str">
        <f t="shared" si="8"/>
        <v>Svi Mykhailiuk</v>
      </c>
    </row>
    <row r="506" spans="1:2" x14ac:dyDescent="0.25">
      <c r="A506" s="38" t="s">
        <v>823</v>
      </c>
      <c r="B506" t="str">
        <f t="shared" si="8"/>
        <v>Jaden Springer</v>
      </c>
    </row>
    <row r="507" spans="1:2" x14ac:dyDescent="0.25">
      <c r="A507" s="38" t="s">
        <v>824</v>
      </c>
      <c r="B507" t="str">
        <f t="shared" si="8"/>
        <v>Keyonte George</v>
      </c>
    </row>
    <row r="508" spans="1:2" x14ac:dyDescent="0.25">
      <c r="A508" s="38" t="s">
        <v>825</v>
      </c>
      <c r="B508" t="str">
        <f t="shared" si="8"/>
        <v>KJ Martin</v>
      </c>
    </row>
    <row r="509" spans="1:2" x14ac:dyDescent="0.25">
      <c r="A509" s="38" t="s">
        <v>826</v>
      </c>
      <c r="B509" t="str">
        <f t="shared" si="8"/>
        <v>Oscar Tshiebwe</v>
      </c>
    </row>
    <row r="510" spans="1:2" x14ac:dyDescent="0.25">
      <c r="A510" s="38" t="s">
        <v>827</v>
      </c>
      <c r="B510" t="str">
        <f t="shared" si="8"/>
        <v>Walker Kessler</v>
      </c>
    </row>
    <row r="511" spans="1:2" x14ac:dyDescent="0.25">
      <c r="B511" t="str">
        <f t="shared" si="8"/>
        <v/>
      </c>
    </row>
    <row r="512" spans="1:2" x14ac:dyDescent="0.25">
      <c r="A512" s="5" t="s">
        <v>828</v>
      </c>
      <c r="B512" t="str">
        <f t="shared" si="8"/>
        <v>o</v>
      </c>
    </row>
    <row r="513" spans="1:2" x14ac:dyDescent="0.25">
      <c r="A513" t="s">
        <v>385</v>
      </c>
      <c r="B513" s="5" t="str">
        <f t="shared" si="8"/>
        <v>starters</v>
      </c>
    </row>
    <row r="514" spans="1:2" x14ac:dyDescent="0.25">
      <c r="A514" s="38" t="s">
        <v>829</v>
      </c>
      <c r="B514" t="str">
        <f t="shared" si="8"/>
        <v>Alex Sarr</v>
      </c>
    </row>
    <row r="515" spans="1:2" x14ac:dyDescent="0.25">
      <c r="A515" s="38" t="s">
        <v>830</v>
      </c>
      <c r="B515" t="str">
        <f t="shared" si="8"/>
        <v>Justin Champagnie</v>
      </c>
    </row>
    <row r="516" spans="1:2" x14ac:dyDescent="0.25">
      <c r="A516" s="38" t="s">
        <v>831</v>
      </c>
      <c r="B516" t="str">
        <f t="shared" ref="B516:B526" si="9">LEFT(A516, FIND("#", A516 &amp; "#") - 1)</f>
        <v>Marcus Smart</v>
      </c>
    </row>
    <row r="517" spans="1:2" x14ac:dyDescent="0.25">
      <c r="A517" s="38" t="s">
        <v>832</v>
      </c>
      <c r="B517" t="str">
        <f t="shared" si="9"/>
        <v>Bub Carrington</v>
      </c>
    </row>
    <row r="518" spans="1:2" x14ac:dyDescent="0.25">
      <c r="A518" s="38" t="s">
        <v>833</v>
      </c>
      <c r="B518" t="str">
        <f t="shared" si="9"/>
        <v>AJ Johnson</v>
      </c>
    </row>
    <row r="519" spans="1:2" x14ac:dyDescent="0.25">
      <c r="A519" t="s">
        <v>393</v>
      </c>
      <c r="B519" t="str">
        <f t="shared" si="9"/>
        <v>bench</v>
      </c>
    </row>
    <row r="520" spans="1:2" x14ac:dyDescent="0.25">
      <c r="A520" s="38" t="s">
        <v>834</v>
      </c>
      <c r="B520" t="str">
        <f t="shared" si="9"/>
        <v>Anthony Gill</v>
      </c>
    </row>
    <row r="521" spans="1:2" x14ac:dyDescent="0.25">
      <c r="A521" s="38" t="s">
        <v>835</v>
      </c>
      <c r="B521" t="str">
        <f t="shared" si="9"/>
        <v>Tristan Vukcevic</v>
      </c>
    </row>
    <row r="522" spans="1:2" x14ac:dyDescent="0.25">
      <c r="A522" s="38" t="s">
        <v>836</v>
      </c>
      <c r="B522" t="str">
        <f t="shared" si="9"/>
        <v>Colby Jones</v>
      </c>
    </row>
    <row r="523" spans="1:2" x14ac:dyDescent="0.25">
      <c r="A523" s="38" t="s">
        <v>837</v>
      </c>
      <c r="B523" t="str">
        <f t="shared" si="9"/>
        <v>Jaylen Martin</v>
      </c>
    </row>
    <row r="524" spans="1:2" x14ac:dyDescent="0.25">
      <c r="A524" s="38" t="s">
        <v>838</v>
      </c>
      <c r="B524" t="str">
        <f t="shared" si="9"/>
        <v>JT Thor</v>
      </c>
    </row>
    <row r="525" spans="1:2" x14ac:dyDescent="0.25">
      <c r="A525" s="38" t="s">
        <v>839</v>
      </c>
      <c r="B525" t="str">
        <f t="shared" si="9"/>
        <v>Kyshawn George</v>
      </c>
    </row>
    <row r="526" spans="1:2" x14ac:dyDescent="0.25">
      <c r="A526" s="38" t="s">
        <v>840</v>
      </c>
      <c r="B526" t="str">
        <f t="shared" si="9"/>
        <v>Malcolm Brogdon</v>
      </c>
    </row>
  </sheetData>
  <conditionalFormatting sqref="A344:A357">
    <cfRule type="duplicateValues" dxfId="46" priority="244"/>
  </conditionalFormatting>
  <conditionalFormatting sqref="A350:A357 A344:A348">
    <cfRule type="duplicateValues" dxfId="45" priority="245"/>
  </conditionalFormatting>
  <conditionalFormatting sqref="C89">
    <cfRule type="duplicateValues" dxfId="44" priority="3"/>
  </conditionalFormatting>
  <hyperlinks>
    <hyperlink ref="A141" r:id="rId1" xr:uid="{2CD1AC95-16DE-42FF-819A-F8A0908684BD}"/>
    <hyperlink ref="A142" r:id="rId2" xr:uid="{9421089D-7719-4414-86FA-0ED71A14A0DE}"/>
    <hyperlink ref="A143" r:id="rId3" xr:uid="{16234A92-B285-4F7C-87F9-46F459BE0367}"/>
    <hyperlink ref="A144" r:id="rId4" xr:uid="{9132FCBB-ACBD-4412-BC60-CCA8D63C6942}"/>
    <hyperlink ref="A145" r:id="rId5" xr:uid="{281D51B7-0D95-4F0B-994D-B42BF0BEC4E7}"/>
    <hyperlink ref="A147" r:id="rId6" xr:uid="{B358B863-54E8-4450-A030-DDFF9E11B502}"/>
    <hyperlink ref="A148" r:id="rId7" xr:uid="{AEF8B8E3-D885-4E32-BA97-68B5597E745E}"/>
    <hyperlink ref="A149" r:id="rId8" xr:uid="{604B862C-2008-4FD3-8363-BD2B1A32464C}"/>
    <hyperlink ref="A150" r:id="rId9" xr:uid="{12C06714-DE40-46B0-83C6-345A554F4635}"/>
    <hyperlink ref="A151" r:id="rId10" xr:uid="{6A50649B-57E0-4FC3-97FE-3C534A8D9C8C}"/>
    <hyperlink ref="A152" r:id="rId11" xr:uid="{AA602224-3D52-48D0-B994-C49BDB3B0D65}"/>
    <hyperlink ref="A153" r:id="rId12" xr:uid="{69D1189F-9E97-474E-B486-694B7D8284CC}"/>
    <hyperlink ref="A154" r:id="rId13" xr:uid="{818D144C-2938-45CD-847F-FE3490276D62}"/>
    <hyperlink ref="A155" r:id="rId14" xr:uid="{567AE817-E3B4-46AF-939C-62D2C6A184AD}"/>
    <hyperlink ref="A156" r:id="rId15" xr:uid="{5C581E8B-6534-4E3E-82A1-CEAC2EF30D7B}"/>
    <hyperlink ref="A482" r:id="rId16" xr:uid="{3C5A8ACF-42D5-473E-93FD-0A439ED364EC}"/>
    <hyperlink ref="A483" r:id="rId17" xr:uid="{84671D4B-1F64-489A-9692-5BDF3187F254}"/>
    <hyperlink ref="A484" r:id="rId18" xr:uid="{0F4601D2-A2EE-4CEC-BE0C-27B0B6A33E8F}"/>
    <hyperlink ref="A485" r:id="rId19" xr:uid="{ED2AB816-D792-4092-8D4F-778BA77533A6}"/>
    <hyperlink ref="A486" r:id="rId20" xr:uid="{4F628C6A-97B0-475B-A063-808DE9D44E2E}"/>
    <hyperlink ref="A488" r:id="rId21" xr:uid="{1605C9AC-FEBA-4522-9CFA-550813BAD4AB}"/>
    <hyperlink ref="A489" r:id="rId22" xr:uid="{0651B349-1B16-4BC8-9C7D-5C60A782E7F1}"/>
    <hyperlink ref="A490" r:id="rId23" xr:uid="{7E028504-5168-4F99-A493-3F3D5720B892}"/>
    <hyperlink ref="A491" r:id="rId24" xr:uid="{E93BD5FB-C120-473A-BDA9-4CB269C647B7}"/>
    <hyperlink ref="A492" r:id="rId25" xr:uid="{D4E53DBF-435E-4103-AC5C-5DD73B4E75F6}"/>
    <hyperlink ref="A493" r:id="rId26" xr:uid="{FC5D1B07-1737-47AA-B44F-097941861FF9}"/>
    <hyperlink ref="A494" r:id="rId27" xr:uid="{B3860B84-9674-45BA-AB51-949EDF9ACB0E}"/>
    <hyperlink ref="A3" r:id="rId28" xr:uid="{4934F4E7-156E-4CBC-AFA8-03696DFA5340}"/>
    <hyperlink ref="A4" r:id="rId29" xr:uid="{2FC6357A-3E52-42A6-81BF-206B2C9A2170}"/>
    <hyperlink ref="A5" r:id="rId30" xr:uid="{49A85BB5-4C35-4001-B4EE-13C0294E25B5}"/>
    <hyperlink ref="A6" r:id="rId31" xr:uid="{1F25EA9F-7C9F-4A08-AE01-75106E5F0293}"/>
    <hyperlink ref="A7" r:id="rId32" xr:uid="{315AFFA8-994E-466F-9535-1CD802D8F79E}"/>
    <hyperlink ref="A9" r:id="rId33" xr:uid="{7F6AA399-6C09-4674-83A5-6B02554A3BB0}"/>
    <hyperlink ref="A10" r:id="rId34" xr:uid="{5E3D2F11-BEA2-4F3D-A73B-A3945E48AF18}"/>
    <hyperlink ref="A11" r:id="rId35" xr:uid="{DDE11587-9386-40C7-868F-DC8216277AE5}"/>
    <hyperlink ref="A12" r:id="rId36" xr:uid="{58CB4220-F405-4055-A379-828E3650ED90}"/>
    <hyperlink ref="A13" r:id="rId37" xr:uid="{47C07706-8A8C-4340-B670-7B359DD74906}"/>
    <hyperlink ref="A14" r:id="rId38" xr:uid="{5681103E-F4C6-4DE8-AC30-05AE15A5A743}"/>
    <hyperlink ref="A15" r:id="rId39" xr:uid="{5250F76D-C59F-4523-A4BF-501563514608}"/>
    <hyperlink ref="A106" r:id="rId40" xr:uid="{0B342F39-D219-4B3D-910E-DBAE2802325B}"/>
    <hyperlink ref="A107" r:id="rId41" xr:uid="{7A7C055B-4496-4594-8FEC-F6F002ACE4F7}"/>
    <hyperlink ref="A108" r:id="rId42" xr:uid="{F64D6C03-14CC-4469-90C1-2D47024D0F39}"/>
    <hyperlink ref="A109" r:id="rId43" xr:uid="{CFF68C2E-FF1D-4472-8ED6-A774B9FED2B1}"/>
    <hyperlink ref="A110" r:id="rId44" xr:uid="{ACA702B0-0A2E-4640-8301-DADBDAF20429}"/>
    <hyperlink ref="A112" r:id="rId45" xr:uid="{49BE553E-24FA-4383-98BD-7F39F7ACAA9F}"/>
    <hyperlink ref="A113" r:id="rId46" xr:uid="{06C06390-A975-4595-A092-95420C32BF9D}"/>
    <hyperlink ref="A114" r:id="rId47" xr:uid="{B89E82FB-1FEC-470A-ADD0-D7DAF4046F10}"/>
    <hyperlink ref="A115" r:id="rId48" xr:uid="{1C178942-45B8-4F8B-AEF9-1736111F98BA}"/>
    <hyperlink ref="A116" r:id="rId49" xr:uid="{4885EE83-9C08-45C9-B87A-614484BD3403}"/>
    <hyperlink ref="A117" r:id="rId50" xr:uid="{12C62342-0351-4440-818B-BBEB03C542F4}"/>
    <hyperlink ref="A118" r:id="rId51" xr:uid="{1C544A7C-22D6-4D9F-BB08-8F02C2C4C7C6}"/>
    <hyperlink ref="A122" r:id="rId52" xr:uid="{5C60FD2E-7209-46EF-B5BF-0496ADC52AF3}"/>
    <hyperlink ref="A123" r:id="rId53" xr:uid="{7C441101-ADC3-482A-9F84-7B75504AD271}"/>
    <hyperlink ref="A124" r:id="rId54" xr:uid="{8D019A2E-5D9E-4A0B-8643-16D9B84A6932}"/>
    <hyperlink ref="A125" r:id="rId55" xr:uid="{26903D80-0DFA-441E-9243-1DF01DE96A85}"/>
    <hyperlink ref="A126" r:id="rId56" xr:uid="{6F98E871-9CCF-4A74-9FB0-F8DF819009A6}"/>
    <hyperlink ref="A128" r:id="rId57" xr:uid="{9F8DB639-4891-4224-B1CC-0B4E2FFE8454}"/>
    <hyperlink ref="A129" r:id="rId58" xr:uid="{58459B7D-5811-4C50-9DD1-4F235F1134A2}"/>
    <hyperlink ref="A130" r:id="rId59" xr:uid="{8A613E79-742A-4A47-B305-A60F8259DF4C}"/>
    <hyperlink ref="A131" r:id="rId60" xr:uid="{19FF46BF-099D-47EF-A9B2-EBAD09210D65}"/>
    <hyperlink ref="A132" r:id="rId61" xr:uid="{686C464F-1717-4ACC-A5AC-A39AA5D3AD43}"/>
    <hyperlink ref="A133" r:id="rId62" xr:uid="{31CEF4C7-8DA1-409A-8BE8-6E70EB802FFA}"/>
    <hyperlink ref="A134" r:id="rId63" xr:uid="{853605D9-8CCA-4D06-BD99-090F5BD3F3A0}"/>
    <hyperlink ref="A135" r:id="rId64" xr:uid="{1195CB6E-A853-4949-AC46-35990446D0E7}"/>
    <hyperlink ref="A136" r:id="rId65" xr:uid="{75604D03-685C-4021-B387-0F864E4BBB77}"/>
    <hyperlink ref="A137" r:id="rId66" xr:uid="{3EFA84DA-2A07-448E-9E41-1D3AFC0E9054}"/>
    <hyperlink ref="A160" r:id="rId67" xr:uid="{FCC12D46-7578-474D-87A2-747E1D3E2928}"/>
    <hyperlink ref="A161" r:id="rId68" xr:uid="{B24DD747-CC1C-47BD-AF43-74493647099C}"/>
    <hyperlink ref="A162" r:id="rId69" xr:uid="{E646D728-3A8A-4FB0-9496-29CB8ECA3E57}"/>
    <hyperlink ref="A163" r:id="rId70" xr:uid="{CB6395F8-FECB-4F54-B8AD-4943E9F950D3}"/>
    <hyperlink ref="A164" r:id="rId71" xr:uid="{466A0FF6-E501-45D7-B991-01D3B701CFEC}"/>
    <hyperlink ref="A166" r:id="rId72" xr:uid="{1D601189-67AD-478C-997E-5AD780CA9646}"/>
    <hyperlink ref="A167" r:id="rId73" xr:uid="{C8A19582-4EF0-4973-A213-DF99E4E4718A}"/>
    <hyperlink ref="A168" r:id="rId74" xr:uid="{6EC6E7AC-FD37-418C-990F-585F2E6CB254}"/>
    <hyperlink ref="A169" r:id="rId75" xr:uid="{8E3EBE09-8924-4B3C-B5C4-FA981E529E4E}"/>
    <hyperlink ref="A170" r:id="rId76" xr:uid="{0FE5320A-3AFB-4918-AC98-A09C872B6AF3}"/>
    <hyperlink ref="A171" r:id="rId77" xr:uid="{8DBB7AF4-EA03-4A23-AEB6-FF48D80AF475}"/>
    <hyperlink ref="A172" r:id="rId78" xr:uid="{B52E3FD7-9A9D-4666-83CF-08EFC08B0716}"/>
    <hyperlink ref="A173" r:id="rId79" xr:uid="{1B5FC93A-DAD8-477B-806F-49D165BF3039}"/>
    <hyperlink ref="A174" r:id="rId80" xr:uid="{1B42D8A5-10AC-46BC-A886-EE64E00D28BA}"/>
    <hyperlink ref="A175" r:id="rId81" xr:uid="{04B8DB68-61DC-4F48-B72A-A2F77B1C122F}"/>
    <hyperlink ref="A328" r:id="rId82" xr:uid="{E72E47CB-9C18-4C1F-B4FD-6271D140E950}"/>
    <hyperlink ref="A329" r:id="rId83" xr:uid="{7E8276DE-1B47-448C-9159-2157E88FF139}"/>
    <hyperlink ref="A330" r:id="rId84" xr:uid="{A0FB4EB8-4887-47B6-BC89-603A8B1D0F2D}"/>
    <hyperlink ref="A331" r:id="rId85" xr:uid="{C14CE359-D7FB-4B6D-A599-0ECC7EAB2CF2}"/>
    <hyperlink ref="A332" r:id="rId86" xr:uid="{65DB09A0-7F42-4A1C-93C8-947241C77574}"/>
    <hyperlink ref="A334" r:id="rId87" xr:uid="{AA562E0B-6AEC-47AA-8B1C-FFF7637FB8D1}"/>
    <hyperlink ref="A335" r:id="rId88" xr:uid="{109F257F-3EE5-4AE4-827C-F0BA29E552A1}"/>
    <hyperlink ref="A336" r:id="rId89" xr:uid="{82373216-4ECB-486E-B803-0AB98FE226AA}"/>
    <hyperlink ref="A337" r:id="rId90" xr:uid="{3F889CF7-9C8B-4EFC-A454-A7B948E2DCAB}"/>
    <hyperlink ref="A338" r:id="rId91" xr:uid="{2B4FD7D6-4FDE-48C4-8ED8-82C9B76CEAFF}"/>
    <hyperlink ref="A339" r:id="rId92" xr:uid="{3062CB52-05ED-4E7F-83C9-1FDCC732FEC7}"/>
    <hyperlink ref="A340" r:id="rId93" xr:uid="{792F8F5A-8C1D-4489-9787-9F7CCB8473F5}"/>
    <hyperlink ref="A235" r:id="rId94" xr:uid="{84CE6D61-A9EF-40A4-8891-29F449F77734}"/>
    <hyperlink ref="A236" r:id="rId95" xr:uid="{1F22BD1B-1380-45EF-BF25-9C5660179D10}"/>
    <hyperlink ref="A237" r:id="rId96" xr:uid="{B9D42B20-DF12-40FB-9CC6-CFCC02047D44}"/>
    <hyperlink ref="A238" r:id="rId97" xr:uid="{F2ABB1E2-78DD-423B-9F71-A9DAC1C38492}"/>
    <hyperlink ref="A239" r:id="rId98" xr:uid="{C778B8CE-B190-4EB7-8497-8B4EB4F5037C}"/>
    <hyperlink ref="A241" r:id="rId99" xr:uid="{0F0896B6-37FF-4546-90FD-302CDE60826B}"/>
    <hyperlink ref="A242" r:id="rId100" xr:uid="{1764622C-4DA7-4FC0-A2A4-0E296595BDEE}"/>
    <hyperlink ref="A243" r:id="rId101" xr:uid="{E09BFFE9-C5CA-4E04-83F9-8C173E4E3CCC}"/>
    <hyperlink ref="A244" r:id="rId102" xr:uid="{D2EC3343-B648-414B-9696-DA21101B22B2}"/>
    <hyperlink ref="A245" r:id="rId103" xr:uid="{EC1FBB1C-A62C-4E8C-95C8-B68B98F0C0C9}"/>
    <hyperlink ref="A246" r:id="rId104" xr:uid="{F7609E79-7D4F-40C9-A259-0ADF5F333DC1}"/>
    <hyperlink ref="A247" r:id="rId105" xr:uid="{37CF9E7C-D89E-4D31-A0BD-D86FD5C75B88}"/>
    <hyperlink ref="A248" r:id="rId106" xr:uid="{5ECEA888-706B-4840-85E5-3A0A2E29E8DD}"/>
    <hyperlink ref="A53" r:id="rId107" xr:uid="{E46894D3-8802-4915-AB54-3132E397688C}"/>
    <hyperlink ref="A54" r:id="rId108" xr:uid="{745C43D2-B469-4E13-B798-E10522879E52}"/>
    <hyperlink ref="A55" r:id="rId109" xr:uid="{749FACFB-4D46-4679-BA93-28B589786814}"/>
    <hyperlink ref="A56" r:id="rId110" xr:uid="{3DDE3AEF-FE2E-4184-A2C5-D5F928265200}"/>
    <hyperlink ref="A57" r:id="rId111" xr:uid="{D861931C-0538-4C3D-A872-521CF99D47CA}"/>
    <hyperlink ref="A59" r:id="rId112" xr:uid="{84E37618-5E85-407F-A4C2-6A954F9E2FBC}"/>
    <hyperlink ref="A60" r:id="rId113" xr:uid="{B045975E-0C30-458A-9EDD-3B1240A141B8}"/>
    <hyperlink ref="A61" r:id="rId114" xr:uid="{E7A7FDAE-94A4-4CF7-90FD-E4EF21461568}"/>
    <hyperlink ref="A62" r:id="rId115" xr:uid="{FB81D7B5-9C73-4214-93B6-128A04B9D947}"/>
    <hyperlink ref="A63" r:id="rId116" xr:uid="{A5F9E58C-0DAD-4FB2-9CC2-999BE885BEF2}"/>
    <hyperlink ref="A64" r:id="rId117" xr:uid="{2E07D3B1-4037-4310-9BEB-3387E415CD6E}"/>
    <hyperlink ref="A449" r:id="rId118" xr:uid="{4C2864F2-1B95-493F-9F06-956AEA43D478}"/>
    <hyperlink ref="A450" r:id="rId119" xr:uid="{DB97200D-F00F-4FE7-908B-9F24FFA9F20D}"/>
    <hyperlink ref="A451" r:id="rId120" xr:uid="{3EB75561-C9F2-4D99-9BC8-E0583FE7A0B3}"/>
    <hyperlink ref="A452" r:id="rId121" xr:uid="{1D89E99D-B468-4805-9692-2B43780F0063}"/>
    <hyperlink ref="A453" r:id="rId122" xr:uid="{3041B643-49AE-4A03-BC25-9FD633EBD8DE}"/>
    <hyperlink ref="A455" r:id="rId123" xr:uid="{D7636946-0D60-4EAB-A68B-09C35734C8F8}"/>
    <hyperlink ref="A456" r:id="rId124" xr:uid="{41743A09-CBC4-46F8-89BD-9BB83F403BDA}"/>
    <hyperlink ref="A457" r:id="rId125" xr:uid="{4DC72925-4080-4D0F-9A1C-0DCB704DB38C}"/>
    <hyperlink ref="A458" r:id="rId126" xr:uid="{C471C7EB-DD80-49B6-92C4-FB7ED19EC519}"/>
    <hyperlink ref="A459" r:id="rId127" xr:uid="{99BFE39A-DF88-4068-9B16-ADA81CB320F8}"/>
    <hyperlink ref="A460" r:id="rId128" xr:uid="{B0032E1E-C24F-427C-87A1-AE642B9749B2}"/>
    <hyperlink ref="A461" r:id="rId129" xr:uid="{F1E154BE-C1E7-4FBB-B276-1C921BA63D00}"/>
    <hyperlink ref="A462" r:id="rId130" xr:uid="{0F152CB7-E32C-476A-A2BD-16F32F8E2AAA}"/>
    <hyperlink ref="A411" r:id="rId131" xr:uid="{5A5EBCFA-33F9-4CD7-A1FE-B643557DA7FB}"/>
    <hyperlink ref="A412" r:id="rId132" xr:uid="{0D1BCC96-6AC1-4C6F-AEC6-A6490408E764}"/>
    <hyperlink ref="A413" r:id="rId133" xr:uid="{9614D707-B6F8-4684-84D5-F17005EF6AB6}"/>
    <hyperlink ref="A414" r:id="rId134" xr:uid="{8A88D155-764F-4A0A-861B-B0C4ADD8336F}"/>
    <hyperlink ref="A415" r:id="rId135" xr:uid="{BA80F764-4DE6-4AC6-95AF-AF3957ABE330}"/>
    <hyperlink ref="A417" r:id="rId136" xr:uid="{8057E06D-949B-4675-A1BE-402BE265BFA1}"/>
    <hyperlink ref="A418" r:id="rId137" xr:uid="{14D2242B-26A3-4BC5-9490-9B56050054B5}"/>
    <hyperlink ref="A419" r:id="rId138" xr:uid="{9FA823B8-E785-4A08-AE8C-90B3E7F5F425}"/>
    <hyperlink ref="A420" r:id="rId139" xr:uid="{B152A505-C20A-4A43-8750-2D3305C1B651}"/>
    <hyperlink ref="A421" r:id="rId140" xr:uid="{ED3F08A3-7247-4880-BBAE-0F09C9571EB0}"/>
    <hyperlink ref="A422" r:id="rId141" xr:uid="{4DF3D647-345B-40CE-9B81-E9E5CEE135EB}"/>
    <hyperlink ref="A423" r:id="rId142" xr:uid="{7E4A6672-9FBA-4834-B186-121C5F803C99}"/>
    <hyperlink ref="A424" r:id="rId143" xr:uid="{DD7531C7-BB23-4C53-93E0-4427DEE485B7}"/>
    <hyperlink ref="A425" r:id="rId144" xr:uid="{B9BDB1F1-1B28-4F7B-BD45-141CB88D4897}"/>
    <hyperlink ref="A426" r:id="rId145" xr:uid="{52933900-AF45-48B1-A98D-8361C58C2297}"/>
    <hyperlink ref="A19" r:id="rId146" xr:uid="{90F62E99-F028-410F-9237-FF8BA935A765}"/>
    <hyperlink ref="A20" r:id="rId147" xr:uid="{9E921AAF-D2CB-4BCE-B1CB-7BEEB4DCDA82}"/>
    <hyperlink ref="A21" r:id="rId148" xr:uid="{4D48611D-1B85-474F-88BD-3B7B00C931A7}"/>
    <hyperlink ref="A22" r:id="rId149" xr:uid="{385FEBF7-F928-4957-A67C-DD73403B6950}"/>
    <hyperlink ref="A23" r:id="rId150" xr:uid="{4EF8869B-AF73-44A5-B64A-00596A8BF36C}"/>
    <hyperlink ref="A25" r:id="rId151" xr:uid="{DF4364B3-1F6B-4758-ADB2-6EB4CA1AD5C6}"/>
    <hyperlink ref="A26" r:id="rId152" xr:uid="{644CEEA6-BEC2-4632-8467-895089633D06}"/>
    <hyperlink ref="A27" r:id="rId153" xr:uid="{D88CE41A-0F5A-4688-9F22-692875056B17}"/>
    <hyperlink ref="A28" r:id="rId154" xr:uid="{B09F673C-E164-432B-A04E-1135D13E4667}"/>
    <hyperlink ref="A29" r:id="rId155" xr:uid="{8591D77F-B246-4EAE-BE94-DCBAABD7336F}"/>
    <hyperlink ref="A30" r:id="rId156" xr:uid="{7896CC34-EF58-436D-9656-909DFCF00247}"/>
    <hyperlink ref="A31" r:id="rId157" xr:uid="{035B0D2D-48A5-481B-9E01-06CE99486EB6}"/>
    <hyperlink ref="A32" r:id="rId158" xr:uid="{9BDB59F8-811E-4B27-935E-A3BF9E88102F}"/>
    <hyperlink ref="A33" r:id="rId159" xr:uid="{20AA8DCA-5004-454D-B6A9-C7B4869FE515}"/>
    <hyperlink ref="A34" r:id="rId160" xr:uid="{0FF8F145-7608-4308-8526-4145C626C447}"/>
    <hyperlink ref="A498" r:id="rId161" xr:uid="{B519D1B6-F6CD-44B4-962F-FF1F299BA0F6}"/>
    <hyperlink ref="A499" r:id="rId162" xr:uid="{910DC5C2-2456-4914-A32A-9BA5A057D5F6}"/>
    <hyperlink ref="A500" r:id="rId163" xr:uid="{53AD5D57-AA19-4280-BD86-694E1CD8B25D}"/>
    <hyperlink ref="A501" r:id="rId164" xr:uid="{4B28A4E0-5F9D-4B34-B39E-5BFFF3FA02B2}"/>
    <hyperlink ref="A502" r:id="rId165" xr:uid="{6846EFBB-1D9B-4741-9046-502F96373F8C}"/>
    <hyperlink ref="A504" r:id="rId166" xr:uid="{3398A48E-8ACC-422F-B6B1-02BD28DFE8BC}"/>
    <hyperlink ref="A505" r:id="rId167" xr:uid="{B9489A88-9D8C-4782-9ABB-5150AB01096A}"/>
    <hyperlink ref="A506" r:id="rId168" xr:uid="{C4E8F0E8-7763-45F7-98A1-A97D86359604}"/>
    <hyperlink ref="A507" r:id="rId169" xr:uid="{1D76FB9D-DF10-4851-9D25-E897FB8A1725}"/>
    <hyperlink ref="A508" r:id="rId170" xr:uid="{6A748580-1147-4AF7-9058-2787B900F1D0}"/>
    <hyperlink ref="A509" r:id="rId171" xr:uid="{9CD9852E-2BFA-4838-814D-CCA8AF719BEE}"/>
    <hyperlink ref="A510" r:id="rId172" xr:uid="{22F2779C-2F5F-4A9C-9BF5-C3FACB41FD2E}"/>
    <hyperlink ref="A198" r:id="rId173" xr:uid="{DB7601E6-E9FB-44D7-A7A6-E26FC8A218F8}"/>
    <hyperlink ref="A199" r:id="rId174" xr:uid="{595D646D-35BD-489C-ADE3-AF018F39CF8C}"/>
    <hyperlink ref="A200" r:id="rId175" xr:uid="{436E897A-3FEB-455B-9FBA-017049DAB1C1}"/>
    <hyperlink ref="A201" r:id="rId176" xr:uid="{288F27A2-BA39-4AC2-A280-3FC4F9D06E23}"/>
    <hyperlink ref="A202" r:id="rId177" xr:uid="{1A117A40-7356-4D7A-B4AE-AFABB368C8EB}"/>
    <hyperlink ref="A204" r:id="rId178" xr:uid="{E2E54199-FB97-457C-892B-694658D68AF6}"/>
    <hyperlink ref="A205" r:id="rId179" xr:uid="{CF4AE420-D592-420E-B0D6-F53F2A4EA6A8}"/>
    <hyperlink ref="A206" r:id="rId180" xr:uid="{9F570AE7-A36B-449C-ACB6-05A28D47035D}"/>
    <hyperlink ref="A207" r:id="rId181" xr:uid="{E1D2505E-2BBA-47D4-A8F8-146CA47AC757}"/>
    <hyperlink ref="A208" r:id="rId182" xr:uid="{D7B3E728-2306-4533-A1E5-EAD8DD8CBAA4}"/>
    <hyperlink ref="A209" r:id="rId183" xr:uid="{F1F422C4-CA3F-4074-9BA4-DD5F8F26211A}"/>
    <hyperlink ref="A210" r:id="rId184" xr:uid="{5EA6A8FB-FC28-4141-8287-003FCE25A015}"/>
    <hyperlink ref="A211" r:id="rId185" xr:uid="{0073E43C-6EF0-49F3-8AFC-5356143B6F70}"/>
    <hyperlink ref="A212" r:id="rId186" xr:uid="{B3BC0E4C-E409-4855-A0DA-989ED9FE8824}"/>
    <hyperlink ref="A213" r:id="rId187" xr:uid="{EA9FFE10-9BAB-4301-B037-CC076AD2D57F}"/>
    <hyperlink ref="A430" r:id="rId188" xr:uid="{6B286D27-78AB-4D77-9B1E-2CA3D77B379F}"/>
    <hyperlink ref="A431" r:id="rId189" xr:uid="{1A6A9B33-CA12-4EC0-9A58-0AFAD1B4DD9A}"/>
    <hyperlink ref="A432" r:id="rId190" xr:uid="{45A17B78-3FDB-483A-A67C-41530B2784BC}"/>
    <hyperlink ref="A433" r:id="rId191" xr:uid="{B01885C5-866A-4E8B-A57A-C97F4BB3F545}"/>
    <hyperlink ref="A434" r:id="rId192" xr:uid="{D003BB79-0575-43D7-A7E2-4894A79F96EC}"/>
    <hyperlink ref="A436" r:id="rId193" xr:uid="{A3083426-2A95-4D5F-B509-363994999DF3}"/>
    <hyperlink ref="A437" r:id="rId194" xr:uid="{17C135E0-19B3-420D-A6F9-F875C1658CC3}"/>
    <hyperlink ref="A438" r:id="rId195" xr:uid="{E29C559E-E8F0-4EF5-877B-94F846BC3C8A}"/>
    <hyperlink ref="A439" r:id="rId196" xr:uid="{D683EDC3-322F-486E-805D-8B6CD40B9040}"/>
    <hyperlink ref="A440" r:id="rId197" xr:uid="{8E0BEDCA-E5A4-4CC6-8E43-8E9981260664}"/>
    <hyperlink ref="A441" r:id="rId198" xr:uid="{D8A00681-972B-4C4F-BABF-C2D9FDCC197E}"/>
    <hyperlink ref="A442" r:id="rId199" xr:uid="{7AC36100-4BD4-4A7F-AB26-07DD027AE578}"/>
    <hyperlink ref="A443" r:id="rId200" xr:uid="{851B530B-2264-48AE-A719-47F5C54F6E31}"/>
    <hyperlink ref="A444" r:id="rId201" xr:uid="{76AD32E6-A259-4987-95AD-1EDCE7F0332A}"/>
    <hyperlink ref="A445" r:id="rId202" xr:uid="{EB2F9055-F649-43C0-995F-6344807BA870}"/>
    <hyperlink ref="A68" r:id="rId203" xr:uid="{2FAC27EE-0AB8-4D33-B215-A1B79031131D}"/>
    <hyperlink ref="A69" r:id="rId204" xr:uid="{6892D0A3-95D7-4A28-87A7-9A7FAD396A35}"/>
    <hyperlink ref="A70" r:id="rId205" xr:uid="{440A902D-2233-49AF-BE76-E5A8F75832FA}"/>
    <hyperlink ref="A71" r:id="rId206" xr:uid="{82213AA0-12A9-4330-B34C-768E5F979D79}"/>
    <hyperlink ref="A72" r:id="rId207" xr:uid="{8691DC39-57EA-4696-A19C-012A300FE7D1}"/>
    <hyperlink ref="A74" r:id="rId208" xr:uid="{976B8BBC-BC5E-438C-BAEA-7982BB9D90D5}"/>
    <hyperlink ref="A75" r:id="rId209" xr:uid="{AF1BED3D-3C1E-4085-9DFE-D2E43F1B34B9}"/>
    <hyperlink ref="A76" r:id="rId210" xr:uid="{C9998677-49E6-49F5-ABD4-F5EE6CBA9872}"/>
    <hyperlink ref="A77" r:id="rId211" xr:uid="{5E074007-FF58-4F14-8369-063680A403DA}"/>
    <hyperlink ref="A78" r:id="rId212" xr:uid="{11D7F2D3-FD25-4D97-B140-45006E65975A}"/>
    <hyperlink ref="A79" r:id="rId213" xr:uid="{FBB136D1-4B7C-445B-97F4-5890651A033E}"/>
    <hyperlink ref="A80" r:id="rId214" xr:uid="{61E0DDD0-D3E2-4373-B931-01C9FB3E3609}"/>
    <hyperlink ref="A81" r:id="rId215" xr:uid="{484018E0-650D-413B-80C5-A5054E3A766D}"/>
    <hyperlink ref="A82" r:id="rId216" xr:uid="{E9FC4931-56B9-4359-939D-FFC6E903E2A5}"/>
    <hyperlink ref="A83" r:id="rId217" xr:uid="{D57CDE48-AEB0-42F6-AECD-4309C3D1DEA9}"/>
    <hyperlink ref="A361" r:id="rId218" xr:uid="{DDCD261D-0DFA-4A16-AA68-B4B9ED952C18}"/>
    <hyperlink ref="A362" r:id="rId219" xr:uid="{D93CC33D-83BF-4F4A-8854-8E4A0336EACE}"/>
    <hyperlink ref="A363" r:id="rId220" xr:uid="{33683453-07A9-4D57-A78B-AEEE400BA302}"/>
    <hyperlink ref="A364" r:id="rId221" xr:uid="{BD66B00E-396A-4CD1-9C3B-E2E33AA2F7AD}"/>
    <hyperlink ref="A365" r:id="rId222" xr:uid="{66EFDE76-B1BB-4163-B092-4264BAB0FCC7}"/>
    <hyperlink ref="A367" r:id="rId223" xr:uid="{06DED45D-3BDA-4AF3-9B4D-CCD54073B24D}"/>
    <hyperlink ref="A368" r:id="rId224" xr:uid="{AC6BFAE6-D763-4D7E-AD3C-1C150A0C216E}"/>
    <hyperlink ref="A369" r:id="rId225" xr:uid="{2F477C3E-3EBD-4221-9018-163C86B8E41E}"/>
    <hyperlink ref="A370" r:id="rId226" xr:uid="{D9F6F427-697A-41B8-B01E-F1DAD417AC28}"/>
    <hyperlink ref="A371" r:id="rId227" xr:uid="{33F557A0-D89F-4D9B-B51B-8FF5A4E79A30}"/>
    <hyperlink ref="A372" r:id="rId228" xr:uid="{88B17BD5-F144-4AA1-89C2-3D2175EA3D52}"/>
    <hyperlink ref="A373" r:id="rId229" xr:uid="{ADD0A78C-6CA9-45B2-A37C-276F4227BA9B}"/>
    <hyperlink ref="A179" r:id="rId230" xr:uid="{4CCCECE2-DFB6-4580-ABF4-9A5DC2445764}"/>
    <hyperlink ref="A180" r:id="rId231" xr:uid="{F9C58EA1-5EA7-4940-8518-0B0E1D2EAE76}"/>
    <hyperlink ref="A181" r:id="rId232" xr:uid="{C51B95B9-0B2D-40FB-8B3A-ABA3AEC421B8}"/>
    <hyperlink ref="A182" r:id="rId233" xr:uid="{62CF74B6-E57B-4223-B685-47CBE5BCB427}"/>
    <hyperlink ref="A183" r:id="rId234" xr:uid="{C7B85468-250E-4E76-AB92-63041A04712A}"/>
    <hyperlink ref="A185" r:id="rId235" xr:uid="{730522DB-AF28-4422-87EE-1A22ED6DF5F4}"/>
    <hyperlink ref="A186" r:id="rId236" xr:uid="{C18B822C-C716-46B2-A8FC-FC8A32FC243A}"/>
    <hyperlink ref="A187" r:id="rId237" xr:uid="{6F579EA8-A17C-4816-8749-B6B54FBC0B5E}"/>
    <hyperlink ref="A188" r:id="rId238" xr:uid="{32C0C0EF-609B-4A5D-B07A-F78B12330C31}"/>
    <hyperlink ref="A189" r:id="rId239" xr:uid="{FD29F4A1-EA15-48C6-A265-1F98C15014F5}"/>
    <hyperlink ref="A190" r:id="rId240" xr:uid="{8B175153-4BA6-40DA-B404-EA41157A4B7D}"/>
    <hyperlink ref="A191" r:id="rId241" xr:uid="{A08CB189-8926-44A7-90DB-D78F03C15FBE}"/>
    <hyperlink ref="A192" r:id="rId242" xr:uid="{09CBAF92-343D-4F98-9EF8-57F0B3829B97}"/>
    <hyperlink ref="A193" r:id="rId243" xr:uid="{DC4CD57D-745C-4416-8355-905E6A8832F0}"/>
    <hyperlink ref="A194" r:id="rId244" xr:uid="{5B85C681-02E6-4F6F-BC6D-50C110F126C2}"/>
    <hyperlink ref="A377" r:id="rId245" xr:uid="{17966567-8CF6-4337-9244-691FE4A39300}"/>
    <hyperlink ref="A378" r:id="rId246" xr:uid="{3936CEC1-A989-4A10-83E0-F2D960B6F9BD}"/>
    <hyperlink ref="A379" r:id="rId247" xr:uid="{80C7D539-9BA9-4B2C-909C-0E1A767BD82B}"/>
    <hyperlink ref="A380" r:id="rId248" xr:uid="{16EB187E-57FE-4084-8575-29C2DEBB5F8F}"/>
    <hyperlink ref="A381" r:id="rId249" xr:uid="{2C894A65-4855-45C3-ACB5-CF2E11F936B4}"/>
    <hyperlink ref="A383" r:id="rId250" xr:uid="{6CB7F140-AA09-4460-B373-067CD71C0B84}"/>
    <hyperlink ref="A384" r:id="rId251" xr:uid="{3031EB66-7C59-4A0E-8B63-54657F26CBBE}"/>
    <hyperlink ref="A385" r:id="rId252" xr:uid="{059C6465-0493-4403-B72A-CE1F167863C6}"/>
    <hyperlink ref="A386" r:id="rId253" xr:uid="{FD980EB4-7049-4122-8F8E-2B11343F3FC0}"/>
    <hyperlink ref="A387" r:id="rId254" xr:uid="{61E5E9E5-C8A0-4172-9A1C-7538CE8771E5}"/>
    <hyperlink ref="A388" r:id="rId255" xr:uid="{515E8D9B-0174-40E8-B354-29FD6C169CF9}"/>
    <hyperlink ref="A389" r:id="rId256" xr:uid="{3E0F1E1F-A120-4342-9FC0-9C7EF4DED1D9}"/>
    <hyperlink ref="A390" r:id="rId257" xr:uid="{411E0765-CD02-4134-A7A1-E135915000AF}"/>
    <hyperlink ref="A391" r:id="rId258" xr:uid="{F63BCD1D-F3E5-40AC-A739-4E6706797F75}"/>
    <hyperlink ref="A514" r:id="rId259" xr:uid="{BBD4AD9B-2772-4EFF-B918-03CF30BB7801}"/>
    <hyperlink ref="A515" r:id="rId260" xr:uid="{4138FFD9-7113-49B8-8AEA-92A68946958C}"/>
    <hyperlink ref="A516" r:id="rId261" xr:uid="{1F9582CC-2895-42E1-BF4E-70E3BBD8CD4F}"/>
    <hyperlink ref="A517" r:id="rId262" xr:uid="{7B917BF7-50E8-4B18-A570-7A6CD4A93A6E}"/>
    <hyperlink ref="A518" r:id="rId263" xr:uid="{037E401F-00EC-40E6-B8BD-BAD8D06937C8}"/>
    <hyperlink ref="A520" r:id="rId264" xr:uid="{AE0A984D-B8A7-4409-B7E2-D100654B16B6}"/>
    <hyperlink ref="A521" r:id="rId265" xr:uid="{18ED7244-34CD-4ADA-82C3-6A5311F97C19}"/>
    <hyperlink ref="A522" r:id="rId266" xr:uid="{36714162-7AC2-45E2-8917-A08CD13687E5}"/>
    <hyperlink ref="A523" r:id="rId267" xr:uid="{5D8EF337-E7BE-4DAE-A97F-4FF51205CC73}"/>
    <hyperlink ref="A524" r:id="rId268" xr:uid="{5151E376-8654-4514-B527-5E289830AF30}"/>
    <hyperlink ref="A525" r:id="rId269" xr:uid="{B992177A-21FC-4BEB-88AF-22F7687A50EF}"/>
    <hyperlink ref="A526" r:id="rId270" xr:uid="{5FF61D08-7B1E-4BFB-B29E-494DC70AA65E}"/>
    <hyperlink ref="A290" r:id="rId271" xr:uid="{AAE164E9-ADE6-4791-9759-4B9F9C16CBBB}"/>
    <hyperlink ref="A291" r:id="rId272" xr:uid="{CCA0838B-DD5B-4729-B63F-892A3D413E76}"/>
    <hyperlink ref="A292" r:id="rId273" xr:uid="{D9556A11-27B2-41C3-8875-C8A4611A4FA5}"/>
    <hyperlink ref="A293" r:id="rId274" xr:uid="{400BF532-123A-42F1-9C8C-FD069474635C}"/>
    <hyperlink ref="A294" r:id="rId275" xr:uid="{A04C28D9-2BF7-4E28-8D91-D5AFC893AB10}"/>
    <hyperlink ref="A296" r:id="rId276" xr:uid="{CC763BE9-444C-4BB2-9C39-B45F6EE7C3A5}"/>
    <hyperlink ref="A297" r:id="rId277" xr:uid="{CA0E2A03-272A-4BB4-925F-B721100CF985}"/>
    <hyperlink ref="A298" r:id="rId278" xr:uid="{B97C3EFD-CC01-45C5-B401-5CFB2C86A997}"/>
    <hyperlink ref="A299" r:id="rId279" xr:uid="{D657EEF5-DCBE-41B8-8850-9095145200CB}"/>
    <hyperlink ref="A300" r:id="rId280" xr:uid="{5BA2B8E0-05D9-4343-9A06-B615F408A9C3}"/>
    <hyperlink ref="A301" r:id="rId281" xr:uid="{81D2DAA9-F8B3-4967-8E47-DC197C9E81A7}"/>
    <hyperlink ref="A302" r:id="rId282" xr:uid="{4E5208FA-16C3-4F30-952A-27F7E684B8A5}"/>
    <hyperlink ref="A303" r:id="rId283" xr:uid="{BF93D7C5-3E8D-481C-B76B-CE2C8CD54E68}"/>
    <hyperlink ref="A304" r:id="rId284" xr:uid="{13939ACE-DCC1-41AE-A625-0F33F43D9A09}"/>
    <hyperlink ref="A305" r:id="rId285" xr:uid="{B7D4DF13-AFF3-4906-992B-A786161FC3FC}"/>
    <hyperlink ref="A395" r:id="rId286" xr:uid="{220AD5C2-4422-473F-8115-E0D3E01A4903}"/>
    <hyperlink ref="A396" r:id="rId287" xr:uid="{0BA6EA06-767B-4B86-BF1B-AEB9111B3044}"/>
    <hyperlink ref="A397" r:id="rId288" xr:uid="{26D4B940-5DA0-449D-92D0-CCC3D522897F}"/>
    <hyperlink ref="A398" r:id="rId289" xr:uid="{22CC288C-B0DF-424A-AA73-182CE08FD23A}"/>
    <hyperlink ref="A399" r:id="rId290" xr:uid="{0AC8F2F4-40E5-4F8F-8006-FEFBBC548534}"/>
    <hyperlink ref="A401" r:id="rId291" xr:uid="{8A86718E-1F77-4EEA-B299-1CD20124C2BE}"/>
    <hyperlink ref="A402" r:id="rId292" xr:uid="{004C13D7-3999-4555-A26C-3EBC5E97BE86}"/>
    <hyperlink ref="A403" r:id="rId293" xr:uid="{6F68A39C-5AAB-4AA2-B93D-5E4EFB1B579D}"/>
    <hyperlink ref="A404" r:id="rId294" xr:uid="{4415DBE6-051E-4A21-9B13-4F9E16B365BD}"/>
    <hyperlink ref="A405" r:id="rId295" xr:uid="{3567EA68-34F9-4C75-9AB1-D4A861AD3E38}"/>
    <hyperlink ref="A406" r:id="rId296" xr:uid="{463B7775-2276-4D6E-AB7E-EF0BADC13FED}"/>
    <hyperlink ref="A407" r:id="rId297" xr:uid="{C25B5242-916B-441D-86AB-457CBD7BDD46}"/>
    <hyperlink ref="A309" r:id="rId298" xr:uid="{C5C096E2-F6D0-47A3-9730-04B77CCA393A}"/>
    <hyperlink ref="A310" r:id="rId299" xr:uid="{A56BAA2E-B3C0-407B-857E-3A0C43DDEF8C}"/>
    <hyperlink ref="A311" r:id="rId300" xr:uid="{E63A90CA-E355-41F0-B96C-993C89F9A894}"/>
    <hyperlink ref="A312" r:id="rId301" xr:uid="{0B13D9B3-9632-41A3-9110-C1DED8AF3CE9}"/>
    <hyperlink ref="A313" r:id="rId302" xr:uid="{CDD9534D-A99F-491F-B39A-BDA8D65B999A}"/>
    <hyperlink ref="A315" r:id="rId303" xr:uid="{D13D65C2-4A7B-4D12-9BD2-43ED01A70FE1}"/>
    <hyperlink ref="A316" r:id="rId304" xr:uid="{EED11E14-7B41-4C3E-901D-8944665B9252}"/>
    <hyperlink ref="A317" r:id="rId305" xr:uid="{F436AB5F-E7FA-45BF-AFC5-57DE267B3CC0}"/>
    <hyperlink ref="A318" r:id="rId306" xr:uid="{56FCF827-D906-4B9E-ACE7-170DEDDB82EA}"/>
    <hyperlink ref="A319" r:id="rId307" xr:uid="{BA19ED85-4899-4150-9376-05A070EF1297}"/>
    <hyperlink ref="A320" r:id="rId308" xr:uid="{6BBD1719-66B3-4676-8BDA-DC7515DF39A9}"/>
    <hyperlink ref="A321" r:id="rId309" xr:uid="{38F72D10-035D-4DBD-8CF7-A7C06448051B}"/>
    <hyperlink ref="A322" r:id="rId310" xr:uid="{B6F96FAA-8906-4758-9E3C-52ACB50607DE}"/>
    <hyperlink ref="A323" r:id="rId311" xr:uid="{CD54773E-2B6C-4FB5-81EE-E6A8C4ED2CC5}"/>
    <hyperlink ref="A324" r:id="rId312" xr:uid="{635B9136-1203-44E2-979A-C450496E33A8}"/>
    <hyperlink ref="A38" r:id="rId313" xr:uid="{E5A068BA-92FC-4F01-A833-72D673C1EC48}"/>
    <hyperlink ref="A39" r:id="rId314" xr:uid="{7BBA0D10-8049-4CE2-A71C-5D10248AD809}"/>
    <hyperlink ref="A40" r:id="rId315" xr:uid="{9E67F006-C5E6-4172-9EED-A29A4F6C31A9}"/>
    <hyperlink ref="A41" r:id="rId316" xr:uid="{828FC86C-8AA5-4815-9EFD-24398E0DC6B2}"/>
    <hyperlink ref="A42" r:id="rId317" xr:uid="{F3256CD1-E10A-461C-BF10-CFACBFB8642E}"/>
    <hyperlink ref="A44" r:id="rId318" xr:uid="{DECB2D46-AEE9-4D3A-AFDC-8F1D81B92B7C}"/>
    <hyperlink ref="A45" r:id="rId319" xr:uid="{BAED8CC9-F0DE-42AA-A59D-C7A7C4CD9021}"/>
    <hyperlink ref="A46" r:id="rId320" xr:uid="{75CC73F0-C37E-4D2E-B4D8-C51D5E59A71A}"/>
    <hyperlink ref="A47" r:id="rId321" xr:uid="{BA1CACA3-5F2C-473D-BC0E-DABB25127DD4}"/>
    <hyperlink ref="A48" r:id="rId322" xr:uid="{445DB079-D0C3-4F44-A3AF-4E939A14ED01}"/>
    <hyperlink ref="A49" r:id="rId323" xr:uid="{C53D69D4-F609-4EE9-AB96-949F00A6B9ED}"/>
    <hyperlink ref="A271" r:id="rId324" xr:uid="{35AB92D0-5590-4745-9B04-488FBB33C6E9}"/>
    <hyperlink ref="A272" r:id="rId325" xr:uid="{9F411C13-2D36-459D-8525-0C8311330321}"/>
    <hyperlink ref="A273" r:id="rId326" xr:uid="{AC3F38AA-1B02-40F7-A41C-E159C763C5DD}"/>
    <hyperlink ref="A274" r:id="rId327" xr:uid="{EB474E6F-D5B8-4401-8B87-54002472B469}"/>
    <hyperlink ref="A275" r:id="rId328" xr:uid="{FF7BD7E4-ECD7-463D-957C-57AF0EAE09CA}"/>
    <hyperlink ref="A277" r:id="rId329" xr:uid="{ECB60ABF-9BD4-49D1-8773-96F3198E88E7}"/>
    <hyperlink ref="A278" r:id="rId330" xr:uid="{CA4CD706-5ACD-47A2-9DCB-C87FEFD66A0D}"/>
    <hyperlink ref="A279" r:id="rId331" xr:uid="{A2D4F588-05C7-40C8-8C09-F9F71FFD26FD}"/>
    <hyperlink ref="A280" r:id="rId332" xr:uid="{A158375B-79EB-4137-BB70-DB670F4AE191}"/>
    <hyperlink ref="A281" r:id="rId333" xr:uid="{6F888B29-8E6C-47B5-9C8D-FCBA5C3585D8}"/>
    <hyperlink ref="A282" r:id="rId334" xr:uid="{31C19F61-20EE-420E-9FF8-D13D0060C225}"/>
    <hyperlink ref="A283" r:id="rId335" xr:uid="{AB2808AC-DFCF-4D50-8229-5030C104EA7F}"/>
    <hyperlink ref="A284" r:id="rId336" xr:uid="{41205BA5-D31E-4B53-93C1-451F0729495D}"/>
    <hyperlink ref="A285" r:id="rId337" xr:uid="{1B8D80FA-9201-40CE-A307-E65390E40D06}"/>
    <hyperlink ref="A286" r:id="rId338" xr:uid="{DFB61FDD-19CD-4032-80F6-105B696DDA4B}"/>
    <hyperlink ref="A466" r:id="rId339" xr:uid="{7B930E29-F552-4ACA-88C0-57B545BE8194}"/>
    <hyperlink ref="A467" r:id="rId340" xr:uid="{29B81A5D-EB4C-4FD6-B5E5-50272242F199}"/>
    <hyperlink ref="A468" r:id="rId341" xr:uid="{2A29B837-96EC-4541-998E-7ADF697160F5}"/>
    <hyperlink ref="A469" r:id="rId342" xr:uid="{426DC1C3-0B3C-41BC-9AD3-33FDC9495EAE}"/>
    <hyperlink ref="A470" r:id="rId343" xr:uid="{E3FC7F65-5A56-4105-8B9D-23FEE4B71446}"/>
    <hyperlink ref="A472" r:id="rId344" xr:uid="{2A7E2B1C-2563-4875-BE4E-DE31F7A9BFBF}"/>
    <hyperlink ref="A473" r:id="rId345" xr:uid="{0B653CAC-0462-46DC-B429-AA4A640035CB}"/>
    <hyperlink ref="A474" r:id="rId346" xr:uid="{34B72D01-1DE3-44F0-B498-4D99AC7E5338}"/>
    <hyperlink ref="A475" r:id="rId347" xr:uid="{910A4902-EE14-44C9-B3FB-62C8FECFDE93}"/>
    <hyperlink ref="A476" r:id="rId348" xr:uid="{10848FCC-8B2D-423A-9D39-08CC6C2A132C}"/>
    <hyperlink ref="A477" r:id="rId349" xr:uid="{BA74FC72-7D70-413A-AA21-B5C271B370BC}"/>
    <hyperlink ref="A478" r:id="rId350" xr:uid="{8B38B8D1-2D1C-4424-A70E-C0C14AE3B18E}"/>
    <hyperlink ref="A217" r:id="rId351" xr:uid="{839ED9C5-1B32-4849-A71B-E3DC44F4CBD3}"/>
    <hyperlink ref="A218" r:id="rId352" xr:uid="{7D8E8E98-46E4-4636-99DA-0D032EA5EA28}"/>
    <hyperlink ref="A219" r:id="rId353" xr:uid="{8FA211A5-4293-4287-BD5E-45CA203ECCE2}"/>
    <hyperlink ref="A220" r:id="rId354" xr:uid="{9D32FE1A-CA18-480E-8394-72DF4A2CE3AB}"/>
    <hyperlink ref="A221" r:id="rId355" xr:uid="{09A2110F-4028-4D0F-A413-41B801BE6976}"/>
    <hyperlink ref="A223" r:id="rId356" xr:uid="{7BA1562F-9A80-475C-8D42-DC45ACE55D93}"/>
    <hyperlink ref="A224" r:id="rId357" xr:uid="{0F9A8E49-CD0E-4E3D-AAB1-884CE719A58F}"/>
    <hyperlink ref="A225" r:id="rId358" xr:uid="{CECAEC09-7EE1-4A02-96A3-E4844FF94151}"/>
    <hyperlink ref="A226" r:id="rId359" xr:uid="{90C7B9D4-4E43-454D-B073-F7C750EE50EC}"/>
    <hyperlink ref="A227" r:id="rId360" xr:uid="{9B9366A5-E9B2-4835-AE2E-F691471A43A1}"/>
    <hyperlink ref="A228" r:id="rId361" xr:uid="{82DD4786-C907-4FD9-AF0F-623B49A8FAD5}"/>
    <hyperlink ref="A229" r:id="rId362" xr:uid="{F49EA483-8F9F-4C11-9209-2D33403451C0}"/>
    <hyperlink ref="A230" r:id="rId363" xr:uid="{CA03BA17-F2A4-4043-8F5E-22630BB81B31}"/>
    <hyperlink ref="A231" r:id="rId364" xr:uid="{539A1499-FF93-4E02-B083-25A36076F8CD}"/>
    <hyperlink ref="A344" r:id="rId365" xr:uid="{1BC96D0D-7646-4033-BF59-F4FE4807CBEE}"/>
    <hyperlink ref="A345" r:id="rId366" xr:uid="{B88F9EEB-3B79-4952-AA23-A6CBB4B6781B}"/>
    <hyperlink ref="A346" r:id="rId367" xr:uid="{EF6825F8-3229-46D5-8B77-B406ED0EA68B}"/>
    <hyperlink ref="A347" r:id="rId368" xr:uid="{6F4E9BF8-C8F4-467A-B03E-61393ADC1294}"/>
    <hyperlink ref="A348" r:id="rId369" xr:uid="{9CDCA80F-9D28-4F65-86A7-BDA7203D4B83}"/>
    <hyperlink ref="A350" r:id="rId370" xr:uid="{7652D4DB-38C5-475F-A51A-2959DBB8F222}"/>
    <hyperlink ref="A351" r:id="rId371" xr:uid="{A19E32E0-2D79-46BE-BF31-6419C8A43185}"/>
    <hyperlink ref="A352" r:id="rId372" xr:uid="{AACB5007-D461-444E-8516-98CED554BA44}"/>
    <hyperlink ref="A353" r:id="rId373" xr:uid="{3BDA14E9-CE7F-41BA-88CE-9EA68AC521A6}"/>
    <hyperlink ref="A354" r:id="rId374" xr:uid="{709C7073-7B82-46A8-84E4-E38DDEFBA52C}"/>
    <hyperlink ref="A355" r:id="rId375" xr:uid="{C1564673-83A8-40F7-BAF4-BEF8617694AA}"/>
    <hyperlink ref="A356" r:id="rId376" xr:uid="{C9801D68-46B1-49DC-A779-4D5F1B96DDA8}"/>
    <hyperlink ref="A258" r:id="rId377" xr:uid="{A7592F7B-2397-4E09-9170-AE16817C7143}"/>
    <hyperlink ref="A259" r:id="rId378" xr:uid="{6523055D-4F6D-4F38-8A76-6A7E45068E4B}"/>
    <hyperlink ref="A260" r:id="rId379" xr:uid="{1B007847-7A30-4FFC-9AC1-8E969DEA0BD8}"/>
    <hyperlink ref="A261" r:id="rId380" xr:uid="{E685D0BF-0D45-4560-9F43-582164A2576E}"/>
    <hyperlink ref="A262" r:id="rId381" xr:uid="{4C4039AD-AE92-451D-958B-711449982E14}"/>
    <hyperlink ref="A263" r:id="rId382" xr:uid="{CBDD5308-C9E0-463F-8268-465E2239DA85}"/>
    <hyperlink ref="A264" r:id="rId383" xr:uid="{37EE72A8-34BA-4329-A64B-60CE0F26391C}"/>
    <hyperlink ref="A265" r:id="rId384" xr:uid="{3CAD7777-6F5E-4CDB-8E74-B026601C52B7}"/>
    <hyperlink ref="A266" r:id="rId385" xr:uid="{757F2AC7-3AC6-47A4-B175-95A343EA4587}"/>
    <hyperlink ref="A267" r:id="rId386" xr:uid="{05E9F27B-7EEE-44C0-B1D8-8F6C51BED4B4}"/>
  </hyperlinks>
  <pageMargins left="0.7" right="0.7" top="0.75" bottom="0.75" header="0.3" footer="0.3"/>
  <drawing r:id="rId38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1D83-3155-4FEF-880A-8D52740232E9}">
  <dimension ref="A1:AG751"/>
  <sheetViews>
    <sheetView topLeftCell="D1" workbookViewId="0">
      <selection activeCell="AD3" sqref="AD3"/>
    </sheetView>
  </sheetViews>
  <sheetFormatPr defaultColWidth="12.28515625" defaultRowHeight="15" x14ac:dyDescent="0.25"/>
  <cols>
    <col min="1" max="1" width="11.140625" bestFit="1" customWidth="1"/>
    <col min="2" max="2" width="24.7109375" bestFit="1" customWidth="1"/>
    <col min="3" max="9" width="11.140625" bestFit="1" customWidth="1"/>
    <col min="10" max="30" width="12.140625" bestFit="1" customWidth="1"/>
    <col min="31" max="31" width="12.140625" customWidth="1"/>
    <col min="32" max="32" width="20" bestFit="1" customWidth="1"/>
    <col min="33" max="33" width="22.140625" bestFit="1" customWidth="1"/>
  </cols>
  <sheetData>
    <row r="1" spans="1:33" x14ac:dyDescent="0.25">
      <c r="A1" t="s">
        <v>841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847</v>
      </c>
      <c r="H1" t="s">
        <v>848</v>
      </c>
      <c r="I1" t="s">
        <v>849</v>
      </c>
      <c r="J1" t="s">
        <v>850</v>
      </c>
      <c r="K1" t="s">
        <v>851</v>
      </c>
      <c r="L1" t="s">
        <v>852</v>
      </c>
      <c r="M1" t="s">
        <v>853</v>
      </c>
      <c r="N1" t="s">
        <v>854</v>
      </c>
      <c r="O1" t="s">
        <v>855</v>
      </c>
      <c r="P1" t="s">
        <v>856</v>
      </c>
      <c r="Q1" t="s">
        <v>857</v>
      </c>
      <c r="R1" t="s">
        <v>858</v>
      </c>
      <c r="S1" t="s">
        <v>859</v>
      </c>
      <c r="T1" t="s">
        <v>860</v>
      </c>
      <c r="U1" t="s">
        <v>861</v>
      </c>
      <c r="V1" t="s">
        <v>862</v>
      </c>
      <c r="W1" t="s">
        <v>863</v>
      </c>
      <c r="X1" t="s">
        <v>864</v>
      </c>
      <c r="Y1" t="s">
        <v>865</v>
      </c>
      <c r="Z1" t="s">
        <v>866</v>
      </c>
      <c r="AA1" t="s">
        <v>867</v>
      </c>
      <c r="AB1" t="s">
        <v>868</v>
      </c>
      <c r="AC1" t="s">
        <v>869</v>
      </c>
      <c r="AD1" t="s">
        <v>870</v>
      </c>
      <c r="AE1" t="s">
        <v>871</v>
      </c>
      <c r="AF1" t="s">
        <v>872</v>
      </c>
      <c r="AG1" t="s">
        <v>873</v>
      </c>
    </row>
    <row r="2" spans="1:33" s="5" customFormat="1" x14ac:dyDescent="0.25">
      <c r="A2" s="5" t="s">
        <v>874</v>
      </c>
      <c r="B2" s="5" t="s">
        <v>171</v>
      </c>
      <c r="C2" s="5" t="s">
        <v>875</v>
      </c>
      <c r="D2" s="5" t="s">
        <v>172</v>
      </c>
      <c r="E2" s="5" t="s">
        <v>876</v>
      </c>
      <c r="F2" s="5" t="s">
        <v>392</v>
      </c>
      <c r="G2" s="5" t="s">
        <v>877</v>
      </c>
      <c r="H2" s="5" t="s">
        <v>878</v>
      </c>
      <c r="I2" s="5" t="s">
        <v>879</v>
      </c>
      <c r="J2" s="5" t="s">
        <v>880</v>
      </c>
      <c r="K2" s="5" t="s">
        <v>881</v>
      </c>
      <c r="L2" s="5" t="s">
        <v>882</v>
      </c>
      <c r="M2" s="5" t="s">
        <v>883</v>
      </c>
      <c r="N2" s="5" t="s">
        <v>884</v>
      </c>
      <c r="O2" s="5" t="s">
        <v>885</v>
      </c>
      <c r="P2" s="5" t="s">
        <v>886</v>
      </c>
      <c r="Q2" s="5" t="s">
        <v>887</v>
      </c>
      <c r="R2" s="5" t="s">
        <v>888</v>
      </c>
      <c r="S2" s="5" t="s">
        <v>889</v>
      </c>
      <c r="T2" s="5" t="s">
        <v>890</v>
      </c>
      <c r="U2" s="5" t="s">
        <v>891</v>
      </c>
      <c r="V2" s="5" t="s">
        <v>892</v>
      </c>
      <c r="W2" s="5" t="s">
        <v>893</v>
      </c>
      <c r="X2" s="5" t="s">
        <v>894</v>
      </c>
      <c r="Y2" s="5" t="s">
        <v>895</v>
      </c>
      <c r="Z2" s="5" t="s">
        <v>896</v>
      </c>
      <c r="AA2" s="5" t="s">
        <v>897</v>
      </c>
      <c r="AB2" s="5" t="s">
        <v>898</v>
      </c>
      <c r="AC2" s="5" t="s">
        <v>93</v>
      </c>
      <c r="AD2" s="5" t="s">
        <v>899</v>
      </c>
      <c r="AE2" t="s">
        <v>900</v>
      </c>
      <c r="AF2" s="5" t="s">
        <v>872</v>
      </c>
      <c r="AG2" s="5" t="s">
        <v>873</v>
      </c>
    </row>
    <row r="3" spans="1:33" x14ac:dyDescent="0.25">
      <c r="A3" t="s">
        <v>901</v>
      </c>
      <c r="B3" t="s">
        <v>55</v>
      </c>
      <c r="C3" t="s">
        <v>902</v>
      </c>
      <c r="D3" t="s">
        <v>48</v>
      </c>
      <c r="E3" t="s">
        <v>56</v>
      </c>
      <c r="F3" t="s">
        <v>903</v>
      </c>
      <c r="G3" t="s">
        <v>903</v>
      </c>
      <c r="H3" t="s">
        <v>904</v>
      </c>
      <c r="I3" t="s">
        <v>905</v>
      </c>
      <c r="J3" t="s">
        <v>906</v>
      </c>
      <c r="K3" t="s">
        <v>907</v>
      </c>
      <c r="L3" t="s">
        <v>908</v>
      </c>
      <c r="M3" t="s">
        <v>909</v>
      </c>
      <c r="N3" t="s">
        <v>910</v>
      </c>
      <c r="O3" t="s">
        <v>911</v>
      </c>
      <c r="P3" t="s">
        <v>912</v>
      </c>
      <c r="Q3" t="s">
        <v>913</v>
      </c>
      <c r="R3" t="s">
        <v>914</v>
      </c>
      <c r="S3" t="s">
        <v>915</v>
      </c>
      <c r="T3" t="s">
        <v>916</v>
      </c>
      <c r="U3" t="s">
        <v>917</v>
      </c>
      <c r="V3" t="s">
        <v>918</v>
      </c>
      <c r="W3" t="s">
        <v>919</v>
      </c>
      <c r="X3" t="s">
        <v>920</v>
      </c>
      <c r="Y3" t="s">
        <v>921</v>
      </c>
      <c r="Z3" t="s">
        <v>922</v>
      </c>
      <c r="AA3" t="s">
        <v>923</v>
      </c>
      <c r="AB3" t="s">
        <v>924</v>
      </c>
      <c r="AC3" t="s">
        <v>925</v>
      </c>
      <c r="AD3" t="s">
        <v>926</v>
      </c>
      <c r="AE3" t="s">
        <v>927</v>
      </c>
      <c r="AF3">
        <f t="shared" ref="AF3:AF66" si="0">(L3 * 3) + ((I3 - L3) * 2) + S3</f>
        <v>32.6</v>
      </c>
      <c r="AG3">
        <f t="shared" ref="AG3:AG66" si="1">(M3 * N3 * 3) + ((J3 - M3) * Q3 * 2) + (T3 * U3)</f>
        <v>32.701100000000004</v>
      </c>
    </row>
    <row r="4" spans="1:33" x14ac:dyDescent="0.25">
      <c r="A4" t="s">
        <v>928</v>
      </c>
      <c r="B4" t="s">
        <v>104</v>
      </c>
      <c r="C4" t="s">
        <v>929</v>
      </c>
      <c r="D4" t="s">
        <v>105</v>
      </c>
      <c r="E4" t="s">
        <v>93</v>
      </c>
      <c r="F4" t="s">
        <v>930</v>
      </c>
      <c r="G4" t="s">
        <v>930</v>
      </c>
      <c r="H4" t="s">
        <v>904</v>
      </c>
      <c r="I4" t="s">
        <v>931</v>
      </c>
      <c r="J4" t="s">
        <v>932</v>
      </c>
      <c r="K4" t="s">
        <v>933</v>
      </c>
      <c r="L4" t="s">
        <v>934</v>
      </c>
      <c r="M4" t="s">
        <v>918</v>
      </c>
      <c r="N4" t="s">
        <v>935</v>
      </c>
      <c r="O4" t="s">
        <v>936</v>
      </c>
      <c r="P4" t="s">
        <v>937</v>
      </c>
      <c r="Q4" t="s">
        <v>938</v>
      </c>
      <c r="R4" t="s">
        <v>939</v>
      </c>
      <c r="S4" t="s">
        <v>940</v>
      </c>
      <c r="T4" t="s">
        <v>941</v>
      </c>
      <c r="U4" t="s">
        <v>942</v>
      </c>
      <c r="V4" t="s">
        <v>925</v>
      </c>
      <c r="W4" t="s">
        <v>943</v>
      </c>
      <c r="X4" t="s">
        <v>944</v>
      </c>
      <c r="Y4" t="s">
        <v>940</v>
      </c>
      <c r="Z4" t="s">
        <v>918</v>
      </c>
      <c r="AA4" t="s">
        <v>945</v>
      </c>
      <c r="AB4" t="s">
        <v>946</v>
      </c>
      <c r="AC4" t="s">
        <v>947</v>
      </c>
      <c r="AD4" t="s">
        <v>948</v>
      </c>
      <c r="AE4" t="s">
        <v>927</v>
      </c>
      <c r="AF4">
        <f t="shared" si="0"/>
        <v>30.300000000000004</v>
      </c>
      <c r="AG4">
        <f t="shared" si="1"/>
        <v>30.451599999999999</v>
      </c>
    </row>
    <row r="5" spans="1:33" x14ac:dyDescent="0.25">
      <c r="A5" t="s">
        <v>949</v>
      </c>
      <c r="B5" t="s">
        <v>147</v>
      </c>
      <c r="C5" t="s">
        <v>950</v>
      </c>
      <c r="D5" t="s">
        <v>148</v>
      </c>
      <c r="E5" t="s">
        <v>72</v>
      </c>
      <c r="F5" t="s">
        <v>951</v>
      </c>
      <c r="G5" t="s">
        <v>951</v>
      </c>
      <c r="H5" t="s">
        <v>952</v>
      </c>
      <c r="I5" t="s">
        <v>953</v>
      </c>
      <c r="J5" t="s">
        <v>954</v>
      </c>
      <c r="K5" t="s">
        <v>955</v>
      </c>
      <c r="L5" t="s">
        <v>956</v>
      </c>
      <c r="M5" t="s">
        <v>957</v>
      </c>
      <c r="N5" t="s">
        <v>958</v>
      </c>
      <c r="O5" t="s">
        <v>959</v>
      </c>
      <c r="P5" t="s">
        <v>960</v>
      </c>
      <c r="Q5" t="s">
        <v>961</v>
      </c>
      <c r="R5" t="s">
        <v>961</v>
      </c>
      <c r="S5" t="s">
        <v>962</v>
      </c>
      <c r="T5" t="s">
        <v>921</v>
      </c>
      <c r="U5" t="s">
        <v>963</v>
      </c>
      <c r="V5" t="s">
        <v>964</v>
      </c>
      <c r="W5" t="s">
        <v>965</v>
      </c>
      <c r="X5" t="s">
        <v>966</v>
      </c>
      <c r="Y5" t="s">
        <v>967</v>
      </c>
      <c r="Z5" t="s">
        <v>968</v>
      </c>
      <c r="AA5" t="s">
        <v>969</v>
      </c>
      <c r="AB5" t="s">
        <v>970</v>
      </c>
      <c r="AC5" t="s">
        <v>947</v>
      </c>
      <c r="AD5" t="s">
        <v>971</v>
      </c>
      <c r="AE5" t="s">
        <v>927</v>
      </c>
      <c r="AF5">
        <f t="shared" si="0"/>
        <v>29.599999999999998</v>
      </c>
      <c r="AG5">
        <f t="shared" si="1"/>
        <v>29.558900000000001</v>
      </c>
    </row>
    <row r="6" spans="1:33" x14ac:dyDescent="0.25">
      <c r="A6" t="s">
        <v>972</v>
      </c>
      <c r="B6" t="s">
        <v>253</v>
      </c>
      <c r="C6" t="s">
        <v>973</v>
      </c>
      <c r="D6" t="s">
        <v>974</v>
      </c>
      <c r="E6" t="s">
        <v>56</v>
      </c>
      <c r="F6" t="s">
        <v>975</v>
      </c>
      <c r="G6" t="s">
        <v>975</v>
      </c>
      <c r="H6" t="s">
        <v>976</v>
      </c>
      <c r="I6" t="s">
        <v>911</v>
      </c>
      <c r="J6" t="s">
        <v>977</v>
      </c>
      <c r="K6" t="s">
        <v>978</v>
      </c>
      <c r="L6" t="s">
        <v>979</v>
      </c>
      <c r="M6" t="s">
        <v>980</v>
      </c>
      <c r="N6" t="s">
        <v>981</v>
      </c>
      <c r="O6" t="s">
        <v>909</v>
      </c>
      <c r="P6" t="s">
        <v>982</v>
      </c>
      <c r="Q6" t="s">
        <v>983</v>
      </c>
      <c r="R6" t="s">
        <v>984</v>
      </c>
      <c r="S6" t="s">
        <v>985</v>
      </c>
      <c r="T6" t="s">
        <v>915</v>
      </c>
      <c r="U6" t="s">
        <v>986</v>
      </c>
      <c r="V6" t="s">
        <v>987</v>
      </c>
      <c r="W6" t="s">
        <v>988</v>
      </c>
      <c r="X6" t="s">
        <v>989</v>
      </c>
      <c r="Y6" t="s">
        <v>990</v>
      </c>
      <c r="Z6" t="s">
        <v>968</v>
      </c>
      <c r="AA6" t="s">
        <v>991</v>
      </c>
      <c r="AB6" t="s">
        <v>992</v>
      </c>
      <c r="AC6" t="s">
        <v>993</v>
      </c>
      <c r="AD6" t="s">
        <v>994</v>
      </c>
      <c r="AE6" t="s">
        <v>927</v>
      </c>
      <c r="AF6">
        <f t="shared" si="0"/>
        <v>28.099999999999998</v>
      </c>
      <c r="AG6">
        <f t="shared" si="1"/>
        <v>28.155800000000003</v>
      </c>
    </row>
    <row r="7" spans="1:33" x14ac:dyDescent="0.25">
      <c r="A7" t="s">
        <v>972</v>
      </c>
      <c r="B7" t="s">
        <v>253</v>
      </c>
      <c r="C7" t="s">
        <v>973</v>
      </c>
      <c r="D7" t="s">
        <v>151</v>
      </c>
      <c r="E7" t="s">
        <v>56</v>
      </c>
      <c r="F7" t="s">
        <v>995</v>
      </c>
      <c r="G7" t="s">
        <v>995</v>
      </c>
      <c r="H7" t="s">
        <v>996</v>
      </c>
      <c r="I7" t="s">
        <v>997</v>
      </c>
      <c r="J7" t="s">
        <v>998</v>
      </c>
      <c r="K7" t="s">
        <v>999</v>
      </c>
      <c r="L7" t="s">
        <v>1000</v>
      </c>
      <c r="M7" t="s">
        <v>980</v>
      </c>
      <c r="N7" t="s">
        <v>1001</v>
      </c>
      <c r="O7" t="s">
        <v>921</v>
      </c>
      <c r="P7" t="s">
        <v>1002</v>
      </c>
      <c r="Q7" t="s">
        <v>1003</v>
      </c>
      <c r="R7" t="s">
        <v>1004</v>
      </c>
      <c r="S7" t="s">
        <v>1005</v>
      </c>
      <c r="T7" t="s">
        <v>1006</v>
      </c>
      <c r="U7" t="s">
        <v>1007</v>
      </c>
      <c r="V7" t="s">
        <v>1008</v>
      </c>
      <c r="W7" t="s">
        <v>1009</v>
      </c>
      <c r="X7" t="s">
        <v>1010</v>
      </c>
      <c r="Y7" t="s">
        <v>1011</v>
      </c>
      <c r="Z7" t="s">
        <v>956</v>
      </c>
      <c r="AA7" t="s">
        <v>991</v>
      </c>
      <c r="AB7" t="s">
        <v>1000</v>
      </c>
      <c r="AC7" t="s">
        <v>1012</v>
      </c>
      <c r="AD7" t="s">
        <v>1013</v>
      </c>
      <c r="AE7" t="s">
        <v>927</v>
      </c>
      <c r="AF7">
        <f t="shared" si="0"/>
        <v>28.1</v>
      </c>
      <c r="AG7">
        <f t="shared" si="1"/>
        <v>28.133400000000002</v>
      </c>
    </row>
    <row r="8" spans="1:33" x14ac:dyDescent="0.25">
      <c r="A8" t="s">
        <v>972</v>
      </c>
      <c r="B8" t="s">
        <v>253</v>
      </c>
      <c r="C8" t="s">
        <v>973</v>
      </c>
      <c r="D8" t="s">
        <v>1014</v>
      </c>
      <c r="E8" t="s">
        <v>56</v>
      </c>
      <c r="F8" t="s">
        <v>1015</v>
      </c>
      <c r="G8" t="s">
        <v>1015</v>
      </c>
      <c r="H8" t="s">
        <v>1016</v>
      </c>
      <c r="I8" t="s">
        <v>916</v>
      </c>
      <c r="J8" t="s">
        <v>1017</v>
      </c>
      <c r="K8" t="s">
        <v>1018</v>
      </c>
      <c r="L8" t="s">
        <v>992</v>
      </c>
      <c r="M8" t="s">
        <v>980</v>
      </c>
      <c r="N8" t="s">
        <v>1019</v>
      </c>
      <c r="O8" t="s">
        <v>1005</v>
      </c>
      <c r="P8" t="s">
        <v>1020</v>
      </c>
      <c r="Q8" t="s">
        <v>1021</v>
      </c>
      <c r="R8" t="s">
        <v>1022</v>
      </c>
      <c r="S8" t="s">
        <v>1023</v>
      </c>
      <c r="T8" t="s">
        <v>1024</v>
      </c>
      <c r="U8" t="s">
        <v>1025</v>
      </c>
      <c r="V8" t="s">
        <v>918</v>
      </c>
      <c r="W8" t="s">
        <v>1026</v>
      </c>
      <c r="X8" t="s">
        <v>1027</v>
      </c>
      <c r="Y8" t="s">
        <v>1028</v>
      </c>
      <c r="Z8" t="s">
        <v>1029</v>
      </c>
      <c r="AA8" t="s">
        <v>991</v>
      </c>
      <c r="AB8" t="s">
        <v>1030</v>
      </c>
      <c r="AC8" t="s">
        <v>924</v>
      </c>
      <c r="AD8" t="s">
        <v>994</v>
      </c>
      <c r="AE8" t="s">
        <v>927</v>
      </c>
      <c r="AF8">
        <f t="shared" si="0"/>
        <v>28.200000000000003</v>
      </c>
      <c r="AG8">
        <f t="shared" si="1"/>
        <v>28.209499999999998</v>
      </c>
    </row>
    <row r="9" spans="1:33" x14ac:dyDescent="0.25">
      <c r="A9" t="s">
        <v>1031</v>
      </c>
      <c r="B9" t="s">
        <v>367</v>
      </c>
      <c r="C9" t="s">
        <v>1032</v>
      </c>
      <c r="D9" t="s">
        <v>102</v>
      </c>
      <c r="E9" t="s">
        <v>63</v>
      </c>
      <c r="F9" t="s">
        <v>1033</v>
      </c>
      <c r="G9" t="s">
        <v>1033</v>
      </c>
      <c r="H9" t="s">
        <v>1034</v>
      </c>
      <c r="I9" t="s">
        <v>1035</v>
      </c>
      <c r="J9" t="s">
        <v>1036</v>
      </c>
      <c r="K9" t="s">
        <v>1037</v>
      </c>
      <c r="L9" t="s">
        <v>919</v>
      </c>
      <c r="M9" t="s">
        <v>1038</v>
      </c>
      <c r="N9" t="s">
        <v>1039</v>
      </c>
      <c r="O9" t="s">
        <v>1005</v>
      </c>
      <c r="P9" t="s">
        <v>1040</v>
      </c>
      <c r="Q9" t="s">
        <v>1041</v>
      </c>
      <c r="R9" t="s">
        <v>1042</v>
      </c>
      <c r="S9" t="s">
        <v>1043</v>
      </c>
      <c r="T9" t="s">
        <v>1044</v>
      </c>
      <c r="U9" t="s">
        <v>1045</v>
      </c>
      <c r="V9" t="s">
        <v>987</v>
      </c>
      <c r="W9" t="s">
        <v>1046</v>
      </c>
      <c r="X9" t="s">
        <v>909</v>
      </c>
      <c r="Y9" t="s">
        <v>1047</v>
      </c>
      <c r="Z9" t="s">
        <v>945</v>
      </c>
      <c r="AA9" t="s">
        <v>969</v>
      </c>
      <c r="AB9" t="s">
        <v>1048</v>
      </c>
      <c r="AC9" t="s">
        <v>1049</v>
      </c>
      <c r="AD9" t="s">
        <v>1050</v>
      </c>
      <c r="AE9" t="s">
        <v>927</v>
      </c>
      <c r="AF9">
        <f t="shared" si="0"/>
        <v>27.599999999999998</v>
      </c>
      <c r="AG9">
        <f t="shared" si="1"/>
        <v>27.598799999999997</v>
      </c>
    </row>
    <row r="10" spans="1:33" x14ac:dyDescent="0.25">
      <c r="A10" t="s">
        <v>1051</v>
      </c>
      <c r="B10" t="s">
        <v>112</v>
      </c>
      <c r="C10" t="s">
        <v>902</v>
      </c>
      <c r="D10" t="s">
        <v>113</v>
      </c>
      <c r="E10" t="s">
        <v>93</v>
      </c>
      <c r="F10" t="s">
        <v>1052</v>
      </c>
      <c r="G10" t="s">
        <v>1052</v>
      </c>
      <c r="H10" t="s">
        <v>1053</v>
      </c>
      <c r="I10" t="s">
        <v>911</v>
      </c>
      <c r="J10" t="s">
        <v>1054</v>
      </c>
      <c r="K10" t="s">
        <v>1055</v>
      </c>
      <c r="L10" t="s">
        <v>979</v>
      </c>
      <c r="M10" t="s">
        <v>1040</v>
      </c>
      <c r="N10" t="s">
        <v>1056</v>
      </c>
      <c r="O10" t="s">
        <v>909</v>
      </c>
      <c r="P10" t="s">
        <v>967</v>
      </c>
      <c r="Q10" t="s">
        <v>1057</v>
      </c>
      <c r="R10" t="s">
        <v>1058</v>
      </c>
      <c r="S10" t="s">
        <v>920</v>
      </c>
      <c r="T10" t="s">
        <v>1059</v>
      </c>
      <c r="U10" t="s">
        <v>1060</v>
      </c>
      <c r="V10" t="s">
        <v>1008</v>
      </c>
      <c r="W10" t="s">
        <v>1061</v>
      </c>
      <c r="X10" t="s">
        <v>1062</v>
      </c>
      <c r="Y10" t="s">
        <v>1063</v>
      </c>
      <c r="Z10" t="s">
        <v>1064</v>
      </c>
      <c r="AA10" t="s">
        <v>1065</v>
      </c>
      <c r="AB10" t="s">
        <v>964</v>
      </c>
      <c r="AC10" t="s">
        <v>925</v>
      </c>
      <c r="AD10" t="s">
        <v>1066</v>
      </c>
      <c r="AE10" t="s">
        <v>927</v>
      </c>
      <c r="AF10">
        <f t="shared" si="0"/>
        <v>26.9</v>
      </c>
      <c r="AG10">
        <f t="shared" si="1"/>
        <v>26.761900000000001</v>
      </c>
    </row>
    <row r="11" spans="1:33" x14ac:dyDescent="0.25">
      <c r="A11" t="s">
        <v>1067</v>
      </c>
      <c r="B11" t="s">
        <v>126</v>
      </c>
      <c r="C11" t="s">
        <v>1068</v>
      </c>
      <c r="D11" t="s">
        <v>1069</v>
      </c>
      <c r="E11" t="s">
        <v>93</v>
      </c>
      <c r="F11" t="s">
        <v>1070</v>
      </c>
      <c r="G11" t="s">
        <v>1070</v>
      </c>
      <c r="H11" t="s">
        <v>1071</v>
      </c>
      <c r="I11" t="s">
        <v>1072</v>
      </c>
      <c r="J11" t="s">
        <v>1073</v>
      </c>
      <c r="K11" t="s">
        <v>1074</v>
      </c>
      <c r="L11" t="s">
        <v>1012</v>
      </c>
      <c r="M11" t="s">
        <v>1063</v>
      </c>
      <c r="N11" t="s">
        <v>1075</v>
      </c>
      <c r="O11" t="s">
        <v>1023</v>
      </c>
      <c r="P11" t="s">
        <v>1076</v>
      </c>
      <c r="Q11" t="s">
        <v>1077</v>
      </c>
      <c r="R11" t="s">
        <v>1078</v>
      </c>
      <c r="S11" t="s">
        <v>1046</v>
      </c>
      <c r="T11" t="s">
        <v>1079</v>
      </c>
      <c r="U11" t="s">
        <v>1080</v>
      </c>
      <c r="V11" t="s">
        <v>991</v>
      </c>
      <c r="W11" t="s">
        <v>909</v>
      </c>
      <c r="X11" t="s">
        <v>1063</v>
      </c>
      <c r="Y11" t="s">
        <v>1081</v>
      </c>
      <c r="Z11" t="s">
        <v>987</v>
      </c>
      <c r="AA11" t="s">
        <v>945</v>
      </c>
      <c r="AB11" t="s">
        <v>946</v>
      </c>
      <c r="AC11" t="s">
        <v>922</v>
      </c>
      <c r="AD11" t="s">
        <v>1082</v>
      </c>
      <c r="AE11" t="s">
        <v>927</v>
      </c>
      <c r="AF11">
        <f t="shared" si="0"/>
        <v>26.5</v>
      </c>
      <c r="AG11">
        <f t="shared" si="1"/>
        <v>26.497</v>
      </c>
    </row>
    <row r="12" spans="1:33" x14ac:dyDescent="0.25">
      <c r="A12" t="s">
        <v>1083</v>
      </c>
      <c r="B12" t="s">
        <v>107</v>
      </c>
      <c r="C12" t="s">
        <v>1084</v>
      </c>
      <c r="D12" t="s">
        <v>108</v>
      </c>
      <c r="E12" t="s">
        <v>56</v>
      </c>
      <c r="F12" t="s">
        <v>1085</v>
      </c>
      <c r="G12" t="s">
        <v>1085</v>
      </c>
      <c r="H12" t="s">
        <v>1086</v>
      </c>
      <c r="I12" t="s">
        <v>911</v>
      </c>
      <c r="J12" t="s">
        <v>1087</v>
      </c>
      <c r="K12" t="s">
        <v>1088</v>
      </c>
      <c r="L12" t="s">
        <v>946</v>
      </c>
      <c r="M12" t="s">
        <v>911</v>
      </c>
      <c r="N12" t="s">
        <v>1089</v>
      </c>
      <c r="O12" t="s">
        <v>1059</v>
      </c>
      <c r="P12" t="s">
        <v>931</v>
      </c>
      <c r="Q12" t="s">
        <v>1090</v>
      </c>
      <c r="R12" t="s">
        <v>1091</v>
      </c>
      <c r="S12" t="s">
        <v>1046</v>
      </c>
      <c r="T12" t="s">
        <v>1092</v>
      </c>
      <c r="U12" t="s">
        <v>1093</v>
      </c>
      <c r="V12" t="s">
        <v>1094</v>
      </c>
      <c r="W12" t="s">
        <v>946</v>
      </c>
      <c r="X12" t="s">
        <v>970</v>
      </c>
      <c r="Y12" t="s">
        <v>1059</v>
      </c>
      <c r="Z12" t="s">
        <v>968</v>
      </c>
      <c r="AA12" t="s">
        <v>991</v>
      </c>
      <c r="AB12" t="s">
        <v>924</v>
      </c>
      <c r="AC12" t="s">
        <v>925</v>
      </c>
      <c r="AD12" t="s">
        <v>1095</v>
      </c>
      <c r="AE12" t="s">
        <v>927</v>
      </c>
      <c r="AF12">
        <f t="shared" si="0"/>
        <v>26.4</v>
      </c>
      <c r="AG12">
        <f t="shared" si="1"/>
        <v>26.377600000000001</v>
      </c>
    </row>
    <row r="13" spans="1:33" x14ac:dyDescent="0.25">
      <c r="A13" t="s">
        <v>1096</v>
      </c>
      <c r="B13" t="s">
        <v>342</v>
      </c>
      <c r="C13" t="s">
        <v>1032</v>
      </c>
      <c r="D13" t="s">
        <v>97</v>
      </c>
      <c r="E13" t="s">
        <v>56</v>
      </c>
      <c r="F13" t="s">
        <v>951</v>
      </c>
      <c r="G13" t="s">
        <v>951</v>
      </c>
      <c r="H13" t="s">
        <v>1097</v>
      </c>
      <c r="I13" t="s">
        <v>997</v>
      </c>
      <c r="J13" t="s">
        <v>1098</v>
      </c>
      <c r="K13" t="s">
        <v>1099</v>
      </c>
      <c r="L13" t="s">
        <v>908</v>
      </c>
      <c r="M13" t="s">
        <v>1063</v>
      </c>
      <c r="N13" t="s">
        <v>1100</v>
      </c>
      <c r="O13" t="s">
        <v>1009</v>
      </c>
      <c r="P13" t="s">
        <v>960</v>
      </c>
      <c r="Q13" t="s">
        <v>1090</v>
      </c>
      <c r="R13" t="s">
        <v>1101</v>
      </c>
      <c r="S13" t="s">
        <v>1047</v>
      </c>
      <c r="T13" t="s">
        <v>1043</v>
      </c>
      <c r="U13" t="s">
        <v>1102</v>
      </c>
      <c r="V13" t="s">
        <v>987</v>
      </c>
      <c r="W13" t="s">
        <v>1043</v>
      </c>
      <c r="X13" t="s">
        <v>1059</v>
      </c>
      <c r="Y13" t="s">
        <v>1035</v>
      </c>
      <c r="Z13" t="s">
        <v>923</v>
      </c>
      <c r="AA13" t="s">
        <v>987</v>
      </c>
      <c r="AB13" t="s">
        <v>1103</v>
      </c>
      <c r="AC13" t="s">
        <v>1104</v>
      </c>
      <c r="AD13" t="s">
        <v>1105</v>
      </c>
      <c r="AE13" t="s">
        <v>927</v>
      </c>
      <c r="AF13">
        <f t="shared" si="0"/>
        <v>26.200000000000003</v>
      </c>
      <c r="AG13">
        <f t="shared" si="1"/>
        <v>26.1358</v>
      </c>
    </row>
    <row r="14" spans="1:33" x14ac:dyDescent="0.25">
      <c r="A14" t="s">
        <v>1106</v>
      </c>
      <c r="B14" t="s">
        <v>154</v>
      </c>
      <c r="C14" t="s">
        <v>1015</v>
      </c>
      <c r="D14" t="s">
        <v>129</v>
      </c>
      <c r="E14" t="s">
        <v>56</v>
      </c>
      <c r="F14" t="s">
        <v>1107</v>
      </c>
      <c r="G14" t="s">
        <v>1107</v>
      </c>
      <c r="H14" t="s">
        <v>976</v>
      </c>
      <c r="I14" t="s">
        <v>1108</v>
      </c>
      <c r="J14" t="s">
        <v>1109</v>
      </c>
      <c r="K14" t="s">
        <v>1110</v>
      </c>
      <c r="L14" t="s">
        <v>947</v>
      </c>
      <c r="M14" t="s">
        <v>1059</v>
      </c>
      <c r="N14" t="s">
        <v>1111</v>
      </c>
      <c r="O14" t="s">
        <v>1112</v>
      </c>
      <c r="P14" t="s">
        <v>1113</v>
      </c>
      <c r="Q14" t="s">
        <v>1114</v>
      </c>
      <c r="R14" t="s">
        <v>1115</v>
      </c>
      <c r="S14" t="s">
        <v>909</v>
      </c>
      <c r="T14" t="s">
        <v>1116</v>
      </c>
      <c r="U14" t="s">
        <v>1117</v>
      </c>
      <c r="V14" t="s">
        <v>991</v>
      </c>
      <c r="W14" t="s">
        <v>993</v>
      </c>
      <c r="X14" t="s">
        <v>964</v>
      </c>
      <c r="Y14" t="s">
        <v>1118</v>
      </c>
      <c r="Z14" t="s">
        <v>918</v>
      </c>
      <c r="AA14" t="s">
        <v>1119</v>
      </c>
      <c r="AB14" t="s">
        <v>993</v>
      </c>
      <c r="AC14" t="s">
        <v>908</v>
      </c>
      <c r="AD14" t="s">
        <v>1120</v>
      </c>
      <c r="AE14" t="s">
        <v>927</v>
      </c>
      <c r="AF14">
        <f t="shared" si="0"/>
        <v>26</v>
      </c>
      <c r="AG14">
        <f t="shared" si="1"/>
        <v>26.041</v>
      </c>
    </row>
    <row r="15" spans="1:33" x14ac:dyDescent="0.25">
      <c r="A15" t="s">
        <v>1121</v>
      </c>
      <c r="B15" t="s">
        <v>1122</v>
      </c>
      <c r="C15" t="s">
        <v>995</v>
      </c>
      <c r="D15" t="s">
        <v>142</v>
      </c>
      <c r="E15" t="s">
        <v>93</v>
      </c>
      <c r="F15" t="s">
        <v>1123</v>
      </c>
      <c r="G15" t="s">
        <v>1123</v>
      </c>
      <c r="H15" t="s">
        <v>1124</v>
      </c>
      <c r="I15" t="s">
        <v>1108</v>
      </c>
      <c r="J15" t="s">
        <v>1125</v>
      </c>
      <c r="K15" t="s">
        <v>1055</v>
      </c>
      <c r="L15" t="s">
        <v>1049</v>
      </c>
      <c r="M15" t="s">
        <v>1126</v>
      </c>
      <c r="N15" t="s">
        <v>1127</v>
      </c>
      <c r="O15" t="s">
        <v>1128</v>
      </c>
      <c r="P15" t="s">
        <v>1129</v>
      </c>
      <c r="Q15" t="s">
        <v>1130</v>
      </c>
      <c r="R15" t="s">
        <v>1131</v>
      </c>
      <c r="S15" t="s">
        <v>1059</v>
      </c>
      <c r="T15" t="s">
        <v>1132</v>
      </c>
      <c r="U15" t="s">
        <v>1133</v>
      </c>
      <c r="V15" t="s">
        <v>1064</v>
      </c>
      <c r="W15" t="s">
        <v>921</v>
      </c>
      <c r="X15" t="s">
        <v>1028</v>
      </c>
      <c r="Y15" t="s">
        <v>1134</v>
      </c>
      <c r="Z15" t="s">
        <v>987</v>
      </c>
      <c r="AA15" t="s">
        <v>969</v>
      </c>
      <c r="AB15" t="s">
        <v>1135</v>
      </c>
      <c r="AC15" t="s">
        <v>908</v>
      </c>
      <c r="AD15" t="s">
        <v>1136</v>
      </c>
      <c r="AE15" t="s">
        <v>927</v>
      </c>
      <c r="AF15">
        <f t="shared" si="0"/>
        <v>26</v>
      </c>
      <c r="AG15">
        <f t="shared" si="1"/>
        <v>25.920999999999999</v>
      </c>
    </row>
    <row r="16" spans="1:33" x14ac:dyDescent="0.25">
      <c r="A16" t="s">
        <v>1137</v>
      </c>
      <c r="B16" t="s">
        <v>53</v>
      </c>
      <c r="C16" t="s">
        <v>1015</v>
      </c>
      <c r="D16" t="s">
        <v>1069</v>
      </c>
      <c r="E16" t="s">
        <v>63</v>
      </c>
      <c r="F16" t="s">
        <v>1138</v>
      </c>
      <c r="G16" t="s">
        <v>1138</v>
      </c>
      <c r="H16" t="s">
        <v>1139</v>
      </c>
      <c r="I16" t="s">
        <v>1062</v>
      </c>
      <c r="J16" t="s">
        <v>1140</v>
      </c>
      <c r="K16" t="s">
        <v>1141</v>
      </c>
      <c r="L16" t="s">
        <v>924</v>
      </c>
      <c r="M16" t="s">
        <v>1118</v>
      </c>
      <c r="N16" t="s">
        <v>1142</v>
      </c>
      <c r="O16" t="s">
        <v>1044</v>
      </c>
      <c r="P16" t="s">
        <v>936</v>
      </c>
      <c r="Q16" t="s">
        <v>1143</v>
      </c>
      <c r="R16" t="s">
        <v>1144</v>
      </c>
      <c r="S16" t="s">
        <v>1079</v>
      </c>
      <c r="T16" t="s">
        <v>921</v>
      </c>
      <c r="U16" t="s">
        <v>1145</v>
      </c>
      <c r="V16" t="s">
        <v>923</v>
      </c>
      <c r="W16" t="s">
        <v>946</v>
      </c>
      <c r="X16" t="s">
        <v>919</v>
      </c>
      <c r="Y16" t="s">
        <v>1128</v>
      </c>
      <c r="Z16" t="s">
        <v>918</v>
      </c>
      <c r="AA16" t="s">
        <v>934</v>
      </c>
      <c r="AB16" t="s">
        <v>964</v>
      </c>
      <c r="AC16" t="s">
        <v>1012</v>
      </c>
      <c r="AD16" t="s">
        <v>1146</v>
      </c>
      <c r="AE16" t="s">
        <v>927</v>
      </c>
      <c r="AF16">
        <f t="shared" si="0"/>
        <v>25.599999999999998</v>
      </c>
      <c r="AG16">
        <f t="shared" si="1"/>
        <v>25.566800000000001</v>
      </c>
    </row>
    <row r="17" spans="1:33" x14ac:dyDescent="0.25">
      <c r="A17" t="s">
        <v>1147</v>
      </c>
      <c r="B17" t="s">
        <v>1148</v>
      </c>
      <c r="C17" t="s">
        <v>1032</v>
      </c>
      <c r="D17" t="s">
        <v>1149</v>
      </c>
      <c r="E17" t="s">
        <v>56</v>
      </c>
      <c r="F17" t="s">
        <v>1150</v>
      </c>
      <c r="G17" t="s">
        <v>1150</v>
      </c>
      <c r="H17" t="s">
        <v>1151</v>
      </c>
      <c r="I17" t="s">
        <v>1152</v>
      </c>
      <c r="J17" t="s">
        <v>1153</v>
      </c>
      <c r="K17" t="s">
        <v>1154</v>
      </c>
      <c r="L17" t="s">
        <v>1155</v>
      </c>
      <c r="M17" t="s">
        <v>953</v>
      </c>
      <c r="N17" t="s">
        <v>1156</v>
      </c>
      <c r="O17" t="s">
        <v>1134</v>
      </c>
      <c r="P17" t="s">
        <v>1040</v>
      </c>
      <c r="Q17" t="s">
        <v>1157</v>
      </c>
      <c r="R17" t="s">
        <v>1158</v>
      </c>
      <c r="S17" t="s">
        <v>919</v>
      </c>
      <c r="T17" t="s">
        <v>1046</v>
      </c>
      <c r="U17" t="s">
        <v>1159</v>
      </c>
      <c r="V17" t="s">
        <v>923</v>
      </c>
      <c r="W17" t="s">
        <v>1160</v>
      </c>
      <c r="X17" t="s">
        <v>1046</v>
      </c>
      <c r="Y17" t="s">
        <v>988</v>
      </c>
      <c r="Z17" t="s">
        <v>1064</v>
      </c>
      <c r="AA17" t="s">
        <v>1094</v>
      </c>
      <c r="AB17" t="s">
        <v>992</v>
      </c>
      <c r="AC17" t="s">
        <v>970</v>
      </c>
      <c r="AD17" t="s">
        <v>1161</v>
      </c>
      <c r="AE17" t="s">
        <v>927</v>
      </c>
      <c r="AF17">
        <f t="shared" si="0"/>
        <v>25.1</v>
      </c>
      <c r="AG17">
        <f t="shared" si="1"/>
        <v>25.1767</v>
      </c>
    </row>
    <row r="18" spans="1:33" x14ac:dyDescent="0.25">
      <c r="A18" t="s">
        <v>1162</v>
      </c>
      <c r="B18" t="s">
        <v>1163</v>
      </c>
      <c r="C18" t="s">
        <v>1164</v>
      </c>
      <c r="D18" t="s">
        <v>105</v>
      </c>
      <c r="E18" t="s">
        <v>56</v>
      </c>
      <c r="F18" t="s">
        <v>1165</v>
      </c>
      <c r="G18" t="s">
        <v>1165</v>
      </c>
      <c r="H18" t="s">
        <v>1166</v>
      </c>
      <c r="I18" t="s">
        <v>990</v>
      </c>
      <c r="J18" t="s">
        <v>1167</v>
      </c>
      <c r="K18" t="s">
        <v>1168</v>
      </c>
      <c r="L18" t="s">
        <v>1000</v>
      </c>
      <c r="M18" t="s">
        <v>1108</v>
      </c>
      <c r="N18" t="s">
        <v>1169</v>
      </c>
      <c r="O18" t="s">
        <v>1170</v>
      </c>
      <c r="P18" t="s">
        <v>1027</v>
      </c>
      <c r="Q18" t="s">
        <v>1171</v>
      </c>
      <c r="R18" t="s">
        <v>1042</v>
      </c>
      <c r="S18" t="s">
        <v>985</v>
      </c>
      <c r="T18" t="s">
        <v>1172</v>
      </c>
      <c r="U18" t="s">
        <v>1173</v>
      </c>
      <c r="V18" t="s">
        <v>1065</v>
      </c>
      <c r="W18" t="s">
        <v>1081</v>
      </c>
      <c r="X18" t="s">
        <v>957</v>
      </c>
      <c r="Y18" t="s">
        <v>1128</v>
      </c>
      <c r="Z18" t="s">
        <v>945</v>
      </c>
      <c r="AA18" t="s">
        <v>934</v>
      </c>
      <c r="AB18" t="s">
        <v>1104</v>
      </c>
      <c r="AC18" t="s">
        <v>922</v>
      </c>
      <c r="AD18" t="s">
        <v>1174</v>
      </c>
      <c r="AE18" t="s">
        <v>927</v>
      </c>
      <c r="AF18">
        <f t="shared" si="0"/>
        <v>25</v>
      </c>
      <c r="AG18">
        <f t="shared" si="1"/>
        <v>24.968400000000003</v>
      </c>
    </row>
    <row r="19" spans="1:33" x14ac:dyDescent="0.25">
      <c r="A19" t="s">
        <v>1175</v>
      </c>
      <c r="B19" t="s">
        <v>228</v>
      </c>
      <c r="C19" t="s">
        <v>1176</v>
      </c>
      <c r="D19" t="s">
        <v>974</v>
      </c>
      <c r="E19" t="s">
        <v>93</v>
      </c>
      <c r="F19" t="s">
        <v>1177</v>
      </c>
      <c r="G19" t="s">
        <v>1177</v>
      </c>
      <c r="H19" t="s">
        <v>1178</v>
      </c>
      <c r="I19" t="s">
        <v>911</v>
      </c>
      <c r="J19" t="s">
        <v>1179</v>
      </c>
      <c r="K19" t="s">
        <v>1180</v>
      </c>
      <c r="L19" t="s">
        <v>1008</v>
      </c>
      <c r="M19" t="s">
        <v>924</v>
      </c>
      <c r="N19" t="s">
        <v>1181</v>
      </c>
      <c r="O19" t="s">
        <v>1182</v>
      </c>
      <c r="P19" t="s">
        <v>1183</v>
      </c>
      <c r="Q19" t="s">
        <v>1184</v>
      </c>
      <c r="R19" t="s">
        <v>984</v>
      </c>
      <c r="S19" t="s">
        <v>1092</v>
      </c>
      <c r="T19" t="s">
        <v>1026</v>
      </c>
      <c r="U19" t="s">
        <v>1185</v>
      </c>
      <c r="V19" t="s">
        <v>1012</v>
      </c>
      <c r="W19" t="s">
        <v>1024</v>
      </c>
      <c r="X19" t="s">
        <v>936</v>
      </c>
      <c r="Y19" t="s">
        <v>979</v>
      </c>
      <c r="Z19" t="s">
        <v>945</v>
      </c>
      <c r="AA19" t="s">
        <v>925</v>
      </c>
      <c r="AB19" t="s">
        <v>925</v>
      </c>
      <c r="AC19" t="s">
        <v>1049</v>
      </c>
      <c r="AD19" t="s">
        <v>1186</v>
      </c>
      <c r="AE19" t="s">
        <v>927</v>
      </c>
      <c r="AF19">
        <f t="shared" si="0"/>
        <v>24.700000000000003</v>
      </c>
      <c r="AG19">
        <f t="shared" si="1"/>
        <v>24.642800000000001</v>
      </c>
    </row>
    <row r="20" spans="1:33" x14ac:dyDescent="0.25">
      <c r="A20" t="s">
        <v>1175</v>
      </c>
      <c r="B20" t="s">
        <v>228</v>
      </c>
      <c r="C20" t="s">
        <v>1176</v>
      </c>
      <c r="D20" t="s">
        <v>1014</v>
      </c>
      <c r="E20" t="s">
        <v>72</v>
      </c>
      <c r="F20" t="s">
        <v>1187</v>
      </c>
      <c r="G20" t="s">
        <v>1187</v>
      </c>
      <c r="H20" t="s">
        <v>1188</v>
      </c>
      <c r="I20" t="s">
        <v>1072</v>
      </c>
      <c r="J20" t="s">
        <v>1189</v>
      </c>
      <c r="K20" t="s">
        <v>1171</v>
      </c>
      <c r="L20" t="s">
        <v>1008</v>
      </c>
      <c r="M20" t="s">
        <v>925</v>
      </c>
      <c r="N20" t="s">
        <v>1190</v>
      </c>
      <c r="O20" t="s">
        <v>1024</v>
      </c>
      <c r="P20" t="s">
        <v>1191</v>
      </c>
      <c r="Q20" t="s">
        <v>1192</v>
      </c>
      <c r="R20" t="s">
        <v>1193</v>
      </c>
      <c r="S20" t="s">
        <v>1063</v>
      </c>
      <c r="T20" t="s">
        <v>1009</v>
      </c>
      <c r="U20" t="s">
        <v>1194</v>
      </c>
      <c r="V20" t="s">
        <v>1104</v>
      </c>
      <c r="W20" t="s">
        <v>1108</v>
      </c>
      <c r="X20" t="s">
        <v>944</v>
      </c>
      <c r="Y20" t="s">
        <v>1000</v>
      </c>
      <c r="Z20" t="s">
        <v>1195</v>
      </c>
      <c r="AA20" t="s">
        <v>908</v>
      </c>
      <c r="AB20" t="s">
        <v>925</v>
      </c>
      <c r="AC20" t="s">
        <v>956</v>
      </c>
      <c r="AD20" t="s">
        <v>1196</v>
      </c>
      <c r="AE20" t="s">
        <v>927</v>
      </c>
      <c r="AF20">
        <f t="shared" si="0"/>
        <v>25.700000000000003</v>
      </c>
      <c r="AG20">
        <f t="shared" si="1"/>
        <v>25.651600000000002</v>
      </c>
    </row>
    <row r="21" spans="1:33" x14ac:dyDescent="0.25">
      <c r="A21" t="s">
        <v>1175</v>
      </c>
      <c r="B21" t="s">
        <v>228</v>
      </c>
      <c r="C21" t="s">
        <v>1176</v>
      </c>
      <c r="D21" t="s">
        <v>151</v>
      </c>
      <c r="E21" t="s">
        <v>93</v>
      </c>
      <c r="F21" t="s">
        <v>1096</v>
      </c>
      <c r="G21" t="s">
        <v>1096</v>
      </c>
      <c r="H21" t="s">
        <v>971</v>
      </c>
      <c r="I21" t="s">
        <v>1011</v>
      </c>
      <c r="J21" t="s">
        <v>1197</v>
      </c>
      <c r="K21" t="s">
        <v>1141</v>
      </c>
      <c r="L21" t="s">
        <v>987</v>
      </c>
      <c r="M21" t="s">
        <v>970</v>
      </c>
      <c r="N21" t="s">
        <v>1198</v>
      </c>
      <c r="O21" t="s">
        <v>1023</v>
      </c>
      <c r="P21" t="s">
        <v>1199</v>
      </c>
      <c r="Q21" t="s">
        <v>1180</v>
      </c>
      <c r="R21" t="s">
        <v>1200</v>
      </c>
      <c r="S21" t="s">
        <v>1030</v>
      </c>
      <c r="T21" t="s">
        <v>1043</v>
      </c>
      <c r="U21" t="s">
        <v>1201</v>
      </c>
      <c r="V21" t="s">
        <v>922</v>
      </c>
      <c r="W21" t="s">
        <v>1132</v>
      </c>
      <c r="X21" t="s">
        <v>1040</v>
      </c>
      <c r="Y21" t="s">
        <v>1103</v>
      </c>
      <c r="Z21" t="s">
        <v>969</v>
      </c>
      <c r="AA21" t="s">
        <v>925</v>
      </c>
      <c r="AB21" t="s">
        <v>925</v>
      </c>
      <c r="AC21" t="s">
        <v>968</v>
      </c>
      <c r="AD21" t="s">
        <v>1017</v>
      </c>
      <c r="AE21" t="s">
        <v>927</v>
      </c>
      <c r="AF21">
        <f t="shared" si="0"/>
        <v>20.099999999999998</v>
      </c>
      <c r="AG21">
        <f t="shared" si="1"/>
        <v>19.988299999999999</v>
      </c>
    </row>
    <row r="22" spans="1:33" x14ac:dyDescent="0.25">
      <c r="A22" t="s">
        <v>1202</v>
      </c>
      <c r="B22" t="s">
        <v>1203</v>
      </c>
      <c r="C22" t="s">
        <v>1204</v>
      </c>
      <c r="D22" t="s">
        <v>151</v>
      </c>
      <c r="E22" t="s">
        <v>63</v>
      </c>
      <c r="F22" t="s">
        <v>975</v>
      </c>
      <c r="G22" t="s">
        <v>975</v>
      </c>
      <c r="H22" t="s">
        <v>1166</v>
      </c>
      <c r="I22" t="s">
        <v>1024</v>
      </c>
      <c r="J22" t="s">
        <v>1140</v>
      </c>
      <c r="K22" t="s">
        <v>1205</v>
      </c>
      <c r="L22" t="s">
        <v>964</v>
      </c>
      <c r="M22" t="s">
        <v>1026</v>
      </c>
      <c r="N22" t="s">
        <v>1206</v>
      </c>
      <c r="O22" t="s">
        <v>1059</v>
      </c>
      <c r="P22" t="s">
        <v>1207</v>
      </c>
      <c r="Q22" t="s">
        <v>1208</v>
      </c>
      <c r="R22" t="s">
        <v>1209</v>
      </c>
      <c r="S22" t="s">
        <v>1160</v>
      </c>
      <c r="T22" t="s">
        <v>1170</v>
      </c>
      <c r="U22" t="s">
        <v>1210</v>
      </c>
      <c r="V22" t="s">
        <v>945</v>
      </c>
      <c r="W22" t="s">
        <v>992</v>
      </c>
      <c r="X22" t="s">
        <v>1134</v>
      </c>
      <c r="Y22" t="s">
        <v>1211</v>
      </c>
      <c r="Z22" t="s">
        <v>1195</v>
      </c>
      <c r="AA22" t="s">
        <v>1065</v>
      </c>
      <c r="AB22" t="s">
        <v>925</v>
      </c>
      <c r="AC22" t="s">
        <v>956</v>
      </c>
      <c r="AD22" t="s">
        <v>1186</v>
      </c>
      <c r="AE22" t="s">
        <v>927</v>
      </c>
      <c r="AF22">
        <f t="shared" si="0"/>
        <v>24.599999999999998</v>
      </c>
      <c r="AG22">
        <f t="shared" si="1"/>
        <v>24.6982</v>
      </c>
    </row>
    <row r="23" spans="1:33" x14ac:dyDescent="0.25">
      <c r="A23" t="s">
        <v>1212</v>
      </c>
      <c r="B23" t="s">
        <v>1213</v>
      </c>
      <c r="C23" t="s">
        <v>1084</v>
      </c>
      <c r="D23" t="s">
        <v>83</v>
      </c>
      <c r="E23" t="s">
        <v>93</v>
      </c>
      <c r="F23" t="s">
        <v>929</v>
      </c>
      <c r="G23" t="s">
        <v>929</v>
      </c>
      <c r="H23" t="s">
        <v>1214</v>
      </c>
      <c r="I23" t="s">
        <v>980</v>
      </c>
      <c r="J23" t="s">
        <v>1197</v>
      </c>
      <c r="K23" t="s">
        <v>1215</v>
      </c>
      <c r="L23" t="s">
        <v>1119</v>
      </c>
      <c r="M23" t="s">
        <v>991</v>
      </c>
      <c r="N23" t="s">
        <v>1216</v>
      </c>
      <c r="O23" t="s">
        <v>1072</v>
      </c>
      <c r="P23" t="s">
        <v>1217</v>
      </c>
      <c r="Q23" t="s">
        <v>955</v>
      </c>
      <c r="R23" t="s">
        <v>1218</v>
      </c>
      <c r="S23" t="s">
        <v>1043</v>
      </c>
      <c r="T23" t="s">
        <v>1061</v>
      </c>
      <c r="U23" t="s">
        <v>1219</v>
      </c>
      <c r="V23" t="s">
        <v>993</v>
      </c>
      <c r="W23" t="s">
        <v>957</v>
      </c>
      <c r="X23" t="s">
        <v>1026</v>
      </c>
      <c r="Y23" t="s">
        <v>1043</v>
      </c>
      <c r="Z23" t="s">
        <v>945</v>
      </c>
      <c r="AA23" t="s">
        <v>918</v>
      </c>
      <c r="AB23" t="s">
        <v>1135</v>
      </c>
      <c r="AC23" t="s">
        <v>1220</v>
      </c>
      <c r="AD23" t="s">
        <v>1221</v>
      </c>
      <c r="AE23" t="s">
        <v>927</v>
      </c>
      <c r="AF23">
        <f t="shared" si="0"/>
        <v>24.6</v>
      </c>
      <c r="AG23">
        <f t="shared" si="1"/>
        <v>24.533200000000001</v>
      </c>
    </row>
    <row r="24" spans="1:33" x14ac:dyDescent="0.25">
      <c r="A24" t="s">
        <v>1222</v>
      </c>
      <c r="B24" t="s">
        <v>266</v>
      </c>
      <c r="C24" t="s">
        <v>1068</v>
      </c>
      <c r="D24" t="s">
        <v>1223</v>
      </c>
      <c r="E24" t="s">
        <v>56</v>
      </c>
      <c r="F24" t="s">
        <v>951</v>
      </c>
      <c r="G24" t="s">
        <v>951</v>
      </c>
      <c r="H24" t="s">
        <v>1224</v>
      </c>
      <c r="I24" t="s">
        <v>1027</v>
      </c>
      <c r="J24" t="s">
        <v>1189</v>
      </c>
      <c r="K24" t="s">
        <v>1168</v>
      </c>
      <c r="L24" t="s">
        <v>1103</v>
      </c>
      <c r="M24" t="s">
        <v>953</v>
      </c>
      <c r="N24" t="s">
        <v>1225</v>
      </c>
      <c r="O24" t="s">
        <v>992</v>
      </c>
      <c r="P24" t="s">
        <v>1172</v>
      </c>
      <c r="Q24" t="s">
        <v>1226</v>
      </c>
      <c r="R24" t="s">
        <v>1227</v>
      </c>
      <c r="S24" t="s">
        <v>1228</v>
      </c>
      <c r="T24" t="s">
        <v>1170</v>
      </c>
      <c r="U24" t="s">
        <v>1229</v>
      </c>
      <c r="V24" t="s">
        <v>969</v>
      </c>
      <c r="W24" t="s">
        <v>1160</v>
      </c>
      <c r="X24" t="s">
        <v>1103</v>
      </c>
      <c r="Y24" t="s">
        <v>1063</v>
      </c>
      <c r="Z24" t="s">
        <v>1064</v>
      </c>
      <c r="AA24" t="s">
        <v>991</v>
      </c>
      <c r="AB24" t="s">
        <v>964</v>
      </c>
      <c r="AC24" t="s">
        <v>1230</v>
      </c>
      <c r="AD24" t="s">
        <v>1231</v>
      </c>
      <c r="AE24" t="s">
        <v>927</v>
      </c>
      <c r="AF24">
        <f t="shared" si="0"/>
        <v>24.6</v>
      </c>
      <c r="AG24">
        <f t="shared" si="1"/>
        <v>24.613499999999998</v>
      </c>
    </row>
    <row r="25" spans="1:33" x14ac:dyDescent="0.25">
      <c r="A25" t="s">
        <v>1232</v>
      </c>
      <c r="B25" t="s">
        <v>255</v>
      </c>
      <c r="C25" t="s">
        <v>1233</v>
      </c>
      <c r="D25" t="s">
        <v>1014</v>
      </c>
      <c r="E25" t="s">
        <v>47</v>
      </c>
      <c r="F25" t="s">
        <v>951</v>
      </c>
      <c r="G25" t="s">
        <v>951</v>
      </c>
      <c r="H25" t="s">
        <v>1234</v>
      </c>
      <c r="I25" t="s">
        <v>959</v>
      </c>
      <c r="J25" t="s">
        <v>1073</v>
      </c>
      <c r="K25" t="s">
        <v>1235</v>
      </c>
      <c r="L25" t="s">
        <v>908</v>
      </c>
      <c r="M25" t="s">
        <v>909</v>
      </c>
      <c r="N25" t="s">
        <v>1169</v>
      </c>
      <c r="O25" t="s">
        <v>1026</v>
      </c>
      <c r="P25" t="s">
        <v>1236</v>
      </c>
      <c r="Q25" t="s">
        <v>1077</v>
      </c>
      <c r="R25" t="s">
        <v>913</v>
      </c>
      <c r="S25" t="s">
        <v>1030</v>
      </c>
      <c r="T25" t="s">
        <v>957</v>
      </c>
      <c r="U25" t="s">
        <v>986</v>
      </c>
      <c r="V25" t="s">
        <v>923</v>
      </c>
      <c r="W25" t="s">
        <v>1172</v>
      </c>
      <c r="X25" t="s">
        <v>1011</v>
      </c>
      <c r="Y25" t="s">
        <v>989</v>
      </c>
      <c r="Z25" t="s">
        <v>923</v>
      </c>
      <c r="AA25" t="s">
        <v>969</v>
      </c>
      <c r="AB25" t="s">
        <v>1030</v>
      </c>
      <c r="AC25" t="s">
        <v>1230</v>
      </c>
      <c r="AD25" t="s">
        <v>1237</v>
      </c>
      <c r="AE25" t="s">
        <v>927</v>
      </c>
      <c r="AF25">
        <f t="shared" si="0"/>
        <v>24.400000000000002</v>
      </c>
      <c r="AG25">
        <f t="shared" si="1"/>
        <v>24.340199999999999</v>
      </c>
    </row>
    <row r="26" spans="1:33" x14ac:dyDescent="0.25">
      <c r="A26" t="s">
        <v>1238</v>
      </c>
      <c r="B26" t="s">
        <v>128</v>
      </c>
      <c r="C26" t="s">
        <v>950</v>
      </c>
      <c r="D26" t="s">
        <v>129</v>
      </c>
      <c r="E26" t="s">
        <v>72</v>
      </c>
      <c r="F26" t="s">
        <v>1052</v>
      </c>
      <c r="G26" t="s">
        <v>1052</v>
      </c>
      <c r="H26" t="s">
        <v>1097</v>
      </c>
      <c r="I26" t="s">
        <v>1024</v>
      </c>
      <c r="J26" t="s">
        <v>1197</v>
      </c>
      <c r="K26" t="s">
        <v>1239</v>
      </c>
      <c r="L26" t="s">
        <v>956</v>
      </c>
      <c r="M26" t="s">
        <v>957</v>
      </c>
      <c r="N26" t="s">
        <v>1240</v>
      </c>
      <c r="O26" t="s">
        <v>1116</v>
      </c>
      <c r="P26" t="s">
        <v>1241</v>
      </c>
      <c r="Q26" t="s">
        <v>1215</v>
      </c>
      <c r="R26" t="s">
        <v>1242</v>
      </c>
      <c r="S26" t="s">
        <v>957</v>
      </c>
      <c r="T26" t="s">
        <v>909</v>
      </c>
      <c r="U26" t="s">
        <v>1243</v>
      </c>
      <c r="V26" t="s">
        <v>964</v>
      </c>
      <c r="W26" t="s">
        <v>997</v>
      </c>
      <c r="X26" t="s">
        <v>1244</v>
      </c>
      <c r="Y26" t="s">
        <v>946</v>
      </c>
      <c r="Z26" t="s">
        <v>923</v>
      </c>
      <c r="AA26" t="s">
        <v>1008</v>
      </c>
      <c r="AB26" t="s">
        <v>1220</v>
      </c>
      <c r="AC26" t="s">
        <v>979</v>
      </c>
      <c r="AD26" t="s">
        <v>1237</v>
      </c>
      <c r="AE26" t="s">
        <v>927</v>
      </c>
      <c r="AF26">
        <f t="shared" si="0"/>
        <v>24.5</v>
      </c>
      <c r="AG26">
        <f t="shared" si="1"/>
        <v>24.482099999999999</v>
      </c>
    </row>
    <row r="27" spans="1:33" x14ac:dyDescent="0.25">
      <c r="A27" t="s">
        <v>1245</v>
      </c>
      <c r="B27" t="s">
        <v>1246</v>
      </c>
      <c r="C27" t="s">
        <v>1245</v>
      </c>
      <c r="D27" t="s">
        <v>70</v>
      </c>
      <c r="E27" t="s">
        <v>72</v>
      </c>
      <c r="F27" t="s">
        <v>1123</v>
      </c>
      <c r="G27" t="s">
        <v>1123</v>
      </c>
      <c r="H27" t="s">
        <v>1247</v>
      </c>
      <c r="I27" t="s">
        <v>1024</v>
      </c>
      <c r="J27" t="s">
        <v>1248</v>
      </c>
      <c r="K27" t="s">
        <v>1249</v>
      </c>
      <c r="L27" t="s">
        <v>946</v>
      </c>
      <c r="M27" t="s">
        <v>916</v>
      </c>
      <c r="N27" t="s">
        <v>1250</v>
      </c>
      <c r="O27" t="s">
        <v>1079</v>
      </c>
      <c r="P27" t="s">
        <v>965</v>
      </c>
      <c r="Q27" t="s">
        <v>1251</v>
      </c>
      <c r="R27" t="s">
        <v>1057</v>
      </c>
      <c r="S27" t="s">
        <v>1000</v>
      </c>
      <c r="T27" t="s">
        <v>919</v>
      </c>
      <c r="U27" t="s">
        <v>1252</v>
      </c>
      <c r="V27" t="s">
        <v>968</v>
      </c>
      <c r="W27" t="s">
        <v>911</v>
      </c>
      <c r="X27" t="s">
        <v>1253</v>
      </c>
      <c r="Y27" t="s">
        <v>1030</v>
      </c>
      <c r="Z27" t="s">
        <v>1064</v>
      </c>
      <c r="AA27" t="s">
        <v>1155</v>
      </c>
      <c r="AB27" t="s">
        <v>1048</v>
      </c>
      <c r="AC27" t="s">
        <v>947</v>
      </c>
      <c r="AD27" t="s">
        <v>1254</v>
      </c>
      <c r="AE27" t="s">
        <v>927</v>
      </c>
      <c r="AF27">
        <f t="shared" si="0"/>
        <v>24.3</v>
      </c>
      <c r="AG27">
        <f t="shared" si="1"/>
        <v>24.205999999999996</v>
      </c>
    </row>
    <row r="28" spans="1:33" x14ac:dyDescent="0.25">
      <c r="A28" t="s">
        <v>995</v>
      </c>
      <c r="B28" t="s">
        <v>141</v>
      </c>
      <c r="C28" t="s">
        <v>1032</v>
      </c>
      <c r="D28" t="s">
        <v>142</v>
      </c>
      <c r="E28" t="s">
        <v>47</v>
      </c>
      <c r="F28" t="s">
        <v>1255</v>
      </c>
      <c r="G28" t="s">
        <v>1255</v>
      </c>
      <c r="H28" t="s">
        <v>1256</v>
      </c>
      <c r="I28" t="s">
        <v>1108</v>
      </c>
      <c r="J28" t="s">
        <v>1257</v>
      </c>
      <c r="K28" t="s">
        <v>1258</v>
      </c>
      <c r="L28" t="s">
        <v>922</v>
      </c>
      <c r="M28" t="s">
        <v>1126</v>
      </c>
      <c r="N28" t="s">
        <v>1259</v>
      </c>
      <c r="O28" t="s">
        <v>1026</v>
      </c>
      <c r="P28" t="s">
        <v>1260</v>
      </c>
      <c r="Q28" t="s">
        <v>1261</v>
      </c>
      <c r="R28" t="s">
        <v>1262</v>
      </c>
      <c r="S28" t="s">
        <v>1047</v>
      </c>
      <c r="T28" t="s">
        <v>962</v>
      </c>
      <c r="U28" t="s">
        <v>1263</v>
      </c>
      <c r="V28" t="s">
        <v>918</v>
      </c>
      <c r="W28" t="s">
        <v>1134</v>
      </c>
      <c r="X28" t="s">
        <v>909</v>
      </c>
      <c r="Y28" t="s">
        <v>957</v>
      </c>
      <c r="Z28" t="s">
        <v>1195</v>
      </c>
      <c r="AA28" t="s">
        <v>991</v>
      </c>
      <c r="AB28" t="s">
        <v>947</v>
      </c>
      <c r="AC28" t="s">
        <v>993</v>
      </c>
      <c r="AD28" t="s">
        <v>1264</v>
      </c>
      <c r="AE28" t="s">
        <v>927</v>
      </c>
      <c r="AF28">
        <f t="shared" si="0"/>
        <v>24.2</v>
      </c>
      <c r="AG28">
        <f t="shared" si="1"/>
        <v>24.195699999999999</v>
      </c>
    </row>
    <row r="29" spans="1:33" x14ac:dyDescent="0.25">
      <c r="A29" t="s">
        <v>1032</v>
      </c>
      <c r="B29" t="s">
        <v>110</v>
      </c>
      <c r="C29" t="s">
        <v>902</v>
      </c>
      <c r="D29" t="s">
        <v>111</v>
      </c>
      <c r="E29" t="s">
        <v>56</v>
      </c>
      <c r="F29" t="s">
        <v>903</v>
      </c>
      <c r="G29" t="s">
        <v>903</v>
      </c>
      <c r="H29" t="s">
        <v>1265</v>
      </c>
      <c r="I29" t="s">
        <v>988</v>
      </c>
      <c r="J29" t="s">
        <v>1073</v>
      </c>
      <c r="K29" t="s">
        <v>1266</v>
      </c>
      <c r="L29" t="s">
        <v>964</v>
      </c>
      <c r="M29" t="s">
        <v>1132</v>
      </c>
      <c r="N29" t="s">
        <v>1267</v>
      </c>
      <c r="O29" t="s">
        <v>1211</v>
      </c>
      <c r="P29" t="s">
        <v>943</v>
      </c>
      <c r="Q29" t="s">
        <v>1268</v>
      </c>
      <c r="R29" t="s">
        <v>1269</v>
      </c>
      <c r="S29" t="s">
        <v>940</v>
      </c>
      <c r="T29" t="s">
        <v>988</v>
      </c>
      <c r="U29" t="s">
        <v>1270</v>
      </c>
      <c r="V29" t="s">
        <v>1065</v>
      </c>
      <c r="W29" t="s">
        <v>1012</v>
      </c>
      <c r="X29" t="s">
        <v>946</v>
      </c>
      <c r="Y29" t="s">
        <v>936</v>
      </c>
      <c r="Z29" t="s">
        <v>945</v>
      </c>
      <c r="AA29" t="s">
        <v>934</v>
      </c>
      <c r="AB29" t="s">
        <v>957</v>
      </c>
      <c r="AC29" t="s">
        <v>1049</v>
      </c>
      <c r="AD29" t="s">
        <v>1264</v>
      </c>
      <c r="AE29" t="s">
        <v>927</v>
      </c>
      <c r="AF29">
        <f t="shared" si="0"/>
        <v>24.2</v>
      </c>
      <c r="AG29">
        <f t="shared" si="1"/>
        <v>24.238600000000005</v>
      </c>
    </row>
    <row r="30" spans="1:33" x14ac:dyDescent="0.25">
      <c r="A30" t="s">
        <v>1084</v>
      </c>
      <c r="B30" t="s">
        <v>477</v>
      </c>
      <c r="C30" t="s">
        <v>1015</v>
      </c>
      <c r="D30" t="s">
        <v>85</v>
      </c>
      <c r="E30" t="s">
        <v>63</v>
      </c>
      <c r="F30" t="s">
        <v>1271</v>
      </c>
      <c r="G30" t="s">
        <v>1271</v>
      </c>
      <c r="H30" t="s">
        <v>1272</v>
      </c>
      <c r="I30" t="s">
        <v>989</v>
      </c>
      <c r="J30" t="s">
        <v>1248</v>
      </c>
      <c r="K30" t="s">
        <v>1273</v>
      </c>
      <c r="L30" t="s">
        <v>970</v>
      </c>
      <c r="M30" t="s">
        <v>1024</v>
      </c>
      <c r="N30" t="s">
        <v>981</v>
      </c>
      <c r="O30" t="s">
        <v>920</v>
      </c>
      <c r="P30" t="s">
        <v>943</v>
      </c>
      <c r="Q30" t="s">
        <v>1274</v>
      </c>
      <c r="R30" t="s">
        <v>1275</v>
      </c>
      <c r="S30" t="s">
        <v>1081</v>
      </c>
      <c r="T30" t="s">
        <v>1005</v>
      </c>
      <c r="U30" t="s">
        <v>1276</v>
      </c>
      <c r="V30" t="s">
        <v>987</v>
      </c>
      <c r="W30" t="s">
        <v>1030</v>
      </c>
      <c r="X30" t="s">
        <v>1047</v>
      </c>
      <c r="Y30" t="s">
        <v>920</v>
      </c>
      <c r="Z30" t="s">
        <v>1195</v>
      </c>
      <c r="AA30" t="s">
        <v>934</v>
      </c>
      <c r="AB30" t="s">
        <v>908</v>
      </c>
      <c r="AC30" t="s">
        <v>956</v>
      </c>
      <c r="AD30" t="s">
        <v>1277</v>
      </c>
      <c r="AE30" t="s">
        <v>927</v>
      </c>
      <c r="AF30">
        <f t="shared" si="0"/>
        <v>23.899999999999995</v>
      </c>
      <c r="AG30">
        <f t="shared" si="1"/>
        <v>23.9557</v>
      </c>
    </row>
    <row r="31" spans="1:33" x14ac:dyDescent="0.25">
      <c r="A31" t="s">
        <v>973</v>
      </c>
      <c r="B31" t="s">
        <v>1278</v>
      </c>
      <c r="C31" t="s">
        <v>1032</v>
      </c>
      <c r="D31" t="s">
        <v>1279</v>
      </c>
      <c r="E31" t="s">
        <v>63</v>
      </c>
      <c r="F31" t="s">
        <v>973</v>
      </c>
      <c r="G31" t="s">
        <v>1032</v>
      </c>
      <c r="H31" t="s">
        <v>1280</v>
      </c>
      <c r="I31" t="s">
        <v>1061</v>
      </c>
      <c r="J31" t="s">
        <v>1281</v>
      </c>
      <c r="K31" t="s">
        <v>1018</v>
      </c>
      <c r="L31" t="s">
        <v>1220</v>
      </c>
      <c r="M31" t="s">
        <v>1011</v>
      </c>
      <c r="N31" t="s">
        <v>1282</v>
      </c>
      <c r="O31" t="s">
        <v>962</v>
      </c>
      <c r="P31" t="s">
        <v>1020</v>
      </c>
      <c r="Q31" t="s">
        <v>1283</v>
      </c>
      <c r="R31" t="s">
        <v>1235</v>
      </c>
      <c r="S31" t="s">
        <v>1043</v>
      </c>
      <c r="T31" t="s">
        <v>1063</v>
      </c>
      <c r="U31" t="s">
        <v>1284</v>
      </c>
      <c r="V31" t="s">
        <v>969</v>
      </c>
      <c r="W31" t="s">
        <v>1220</v>
      </c>
      <c r="X31" t="s">
        <v>970</v>
      </c>
      <c r="Y31" t="s">
        <v>1155</v>
      </c>
      <c r="Z31" t="s">
        <v>969</v>
      </c>
      <c r="AA31" t="s">
        <v>1119</v>
      </c>
      <c r="AB31" t="s">
        <v>993</v>
      </c>
      <c r="AC31" t="s">
        <v>968</v>
      </c>
      <c r="AD31" t="s">
        <v>1277</v>
      </c>
      <c r="AE31" t="s">
        <v>927</v>
      </c>
      <c r="AF31">
        <f t="shared" si="0"/>
        <v>24.000000000000004</v>
      </c>
      <c r="AG31">
        <f t="shared" si="1"/>
        <v>23.977399999999996</v>
      </c>
    </row>
    <row r="32" spans="1:33" x14ac:dyDescent="0.25">
      <c r="A32" t="s">
        <v>902</v>
      </c>
      <c r="B32" t="s">
        <v>209</v>
      </c>
      <c r="C32" t="s">
        <v>973</v>
      </c>
      <c r="D32" t="s">
        <v>133</v>
      </c>
      <c r="E32" t="s">
        <v>63</v>
      </c>
      <c r="F32" t="s">
        <v>1285</v>
      </c>
      <c r="G32" t="s">
        <v>1285</v>
      </c>
      <c r="H32" t="s">
        <v>976</v>
      </c>
      <c r="I32" t="s">
        <v>1182</v>
      </c>
      <c r="J32" t="s">
        <v>1286</v>
      </c>
      <c r="K32" t="s">
        <v>1287</v>
      </c>
      <c r="L32" t="s">
        <v>970</v>
      </c>
      <c r="M32" t="s">
        <v>1062</v>
      </c>
      <c r="N32" t="s">
        <v>910</v>
      </c>
      <c r="O32" t="s">
        <v>962</v>
      </c>
      <c r="P32" t="s">
        <v>911</v>
      </c>
      <c r="Q32" t="s">
        <v>1288</v>
      </c>
      <c r="R32" t="s">
        <v>1289</v>
      </c>
      <c r="S32" t="s">
        <v>1030</v>
      </c>
      <c r="T32" t="s">
        <v>1081</v>
      </c>
      <c r="U32" t="s">
        <v>1290</v>
      </c>
      <c r="V32" t="s">
        <v>1065</v>
      </c>
      <c r="W32" t="s">
        <v>957</v>
      </c>
      <c r="X32" t="s">
        <v>962</v>
      </c>
      <c r="Y32" t="s">
        <v>1291</v>
      </c>
      <c r="Z32" t="s">
        <v>918</v>
      </c>
      <c r="AA32" t="s">
        <v>934</v>
      </c>
      <c r="AB32" t="s">
        <v>1012</v>
      </c>
      <c r="AC32" t="s">
        <v>1064</v>
      </c>
      <c r="AD32" t="s">
        <v>1292</v>
      </c>
      <c r="AE32" t="s">
        <v>927</v>
      </c>
      <c r="AF32">
        <f t="shared" si="0"/>
        <v>23.999999999999996</v>
      </c>
      <c r="AG32">
        <f t="shared" si="1"/>
        <v>23.871099999999998</v>
      </c>
    </row>
    <row r="33" spans="1:33" x14ac:dyDescent="0.25">
      <c r="A33" t="s">
        <v>1293</v>
      </c>
      <c r="B33" t="s">
        <v>1294</v>
      </c>
      <c r="C33" t="s">
        <v>929</v>
      </c>
      <c r="D33" t="s">
        <v>108</v>
      </c>
      <c r="E33" t="s">
        <v>72</v>
      </c>
      <c r="F33" t="s">
        <v>1232</v>
      </c>
      <c r="G33" t="s">
        <v>1232</v>
      </c>
      <c r="H33" t="s">
        <v>1295</v>
      </c>
      <c r="I33" t="s">
        <v>988</v>
      </c>
      <c r="J33" t="s">
        <v>1296</v>
      </c>
      <c r="K33" t="s">
        <v>1297</v>
      </c>
      <c r="L33" t="s">
        <v>945</v>
      </c>
      <c r="M33" t="s">
        <v>919</v>
      </c>
      <c r="N33" t="s">
        <v>1298</v>
      </c>
      <c r="O33" t="s">
        <v>985</v>
      </c>
      <c r="P33" t="s">
        <v>1236</v>
      </c>
      <c r="Q33" t="s">
        <v>1299</v>
      </c>
      <c r="R33" t="s">
        <v>1300</v>
      </c>
      <c r="S33" t="s">
        <v>1011</v>
      </c>
      <c r="T33" t="s">
        <v>1024</v>
      </c>
      <c r="U33" t="s">
        <v>1301</v>
      </c>
      <c r="V33" t="s">
        <v>1049</v>
      </c>
      <c r="W33" t="s">
        <v>1044</v>
      </c>
      <c r="X33" t="s">
        <v>989</v>
      </c>
      <c r="Y33" t="s">
        <v>1047</v>
      </c>
      <c r="Z33" t="s">
        <v>1008</v>
      </c>
      <c r="AA33" t="s">
        <v>918</v>
      </c>
      <c r="AB33" t="s">
        <v>970</v>
      </c>
      <c r="AC33" t="s">
        <v>925</v>
      </c>
      <c r="AD33" t="s">
        <v>1302</v>
      </c>
      <c r="AE33" t="s">
        <v>927</v>
      </c>
      <c r="AF33">
        <f t="shared" si="0"/>
        <v>23.8</v>
      </c>
      <c r="AG33">
        <f t="shared" si="1"/>
        <v>23.827500000000001</v>
      </c>
    </row>
    <row r="34" spans="1:33" x14ac:dyDescent="0.25">
      <c r="A34" t="s">
        <v>1015</v>
      </c>
      <c r="B34" t="s">
        <v>1303</v>
      </c>
      <c r="C34" t="s">
        <v>1293</v>
      </c>
      <c r="D34" t="s">
        <v>974</v>
      </c>
      <c r="E34" t="s">
        <v>56</v>
      </c>
      <c r="F34" t="s">
        <v>1070</v>
      </c>
      <c r="G34" t="s">
        <v>1070</v>
      </c>
      <c r="H34" t="s">
        <v>1166</v>
      </c>
      <c r="I34" t="s">
        <v>1062</v>
      </c>
      <c r="J34" t="s">
        <v>1304</v>
      </c>
      <c r="K34" t="s">
        <v>1258</v>
      </c>
      <c r="L34" t="s">
        <v>1049</v>
      </c>
      <c r="M34" t="s">
        <v>1059</v>
      </c>
      <c r="N34" t="s">
        <v>1305</v>
      </c>
      <c r="O34" t="s">
        <v>1172</v>
      </c>
      <c r="P34" t="s">
        <v>1306</v>
      </c>
      <c r="Q34" t="s">
        <v>1307</v>
      </c>
      <c r="R34" t="s">
        <v>1308</v>
      </c>
      <c r="S34" t="s">
        <v>1081</v>
      </c>
      <c r="T34" t="s">
        <v>1005</v>
      </c>
      <c r="U34" t="s">
        <v>1309</v>
      </c>
      <c r="V34" t="s">
        <v>918</v>
      </c>
      <c r="W34" t="s">
        <v>1160</v>
      </c>
      <c r="X34" t="s">
        <v>1134</v>
      </c>
      <c r="Y34" t="s">
        <v>1044</v>
      </c>
      <c r="Z34" t="s">
        <v>1310</v>
      </c>
      <c r="AA34" t="s">
        <v>991</v>
      </c>
      <c r="AB34" t="s">
        <v>1104</v>
      </c>
      <c r="AC34" t="s">
        <v>1012</v>
      </c>
      <c r="AD34" t="s">
        <v>1311</v>
      </c>
      <c r="AE34" t="s">
        <v>927</v>
      </c>
      <c r="AF34">
        <f t="shared" si="0"/>
        <v>23.499999999999996</v>
      </c>
      <c r="AG34">
        <f t="shared" si="1"/>
        <v>23.555900000000001</v>
      </c>
    </row>
    <row r="35" spans="1:33" x14ac:dyDescent="0.25">
      <c r="A35" t="s">
        <v>1015</v>
      </c>
      <c r="B35" t="s">
        <v>1303</v>
      </c>
      <c r="C35" t="s">
        <v>1293</v>
      </c>
      <c r="D35" t="s">
        <v>121</v>
      </c>
      <c r="E35" t="s">
        <v>56</v>
      </c>
      <c r="F35" t="s">
        <v>1312</v>
      </c>
      <c r="G35" t="s">
        <v>1312</v>
      </c>
      <c r="H35" t="s">
        <v>1313</v>
      </c>
      <c r="I35" t="s">
        <v>911</v>
      </c>
      <c r="J35" t="s">
        <v>1314</v>
      </c>
      <c r="K35" t="s">
        <v>1099</v>
      </c>
      <c r="L35" t="s">
        <v>956</v>
      </c>
      <c r="M35" t="s">
        <v>921</v>
      </c>
      <c r="N35" t="s">
        <v>1315</v>
      </c>
      <c r="O35" t="s">
        <v>1026</v>
      </c>
      <c r="P35" t="s">
        <v>1316</v>
      </c>
      <c r="Q35" t="s">
        <v>1114</v>
      </c>
      <c r="R35" t="s">
        <v>1101</v>
      </c>
      <c r="S35" t="s">
        <v>1047</v>
      </c>
      <c r="T35" t="s">
        <v>1291</v>
      </c>
      <c r="U35" t="s">
        <v>1243</v>
      </c>
      <c r="V35" t="s">
        <v>923</v>
      </c>
      <c r="W35" t="s">
        <v>1228</v>
      </c>
      <c r="X35" t="s">
        <v>920</v>
      </c>
      <c r="Y35" t="s">
        <v>1059</v>
      </c>
      <c r="Z35" t="s">
        <v>1310</v>
      </c>
      <c r="AA35" t="s">
        <v>991</v>
      </c>
      <c r="AB35" t="s">
        <v>1135</v>
      </c>
      <c r="AC35" t="s">
        <v>1012</v>
      </c>
      <c r="AD35" t="s">
        <v>1317</v>
      </c>
      <c r="AE35" t="s">
        <v>927</v>
      </c>
      <c r="AF35">
        <f t="shared" si="0"/>
        <v>24.9</v>
      </c>
      <c r="AG35">
        <f t="shared" si="1"/>
        <v>24.971499999999999</v>
      </c>
    </row>
    <row r="36" spans="1:33" x14ac:dyDescent="0.25">
      <c r="A36" t="s">
        <v>1015</v>
      </c>
      <c r="B36" t="s">
        <v>1303</v>
      </c>
      <c r="C36" t="s">
        <v>1293</v>
      </c>
      <c r="D36" t="s">
        <v>70</v>
      </c>
      <c r="E36" t="s">
        <v>56</v>
      </c>
      <c r="F36" t="s">
        <v>1212</v>
      </c>
      <c r="G36" t="s">
        <v>1212</v>
      </c>
      <c r="H36" t="s">
        <v>1318</v>
      </c>
      <c r="I36" t="s">
        <v>988</v>
      </c>
      <c r="J36" t="s">
        <v>1217</v>
      </c>
      <c r="K36" t="s">
        <v>1319</v>
      </c>
      <c r="L36" t="s">
        <v>1310</v>
      </c>
      <c r="M36" t="s">
        <v>1092</v>
      </c>
      <c r="N36" t="s">
        <v>1320</v>
      </c>
      <c r="O36" t="s">
        <v>1079</v>
      </c>
      <c r="P36" t="s">
        <v>982</v>
      </c>
      <c r="Q36" t="s">
        <v>1261</v>
      </c>
      <c r="R36" t="s">
        <v>1021</v>
      </c>
      <c r="S36" t="s">
        <v>979</v>
      </c>
      <c r="T36" t="s">
        <v>1081</v>
      </c>
      <c r="U36" t="s">
        <v>1321</v>
      </c>
      <c r="V36" t="s">
        <v>1065</v>
      </c>
      <c r="W36" t="s">
        <v>1155</v>
      </c>
      <c r="X36" t="s">
        <v>1170</v>
      </c>
      <c r="Y36" t="s">
        <v>1172</v>
      </c>
      <c r="Z36" t="s">
        <v>1310</v>
      </c>
      <c r="AA36" t="s">
        <v>1094</v>
      </c>
      <c r="AB36" t="s">
        <v>924</v>
      </c>
      <c r="AC36" t="s">
        <v>1220</v>
      </c>
      <c r="AD36" t="s">
        <v>932</v>
      </c>
      <c r="AE36" t="s">
        <v>927</v>
      </c>
      <c r="AF36">
        <f t="shared" si="0"/>
        <v>19.8</v>
      </c>
      <c r="AG36">
        <f t="shared" si="1"/>
        <v>19.706000000000003</v>
      </c>
    </row>
    <row r="37" spans="1:33" x14ac:dyDescent="0.25">
      <c r="A37" t="s">
        <v>950</v>
      </c>
      <c r="B37" t="s">
        <v>134</v>
      </c>
      <c r="C37" t="s">
        <v>950</v>
      </c>
      <c r="D37" t="s">
        <v>974</v>
      </c>
      <c r="E37" t="s">
        <v>47</v>
      </c>
      <c r="F37" t="s">
        <v>1322</v>
      </c>
      <c r="G37" t="s">
        <v>1322</v>
      </c>
      <c r="H37" t="s">
        <v>1323</v>
      </c>
      <c r="I37" t="s">
        <v>1132</v>
      </c>
      <c r="J37" t="s">
        <v>1217</v>
      </c>
      <c r="K37" t="s">
        <v>1091</v>
      </c>
      <c r="L37" t="s">
        <v>1048</v>
      </c>
      <c r="M37" t="s">
        <v>1026</v>
      </c>
      <c r="N37" t="s">
        <v>1319</v>
      </c>
      <c r="O37" t="s">
        <v>962</v>
      </c>
      <c r="P37" t="s">
        <v>959</v>
      </c>
      <c r="Q37" t="s">
        <v>1324</v>
      </c>
      <c r="R37" t="s">
        <v>1325</v>
      </c>
      <c r="S37" t="s">
        <v>1048</v>
      </c>
      <c r="T37" t="s">
        <v>1160</v>
      </c>
      <c r="U37" t="s">
        <v>1326</v>
      </c>
      <c r="V37" t="s">
        <v>1094</v>
      </c>
      <c r="W37" t="s">
        <v>1228</v>
      </c>
      <c r="X37" t="s">
        <v>1170</v>
      </c>
      <c r="Y37" t="s">
        <v>1081</v>
      </c>
      <c r="Z37" t="s">
        <v>987</v>
      </c>
      <c r="AA37" t="s">
        <v>934</v>
      </c>
      <c r="AB37" t="s">
        <v>1104</v>
      </c>
      <c r="AC37" t="s">
        <v>1029</v>
      </c>
      <c r="AD37" t="s">
        <v>1327</v>
      </c>
      <c r="AE37" t="s">
        <v>927</v>
      </c>
      <c r="AF37">
        <f t="shared" si="0"/>
        <v>23.2</v>
      </c>
      <c r="AG37">
        <f t="shared" si="1"/>
        <v>23.304300000000005</v>
      </c>
    </row>
    <row r="38" spans="1:33" x14ac:dyDescent="0.25">
      <c r="A38" t="s">
        <v>950</v>
      </c>
      <c r="B38" t="s">
        <v>134</v>
      </c>
      <c r="C38" t="s">
        <v>950</v>
      </c>
      <c r="D38" t="s">
        <v>131</v>
      </c>
      <c r="E38" t="s">
        <v>47</v>
      </c>
      <c r="F38" t="s">
        <v>1187</v>
      </c>
      <c r="G38" t="s">
        <v>1187</v>
      </c>
      <c r="H38" t="s">
        <v>1328</v>
      </c>
      <c r="I38" t="s">
        <v>1152</v>
      </c>
      <c r="J38" t="s">
        <v>1197</v>
      </c>
      <c r="K38" t="s">
        <v>1091</v>
      </c>
      <c r="L38" t="s">
        <v>1048</v>
      </c>
      <c r="M38" t="s">
        <v>1118</v>
      </c>
      <c r="N38" t="s">
        <v>1319</v>
      </c>
      <c r="O38" t="s">
        <v>1329</v>
      </c>
      <c r="P38" t="s">
        <v>980</v>
      </c>
      <c r="Q38" t="s">
        <v>1192</v>
      </c>
      <c r="R38" t="s">
        <v>939</v>
      </c>
      <c r="S38" t="s">
        <v>979</v>
      </c>
      <c r="T38" t="s">
        <v>1170</v>
      </c>
      <c r="U38" t="s">
        <v>1330</v>
      </c>
      <c r="V38" t="s">
        <v>1094</v>
      </c>
      <c r="W38" t="s">
        <v>1047</v>
      </c>
      <c r="X38" t="s">
        <v>1134</v>
      </c>
      <c r="Y38" t="s">
        <v>1047</v>
      </c>
      <c r="Z38" t="s">
        <v>918</v>
      </c>
      <c r="AA38" t="s">
        <v>934</v>
      </c>
      <c r="AB38" t="s">
        <v>964</v>
      </c>
      <c r="AC38" t="s">
        <v>1310</v>
      </c>
      <c r="AD38" t="s">
        <v>1277</v>
      </c>
      <c r="AE38" t="s">
        <v>927</v>
      </c>
      <c r="AF38">
        <f t="shared" si="0"/>
        <v>23.9</v>
      </c>
      <c r="AG38">
        <f t="shared" si="1"/>
        <v>23.946499999999997</v>
      </c>
    </row>
    <row r="39" spans="1:33" x14ac:dyDescent="0.25">
      <c r="A39" t="s">
        <v>950</v>
      </c>
      <c r="B39" t="s">
        <v>134</v>
      </c>
      <c r="C39" t="s">
        <v>950</v>
      </c>
      <c r="D39" t="s">
        <v>121</v>
      </c>
      <c r="E39" t="s">
        <v>63</v>
      </c>
      <c r="F39" t="s">
        <v>1204</v>
      </c>
      <c r="G39" t="s">
        <v>1204</v>
      </c>
      <c r="H39" t="s">
        <v>1331</v>
      </c>
      <c r="I39" t="s">
        <v>989</v>
      </c>
      <c r="J39" t="s">
        <v>1332</v>
      </c>
      <c r="K39" t="s">
        <v>1091</v>
      </c>
      <c r="L39" t="s">
        <v>1048</v>
      </c>
      <c r="M39" t="s">
        <v>1026</v>
      </c>
      <c r="N39" t="s">
        <v>1319</v>
      </c>
      <c r="O39" t="s">
        <v>920</v>
      </c>
      <c r="P39" t="s">
        <v>916</v>
      </c>
      <c r="Q39" t="s">
        <v>1333</v>
      </c>
      <c r="R39" t="s">
        <v>1334</v>
      </c>
      <c r="S39" t="s">
        <v>1104</v>
      </c>
      <c r="T39" t="s">
        <v>1048</v>
      </c>
      <c r="U39" t="s">
        <v>1335</v>
      </c>
      <c r="V39" t="s">
        <v>1094</v>
      </c>
      <c r="W39" t="s">
        <v>1048</v>
      </c>
      <c r="X39" t="s">
        <v>979</v>
      </c>
      <c r="Y39" t="s">
        <v>1155</v>
      </c>
      <c r="Z39" t="s">
        <v>969</v>
      </c>
      <c r="AA39" t="s">
        <v>1119</v>
      </c>
      <c r="AB39" t="s">
        <v>1220</v>
      </c>
      <c r="AC39" t="s">
        <v>968</v>
      </c>
      <c r="AD39" t="s">
        <v>1336</v>
      </c>
      <c r="AE39" t="s">
        <v>927</v>
      </c>
      <c r="AF39">
        <f t="shared" si="0"/>
        <v>22.400000000000002</v>
      </c>
      <c r="AG39">
        <f t="shared" si="1"/>
        <v>22.356800000000003</v>
      </c>
    </row>
    <row r="40" spans="1:33" x14ac:dyDescent="0.25">
      <c r="A40" t="s">
        <v>929</v>
      </c>
      <c r="B40" t="s">
        <v>301</v>
      </c>
      <c r="C40" t="s">
        <v>973</v>
      </c>
      <c r="D40" t="s">
        <v>156</v>
      </c>
      <c r="E40" t="s">
        <v>56</v>
      </c>
      <c r="F40" t="s">
        <v>975</v>
      </c>
      <c r="G40" t="s">
        <v>975</v>
      </c>
      <c r="H40" t="s">
        <v>948</v>
      </c>
      <c r="I40" t="s">
        <v>1027</v>
      </c>
      <c r="J40" t="s">
        <v>1179</v>
      </c>
      <c r="K40" t="s">
        <v>1337</v>
      </c>
      <c r="L40" t="s">
        <v>968</v>
      </c>
      <c r="M40" t="s">
        <v>909</v>
      </c>
      <c r="N40" t="s">
        <v>1338</v>
      </c>
      <c r="O40" t="s">
        <v>1044</v>
      </c>
      <c r="P40" t="s">
        <v>1076</v>
      </c>
      <c r="Q40" t="s">
        <v>1339</v>
      </c>
      <c r="R40" t="s">
        <v>1340</v>
      </c>
      <c r="S40" t="s">
        <v>1043</v>
      </c>
      <c r="T40" t="s">
        <v>921</v>
      </c>
      <c r="U40" t="s">
        <v>1341</v>
      </c>
      <c r="V40" t="s">
        <v>1008</v>
      </c>
      <c r="W40" t="s">
        <v>1000</v>
      </c>
      <c r="X40" t="s">
        <v>919</v>
      </c>
      <c r="Y40" t="s">
        <v>1118</v>
      </c>
      <c r="Z40" t="s">
        <v>945</v>
      </c>
      <c r="AA40" t="s">
        <v>934</v>
      </c>
      <c r="AB40" t="s">
        <v>1030</v>
      </c>
      <c r="AC40" t="s">
        <v>947</v>
      </c>
      <c r="AD40" t="s">
        <v>1342</v>
      </c>
      <c r="AE40" t="s">
        <v>927</v>
      </c>
      <c r="AF40">
        <f t="shared" si="0"/>
        <v>23.3</v>
      </c>
      <c r="AG40">
        <f t="shared" si="1"/>
        <v>23.214100000000002</v>
      </c>
    </row>
    <row r="41" spans="1:33" x14ac:dyDescent="0.25">
      <c r="A41" t="s">
        <v>1176</v>
      </c>
      <c r="B41" t="s">
        <v>118</v>
      </c>
      <c r="C41" t="s">
        <v>1343</v>
      </c>
      <c r="D41" t="s">
        <v>79</v>
      </c>
      <c r="E41" t="s">
        <v>56</v>
      </c>
      <c r="F41" t="s">
        <v>1033</v>
      </c>
      <c r="G41" t="s">
        <v>1033</v>
      </c>
      <c r="H41" t="s">
        <v>1344</v>
      </c>
      <c r="I41" t="s">
        <v>1112</v>
      </c>
      <c r="J41" t="s">
        <v>1345</v>
      </c>
      <c r="K41" t="s">
        <v>1346</v>
      </c>
      <c r="L41" t="s">
        <v>1135</v>
      </c>
      <c r="M41" t="s">
        <v>1182</v>
      </c>
      <c r="N41" t="s">
        <v>1250</v>
      </c>
      <c r="O41" t="s">
        <v>1030</v>
      </c>
      <c r="P41" t="s">
        <v>915</v>
      </c>
      <c r="Q41" t="s">
        <v>1287</v>
      </c>
      <c r="R41" t="s">
        <v>1041</v>
      </c>
      <c r="S41" t="s">
        <v>921</v>
      </c>
      <c r="T41" t="s">
        <v>1118</v>
      </c>
      <c r="U41" t="s">
        <v>1335</v>
      </c>
      <c r="V41" t="s">
        <v>1008</v>
      </c>
      <c r="W41" t="s">
        <v>1005</v>
      </c>
      <c r="X41" t="s">
        <v>1079</v>
      </c>
      <c r="Y41" t="s">
        <v>1062</v>
      </c>
      <c r="Z41" t="s">
        <v>1310</v>
      </c>
      <c r="AA41" t="s">
        <v>1008</v>
      </c>
      <c r="AB41" t="s">
        <v>1170</v>
      </c>
      <c r="AC41" t="s">
        <v>908</v>
      </c>
      <c r="AD41" t="s">
        <v>1347</v>
      </c>
      <c r="AE41" t="s">
        <v>927</v>
      </c>
      <c r="AF41">
        <f t="shared" si="0"/>
        <v>22.799999999999997</v>
      </c>
      <c r="AG41">
        <f t="shared" si="1"/>
        <v>22.813799999999997</v>
      </c>
    </row>
    <row r="42" spans="1:33" x14ac:dyDescent="0.25">
      <c r="A42" t="s">
        <v>1204</v>
      </c>
      <c r="B42" t="s">
        <v>1348</v>
      </c>
      <c r="C42" t="s">
        <v>1015</v>
      </c>
      <c r="D42" t="s">
        <v>113</v>
      </c>
      <c r="E42" t="s">
        <v>47</v>
      </c>
      <c r="F42" t="s">
        <v>1349</v>
      </c>
      <c r="G42" t="s">
        <v>1349</v>
      </c>
      <c r="H42" t="s">
        <v>1188</v>
      </c>
      <c r="I42" t="s">
        <v>989</v>
      </c>
      <c r="J42" t="s">
        <v>1350</v>
      </c>
      <c r="K42" t="s">
        <v>1258</v>
      </c>
      <c r="L42" t="s">
        <v>968</v>
      </c>
      <c r="M42" t="s">
        <v>909</v>
      </c>
      <c r="N42" t="s">
        <v>1351</v>
      </c>
      <c r="O42" t="s">
        <v>921</v>
      </c>
      <c r="P42" t="s">
        <v>1076</v>
      </c>
      <c r="Q42" t="s">
        <v>1352</v>
      </c>
      <c r="R42" t="s">
        <v>1090</v>
      </c>
      <c r="S42" t="s">
        <v>1160</v>
      </c>
      <c r="T42" t="s">
        <v>1005</v>
      </c>
      <c r="U42" t="s">
        <v>1353</v>
      </c>
      <c r="V42" t="s">
        <v>1195</v>
      </c>
      <c r="W42" t="s">
        <v>1047</v>
      </c>
      <c r="X42" t="s">
        <v>1079</v>
      </c>
      <c r="Y42" t="s">
        <v>1047</v>
      </c>
      <c r="Z42" t="s">
        <v>945</v>
      </c>
      <c r="AA42" t="s">
        <v>1094</v>
      </c>
      <c r="AB42" t="s">
        <v>1012</v>
      </c>
      <c r="AC42" t="s">
        <v>924</v>
      </c>
      <c r="AD42" t="s">
        <v>1354</v>
      </c>
      <c r="AE42" t="s">
        <v>927</v>
      </c>
      <c r="AF42">
        <f t="shared" si="0"/>
        <v>22.099999999999998</v>
      </c>
      <c r="AG42">
        <f t="shared" si="1"/>
        <v>22.132800000000003</v>
      </c>
    </row>
    <row r="43" spans="1:33" x14ac:dyDescent="0.25">
      <c r="A43" t="s">
        <v>1355</v>
      </c>
      <c r="B43" t="s">
        <v>120</v>
      </c>
      <c r="C43" t="s">
        <v>1343</v>
      </c>
      <c r="D43" t="s">
        <v>121</v>
      </c>
      <c r="E43" t="s">
        <v>47</v>
      </c>
      <c r="F43" t="s">
        <v>1285</v>
      </c>
      <c r="G43" t="s">
        <v>1285</v>
      </c>
      <c r="H43" t="s">
        <v>1356</v>
      </c>
      <c r="I43" t="s">
        <v>1027</v>
      </c>
      <c r="J43" t="s">
        <v>1357</v>
      </c>
      <c r="K43" t="s">
        <v>1358</v>
      </c>
      <c r="L43" t="s">
        <v>1064</v>
      </c>
      <c r="M43" t="s">
        <v>970</v>
      </c>
      <c r="N43" t="s">
        <v>1359</v>
      </c>
      <c r="O43" t="s">
        <v>1023</v>
      </c>
      <c r="P43" t="s">
        <v>1360</v>
      </c>
      <c r="Q43" t="s">
        <v>1235</v>
      </c>
      <c r="R43" t="s">
        <v>1130</v>
      </c>
      <c r="S43" t="s">
        <v>1046</v>
      </c>
      <c r="T43" t="s">
        <v>909</v>
      </c>
      <c r="U43" t="s">
        <v>1361</v>
      </c>
      <c r="V43" t="s">
        <v>969</v>
      </c>
      <c r="W43" t="s">
        <v>1048</v>
      </c>
      <c r="X43" t="s">
        <v>1160</v>
      </c>
      <c r="Y43" t="s">
        <v>1103</v>
      </c>
      <c r="Z43" t="s">
        <v>987</v>
      </c>
      <c r="AA43" t="s">
        <v>991</v>
      </c>
      <c r="AB43" t="s">
        <v>1230</v>
      </c>
      <c r="AC43" t="s">
        <v>1049</v>
      </c>
      <c r="AD43" t="s">
        <v>1354</v>
      </c>
      <c r="AE43" t="s">
        <v>927</v>
      </c>
      <c r="AF43">
        <f t="shared" si="0"/>
        <v>22.200000000000003</v>
      </c>
      <c r="AG43">
        <f t="shared" si="1"/>
        <v>22.188299999999998</v>
      </c>
    </row>
    <row r="44" spans="1:33" x14ac:dyDescent="0.25">
      <c r="A44" t="s">
        <v>1164</v>
      </c>
      <c r="B44" t="s">
        <v>1362</v>
      </c>
      <c r="C44" t="s">
        <v>1293</v>
      </c>
      <c r="D44" t="s">
        <v>83</v>
      </c>
      <c r="E44" t="s">
        <v>47</v>
      </c>
      <c r="F44" t="s">
        <v>1222</v>
      </c>
      <c r="G44" t="s">
        <v>1222</v>
      </c>
      <c r="H44" t="s">
        <v>1363</v>
      </c>
      <c r="I44" t="s">
        <v>1152</v>
      </c>
      <c r="J44" t="s">
        <v>1109</v>
      </c>
      <c r="K44" t="s">
        <v>1364</v>
      </c>
      <c r="L44" t="s">
        <v>924</v>
      </c>
      <c r="M44" t="s">
        <v>921</v>
      </c>
      <c r="N44" t="s">
        <v>1365</v>
      </c>
      <c r="O44" t="s">
        <v>985</v>
      </c>
      <c r="P44" t="s">
        <v>1076</v>
      </c>
      <c r="Q44" t="s">
        <v>1308</v>
      </c>
      <c r="R44" t="s">
        <v>1022</v>
      </c>
      <c r="S44" t="s">
        <v>1012</v>
      </c>
      <c r="T44" t="s">
        <v>946</v>
      </c>
      <c r="U44" t="s">
        <v>1366</v>
      </c>
      <c r="V44" t="s">
        <v>918</v>
      </c>
      <c r="W44" t="s">
        <v>1211</v>
      </c>
      <c r="X44" t="s">
        <v>1092</v>
      </c>
      <c r="Y44" t="s">
        <v>962</v>
      </c>
      <c r="Z44" t="s">
        <v>918</v>
      </c>
      <c r="AA44" t="s">
        <v>969</v>
      </c>
      <c r="AB44" t="s">
        <v>1155</v>
      </c>
      <c r="AC44" t="s">
        <v>993</v>
      </c>
      <c r="AD44" t="s">
        <v>1354</v>
      </c>
      <c r="AE44" t="s">
        <v>927</v>
      </c>
      <c r="AF44">
        <f t="shared" si="0"/>
        <v>22.2</v>
      </c>
      <c r="AG44">
        <f t="shared" si="1"/>
        <v>22.270100000000003</v>
      </c>
    </row>
    <row r="45" spans="1:33" x14ac:dyDescent="0.25">
      <c r="A45" t="s">
        <v>1343</v>
      </c>
      <c r="B45" t="s">
        <v>155</v>
      </c>
      <c r="C45" t="s">
        <v>973</v>
      </c>
      <c r="D45" t="s">
        <v>156</v>
      </c>
      <c r="E45" t="s">
        <v>72</v>
      </c>
      <c r="F45" t="s">
        <v>1322</v>
      </c>
      <c r="G45" t="s">
        <v>1322</v>
      </c>
      <c r="H45" t="s">
        <v>1367</v>
      </c>
      <c r="I45" t="s">
        <v>1061</v>
      </c>
      <c r="J45" t="s">
        <v>1345</v>
      </c>
      <c r="K45" t="s">
        <v>1110</v>
      </c>
      <c r="L45" t="s">
        <v>956</v>
      </c>
      <c r="M45" t="s">
        <v>1043</v>
      </c>
      <c r="N45" t="s">
        <v>910</v>
      </c>
      <c r="O45" t="s">
        <v>1063</v>
      </c>
      <c r="P45" t="s">
        <v>1368</v>
      </c>
      <c r="Q45" t="s">
        <v>1369</v>
      </c>
      <c r="R45" t="s">
        <v>1370</v>
      </c>
      <c r="S45" t="s">
        <v>1081</v>
      </c>
      <c r="T45" t="s">
        <v>1329</v>
      </c>
      <c r="U45" t="s">
        <v>1371</v>
      </c>
      <c r="V45" t="s">
        <v>945</v>
      </c>
      <c r="W45" t="s">
        <v>1103</v>
      </c>
      <c r="X45" t="s">
        <v>1092</v>
      </c>
      <c r="Y45" t="s">
        <v>956</v>
      </c>
      <c r="Z45" t="s">
        <v>945</v>
      </c>
      <c r="AA45" t="s">
        <v>1310</v>
      </c>
      <c r="AB45" t="s">
        <v>908</v>
      </c>
      <c r="AC45" t="s">
        <v>979</v>
      </c>
      <c r="AD45" t="s">
        <v>1354</v>
      </c>
      <c r="AE45" t="s">
        <v>927</v>
      </c>
      <c r="AF45">
        <f t="shared" si="0"/>
        <v>22.2</v>
      </c>
      <c r="AG45">
        <f t="shared" si="1"/>
        <v>22.190100000000001</v>
      </c>
    </row>
    <row r="46" spans="1:33" x14ac:dyDescent="0.25">
      <c r="A46" t="s">
        <v>1068</v>
      </c>
      <c r="B46" t="s">
        <v>187</v>
      </c>
      <c r="C46" t="s">
        <v>1176</v>
      </c>
      <c r="D46" t="s">
        <v>79</v>
      </c>
      <c r="E46" t="s">
        <v>63</v>
      </c>
      <c r="F46" t="s">
        <v>1255</v>
      </c>
      <c r="G46" t="s">
        <v>1255</v>
      </c>
      <c r="H46" t="s">
        <v>1372</v>
      </c>
      <c r="I46" t="s">
        <v>1009</v>
      </c>
      <c r="J46" t="s">
        <v>1191</v>
      </c>
      <c r="K46" t="s">
        <v>1200</v>
      </c>
      <c r="L46" t="s">
        <v>1135</v>
      </c>
      <c r="M46" t="s">
        <v>1128</v>
      </c>
      <c r="N46" t="s">
        <v>1373</v>
      </c>
      <c r="O46" t="s">
        <v>1211</v>
      </c>
      <c r="P46" t="s">
        <v>1152</v>
      </c>
      <c r="Q46" t="s">
        <v>1307</v>
      </c>
      <c r="R46" t="s">
        <v>1374</v>
      </c>
      <c r="S46" t="s">
        <v>992</v>
      </c>
      <c r="T46" t="s">
        <v>1103</v>
      </c>
      <c r="U46" t="s">
        <v>1375</v>
      </c>
      <c r="V46" t="s">
        <v>991</v>
      </c>
      <c r="W46" t="s">
        <v>1104</v>
      </c>
      <c r="X46" t="s">
        <v>1048</v>
      </c>
      <c r="Y46" t="s">
        <v>908</v>
      </c>
      <c r="Z46" t="s">
        <v>945</v>
      </c>
      <c r="AA46" t="s">
        <v>934</v>
      </c>
      <c r="AB46" t="s">
        <v>968</v>
      </c>
      <c r="AC46" t="s">
        <v>1049</v>
      </c>
      <c r="AD46" t="s">
        <v>906</v>
      </c>
      <c r="AE46" t="s">
        <v>927</v>
      </c>
      <c r="AF46">
        <f t="shared" si="0"/>
        <v>21.8</v>
      </c>
      <c r="AG46">
        <f t="shared" si="1"/>
        <v>21.802200000000003</v>
      </c>
    </row>
    <row r="47" spans="1:33" x14ac:dyDescent="0.25">
      <c r="A47" t="s">
        <v>1376</v>
      </c>
      <c r="B47" t="s">
        <v>46</v>
      </c>
      <c r="C47" t="s">
        <v>1032</v>
      </c>
      <c r="D47" t="s">
        <v>48</v>
      </c>
      <c r="E47" t="s">
        <v>63</v>
      </c>
      <c r="F47" t="s">
        <v>1377</v>
      </c>
      <c r="G47" t="s">
        <v>1377</v>
      </c>
      <c r="H47" t="s">
        <v>1378</v>
      </c>
      <c r="I47" t="s">
        <v>989</v>
      </c>
      <c r="J47" t="s">
        <v>1197</v>
      </c>
      <c r="K47" t="s">
        <v>1200</v>
      </c>
      <c r="L47" t="s">
        <v>968</v>
      </c>
      <c r="M47" t="s">
        <v>1046</v>
      </c>
      <c r="N47" t="s">
        <v>1379</v>
      </c>
      <c r="O47" t="s">
        <v>921</v>
      </c>
      <c r="P47" t="s">
        <v>1380</v>
      </c>
      <c r="Q47" t="s">
        <v>1381</v>
      </c>
      <c r="R47" t="s">
        <v>1058</v>
      </c>
      <c r="S47" t="s">
        <v>1000</v>
      </c>
      <c r="T47" t="s">
        <v>1170</v>
      </c>
      <c r="U47" t="s">
        <v>1382</v>
      </c>
      <c r="V47" t="s">
        <v>918</v>
      </c>
      <c r="W47" t="s">
        <v>1047</v>
      </c>
      <c r="X47" t="s">
        <v>1043</v>
      </c>
      <c r="Y47" t="s">
        <v>1005</v>
      </c>
      <c r="Z47" t="s">
        <v>1029</v>
      </c>
      <c r="AA47" t="s">
        <v>1008</v>
      </c>
      <c r="AB47" t="s">
        <v>925</v>
      </c>
      <c r="AC47" t="s">
        <v>947</v>
      </c>
      <c r="AD47" t="s">
        <v>1383</v>
      </c>
      <c r="AE47" t="s">
        <v>927</v>
      </c>
      <c r="AF47">
        <f t="shared" si="0"/>
        <v>21.599999999999998</v>
      </c>
      <c r="AG47">
        <f t="shared" si="1"/>
        <v>21.5502</v>
      </c>
    </row>
    <row r="48" spans="1:33" x14ac:dyDescent="0.25">
      <c r="A48" t="s">
        <v>1384</v>
      </c>
      <c r="B48" t="s">
        <v>218</v>
      </c>
      <c r="C48" t="s">
        <v>1355</v>
      </c>
      <c r="D48" t="s">
        <v>79</v>
      </c>
      <c r="E48" t="s">
        <v>47</v>
      </c>
      <c r="F48" t="s">
        <v>1376</v>
      </c>
      <c r="G48" t="s">
        <v>1376</v>
      </c>
      <c r="H48" t="s">
        <v>1385</v>
      </c>
      <c r="I48" t="s">
        <v>1132</v>
      </c>
      <c r="J48" t="s">
        <v>1386</v>
      </c>
      <c r="K48" t="s">
        <v>1387</v>
      </c>
      <c r="L48" t="s">
        <v>908</v>
      </c>
      <c r="M48" t="s">
        <v>1005</v>
      </c>
      <c r="N48" t="s">
        <v>1266</v>
      </c>
      <c r="O48" t="s">
        <v>1044</v>
      </c>
      <c r="P48" t="s">
        <v>1207</v>
      </c>
      <c r="Q48" t="s">
        <v>984</v>
      </c>
      <c r="R48" t="s">
        <v>1192</v>
      </c>
      <c r="S48" t="s">
        <v>1012</v>
      </c>
      <c r="T48" t="s">
        <v>970</v>
      </c>
      <c r="U48" t="s">
        <v>1388</v>
      </c>
      <c r="V48" t="s">
        <v>918</v>
      </c>
      <c r="W48" t="s">
        <v>920</v>
      </c>
      <c r="X48" t="s">
        <v>1126</v>
      </c>
      <c r="Y48" t="s">
        <v>946</v>
      </c>
      <c r="Z48" t="s">
        <v>1029</v>
      </c>
      <c r="AA48" t="s">
        <v>1065</v>
      </c>
      <c r="AB48" t="s">
        <v>1049</v>
      </c>
      <c r="AC48" t="s">
        <v>1310</v>
      </c>
      <c r="AD48" t="s">
        <v>1389</v>
      </c>
      <c r="AE48" t="s">
        <v>927</v>
      </c>
      <c r="AF48">
        <f t="shared" si="0"/>
        <v>21.500000000000004</v>
      </c>
      <c r="AG48">
        <f t="shared" si="1"/>
        <v>21.503700000000002</v>
      </c>
    </row>
    <row r="49" spans="1:33" x14ac:dyDescent="0.25">
      <c r="A49" t="s">
        <v>1390</v>
      </c>
      <c r="B49" t="s">
        <v>1391</v>
      </c>
      <c r="C49" t="s">
        <v>1293</v>
      </c>
      <c r="D49" t="s">
        <v>148</v>
      </c>
      <c r="E49" t="s">
        <v>56</v>
      </c>
      <c r="F49" t="s">
        <v>930</v>
      </c>
      <c r="G49" t="s">
        <v>930</v>
      </c>
      <c r="H49" t="s">
        <v>1166</v>
      </c>
      <c r="I49" t="s">
        <v>915</v>
      </c>
      <c r="J49" t="s">
        <v>1392</v>
      </c>
      <c r="K49" t="s">
        <v>1268</v>
      </c>
      <c r="L49" t="s">
        <v>947</v>
      </c>
      <c r="M49" t="s">
        <v>1126</v>
      </c>
      <c r="N49" t="s">
        <v>1393</v>
      </c>
      <c r="O49" t="s">
        <v>1092</v>
      </c>
      <c r="P49" t="s">
        <v>1394</v>
      </c>
      <c r="Q49" t="s">
        <v>1395</v>
      </c>
      <c r="R49" t="s">
        <v>1396</v>
      </c>
      <c r="S49" t="s">
        <v>970</v>
      </c>
      <c r="T49" t="s">
        <v>1030</v>
      </c>
      <c r="U49" t="s">
        <v>1397</v>
      </c>
      <c r="V49" t="s">
        <v>1008</v>
      </c>
      <c r="W49" t="s">
        <v>1048</v>
      </c>
      <c r="X49" t="s">
        <v>1160</v>
      </c>
      <c r="Y49" t="s">
        <v>1063</v>
      </c>
      <c r="Z49" t="s">
        <v>1230</v>
      </c>
      <c r="AA49" t="s">
        <v>1065</v>
      </c>
      <c r="AB49" t="s">
        <v>908</v>
      </c>
      <c r="AC49" t="s">
        <v>1049</v>
      </c>
      <c r="AD49" t="s">
        <v>1398</v>
      </c>
      <c r="AE49" t="s">
        <v>927</v>
      </c>
      <c r="AF49">
        <f t="shared" si="0"/>
        <v>21.400000000000002</v>
      </c>
      <c r="AG49">
        <f t="shared" si="1"/>
        <v>21.423099999999998</v>
      </c>
    </row>
    <row r="50" spans="1:33" x14ac:dyDescent="0.25">
      <c r="A50" t="s">
        <v>1233</v>
      </c>
      <c r="B50" t="s">
        <v>82</v>
      </c>
      <c r="C50" t="s">
        <v>1084</v>
      </c>
      <c r="D50" t="s">
        <v>83</v>
      </c>
      <c r="E50" t="s">
        <v>47</v>
      </c>
      <c r="F50" t="s">
        <v>1399</v>
      </c>
      <c r="G50" t="s">
        <v>1177</v>
      </c>
      <c r="H50" t="s">
        <v>1097</v>
      </c>
      <c r="I50" t="s">
        <v>1026</v>
      </c>
      <c r="J50" t="s">
        <v>1191</v>
      </c>
      <c r="K50" t="s">
        <v>1337</v>
      </c>
      <c r="L50" t="s">
        <v>1135</v>
      </c>
      <c r="M50" t="s">
        <v>1010</v>
      </c>
      <c r="N50" t="s">
        <v>1400</v>
      </c>
      <c r="O50" t="s">
        <v>1081</v>
      </c>
      <c r="P50" t="s">
        <v>1009</v>
      </c>
      <c r="Q50" t="s">
        <v>1401</v>
      </c>
      <c r="R50" t="s">
        <v>1370</v>
      </c>
      <c r="S50" t="s">
        <v>1155</v>
      </c>
      <c r="T50" t="s">
        <v>1170</v>
      </c>
      <c r="U50" t="s">
        <v>1402</v>
      </c>
      <c r="V50" t="s">
        <v>918</v>
      </c>
      <c r="W50" t="s">
        <v>1081</v>
      </c>
      <c r="X50" t="s">
        <v>1005</v>
      </c>
      <c r="Y50" t="s">
        <v>979</v>
      </c>
      <c r="Z50" t="s">
        <v>1064</v>
      </c>
      <c r="AA50" t="s">
        <v>1008</v>
      </c>
      <c r="AB50" t="s">
        <v>1049</v>
      </c>
      <c r="AC50" t="s">
        <v>908</v>
      </c>
      <c r="AD50" t="s">
        <v>998</v>
      </c>
      <c r="AE50" t="s">
        <v>927</v>
      </c>
      <c r="AF50">
        <f t="shared" si="0"/>
        <v>21.2</v>
      </c>
      <c r="AG50">
        <f t="shared" si="1"/>
        <v>21.143000000000001</v>
      </c>
    </row>
    <row r="51" spans="1:33" x14ac:dyDescent="0.25">
      <c r="A51" t="s">
        <v>1403</v>
      </c>
      <c r="B51" t="s">
        <v>1404</v>
      </c>
      <c r="C51" t="s">
        <v>1084</v>
      </c>
      <c r="D51" t="s">
        <v>163</v>
      </c>
      <c r="E51" t="s">
        <v>47</v>
      </c>
      <c r="F51" t="s">
        <v>1165</v>
      </c>
      <c r="G51" t="s">
        <v>1165</v>
      </c>
      <c r="H51" t="s">
        <v>1224</v>
      </c>
      <c r="I51" t="s">
        <v>915</v>
      </c>
      <c r="J51" t="s">
        <v>1197</v>
      </c>
      <c r="K51" t="s">
        <v>1405</v>
      </c>
      <c r="L51" t="s">
        <v>968</v>
      </c>
      <c r="M51" t="s">
        <v>1043</v>
      </c>
      <c r="N51" t="s">
        <v>1406</v>
      </c>
      <c r="O51" t="s">
        <v>1059</v>
      </c>
      <c r="P51" t="s">
        <v>1207</v>
      </c>
      <c r="Q51" t="s">
        <v>983</v>
      </c>
      <c r="R51" t="s">
        <v>1339</v>
      </c>
      <c r="S51" t="s">
        <v>1000</v>
      </c>
      <c r="T51" t="s">
        <v>1329</v>
      </c>
      <c r="U51" t="s">
        <v>1407</v>
      </c>
      <c r="V51" t="s">
        <v>1064</v>
      </c>
      <c r="W51" t="s">
        <v>1043</v>
      </c>
      <c r="X51" t="s">
        <v>1044</v>
      </c>
      <c r="Y51" t="s">
        <v>1329</v>
      </c>
      <c r="Z51" t="s">
        <v>987</v>
      </c>
      <c r="AA51" t="s">
        <v>1094</v>
      </c>
      <c r="AB51" t="s">
        <v>1104</v>
      </c>
      <c r="AC51" t="s">
        <v>924</v>
      </c>
      <c r="AD51" t="s">
        <v>1408</v>
      </c>
      <c r="AE51" t="s">
        <v>927</v>
      </c>
      <c r="AF51">
        <f t="shared" si="0"/>
        <v>21</v>
      </c>
      <c r="AG51">
        <f t="shared" si="1"/>
        <v>21.077399999999997</v>
      </c>
    </row>
    <row r="52" spans="1:33" x14ac:dyDescent="0.25">
      <c r="A52" t="s">
        <v>1187</v>
      </c>
      <c r="B52" t="s">
        <v>1409</v>
      </c>
      <c r="C52" t="s">
        <v>1355</v>
      </c>
      <c r="D52" t="s">
        <v>83</v>
      </c>
      <c r="E52" t="s">
        <v>56</v>
      </c>
      <c r="F52" t="s">
        <v>1410</v>
      </c>
      <c r="G52" t="s">
        <v>1410</v>
      </c>
      <c r="H52" t="s">
        <v>926</v>
      </c>
      <c r="I52" t="s">
        <v>915</v>
      </c>
      <c r="J52" t="s">
        <v>1286</v>
      </c>
      <c r="K52" t="s">
        <v>1297</v>
      </c>
      <c r="L52" t="s">
        <v>946</v>
      </c>
      <c r="M52" t="s">
        <v>989</v>
      </c>
      <c r="N52" t="s">
        <v>1411</v>
      </c>
      <c r="O52" t="s">
        <v>1046</v>
      </c>
      <c r="P52" t="s">
        <v>943</v>
      </c>
      <c r="Q52" t="s">
        <v>1412</v>
      </c>
      <c r="R52" t="s">
        <v>1022</v>
      </c>
      <c r="S52" t="s">
        <v>925</v>
      </c>
      <c r="T52" t="s">
        <v>946</v>
      </c>
      <c r="U52" t="s">
        <v>1413</v>
      </c>
      <c r="V52" t="s">
        <v>987</v>
      </c>
      <c r="W52" t="s">
        <v>1135</v>
      </c>
      <c r="X52" t="s">
        <v>1155</v>
      </c>
      <c r="Y52" t="s">
        <v>919</v>
      </c>
      <c r="Z52" t="s">
        <v>987</v>
      </c>
      <c r="AA52" t="s">
        <v>991</v>
      </c>
      <c r="AB52" t="s">
        <v>1049</v>
      </c>
      <c r="AC52" t="s">
        <v>925</v>
      </c>
      <c r="AD52" t="s">
        <v>1408</v>
      </c>
      <c r="AE52" t="s">
        <v>927</v>
      </c>
      <c r="AF52">
        <f t="shared" si="0"/>
        <v>21.1</v>
      </c>
      <c r="AG52">
        <f t="shared" si="1"/>
        <v>21.195499999999999</v>
      </c>
    </row>
    <row r="53" spans="1:33" x14ac:dyDescent="0.25">
      <c r="A53" t="s">
        <v>1414</v>
      </c>
      <c r="B53" t="s">
        <v>1415</v>
      </c>
      <c r="C53" t="s">
        <v>995</v>
      </c>
      <c r="D53" t="s">
        <v>65</v>
      </c>
      <c r="E53" t="s">
        <v>63</v>
      </c>
      <c r="F53" t="s">
        <v>1416</v>
      </c>
      <c r="G53" t="s">
        <v>1416</v>
      </c>
      <c r="H53" t="s">
        <v>1417</v>
      </c>
      <c r="I53" t="s">
        <v>988</v>
      </c>
      <c r="J53" t="s">
        <v>1418</v>
      </c>
      <c r="K53" t="s">
        <v>1419</v>
      </c>
      <c r="L53" t="s">
        <v>964</v>
      </c>
      <c r="M53" t="s">
        <v>1027</v>
      </c>
      <c r="N53" t="s">
        <v>1001</v>
      </c>
      <c r="O53" t="s">
        <v>1211</v>
      </c>
      <c r="P53" t="s">
        <v>1072</v>
      </c>
      <c r="Q53" t="s">
        <v>1420</v>
      </c>
      <c r="R53" t="s">
        <v>1412</v>
      </c>
      <c r="S53" t="s">
        <v>970</v>
      </c>
      <c r="T53" t="s">
        <v>919</v>
      </c>
      <c r="U53" t="s">
        <v>1421</v>
      </c>
      <c r="V53" t="s">
        <v>1065</v>
      </c>
      <c r="W53" t="s">
        <v>1228</v>
      </c>
      <c r="X53" t="s">
        <v>1211</v>
      </c>
      <c r="Y53" t="s">
        <v>1000</v>
      </c>
      <c r="Z53" t="s">
        <v>918</v>
      </c>
      <c r="AA53" t="s">
        <v>1094</v>
      </c>
      <c r="AB53" t="s">
        <v>993</v>
      </c>
      <c r="AC53" t="s">
        <v>1310</v>
      </c>
      <c r="AD53" t="s">
        <v>1087</v>
      </c>
      <c r="AE53" t="s">
        <v>927</v>
      </c>
      <c r="AF53">
        <f t="shared" si="0"/>
        <v>21</v>
      </c>
      <c r="AG53">
        <f t="shared" si="1"/>
        <v>20.997099999999996</v>
      </c>
    </row>
    <row r="54" spans="1:33" x14ac:dyDescent="0.25">
      <c r="A54" t="s">
        <v>1422</v>
      </c>
      <c r="B54" t="s">
        <v>1423</v>
      </c>
      <c r="C54" t="s">
        <v>995</v>
      </c>
      <c r="D54" t="s">
        <v>1149</v>
      </c>
      <c r="E54" t="s">
        <v>47</v>
      </c>
      <c r="F54" t="s">
        <v>1293</v>
      </c>
      <c r="G54" t="s">
        <v>1293</v>
      </c>
      <c r="H54" t="s">
        <v>904</v>
      </c>
      <c r="I54" t="s">
        <v>1118</v>
      </c>
      <c r="J54" t="s">
        <v>1281</v>
      </c>
      <c r="K54" t="s">
        <v>1424</v>
      </c>
      <c r="L54" t="s">
        <v>1160</v>
      </c>
      <c r="M54" t="s">
        <v>982</v>
      </c>
      <c r="N54" t="s">
        <v>1425</v>
      </c>
      <c r="O54" t="s">
        <v>979</v>
      </c>
      <c r="P54" t="s">
        <v>1118</v>
      </c>
      <c r="Q54" t="s">
        <v>1426</v>
      </c>
      <c r="R54" t="s">
        <v>1130</v>
      </c>
      <c r="S54" t="s">
        <v>993</v>
      </c>
      <c r="T54" t="s">
        <v>964</v>
      </c>
      <c r="U54" t="s">
        <v>1427</v>
      </c>
      <c r="V54" t="s">
        <v>918</v>
      </c>
      <c r="W54" t="s">
        <v>1160</v>
      </c>
      <c r="X54" t="s">
        <v>1046</v>
      </c>
      <c r="Y54" t="s">
        <v>992</v>
      </c>
      <c r="Z54" t="s">
        <v>1064</v>
      </c>
      <c r="AA54" t="s">
        <v>1008</v>
      </c>
      <c r="AB54" t="s">
        <v>1104</v>
      </c>
      <c r="AC54" t="s">
        <v>1220</v>
      </c>
      <c r="AD54" t="s">
        <v>1087</v>
      </c>
      <c r="AE54" t="s">
        <v>927</v>
      </c>
      <c r="AF54">
        <f t="shared" si="0"/>
        <v>21</v>
      </c>
      <c r="AG54">
        <f t="shared" si="1"/>
        <v>21.040399999999998</v>
      </c>
    </row>
    <row r="55" spans="1:33" x14ac:dyDescent="0.25">
      <c r="A55" t="s">
        <v>1312</v>
      </c>
      <c r="B55" t="s">
        <v>476</v>
      </c>
      <c r="C55" t="s">
        <v>973</v>
      </c>
      <c r="D55" t="s">
        <v>85</v>
      </c>
      <c r="E55" t="s">
        <v>56</v>
      </c>
      <c r="F55" t="s">
        <v>1138</v>
      </c>
      <c r="G55" t="s">
        <v>1138</v>
      </c>
      <c r="H55" t="s">
        <v>1428</v>
      </c>
      <c r="I55" t="s">
        <v>988</v>
      </c>
      <c r="J55" t="s">
        <v>1429</v>
      </c>
      <c r="K55" t="s">
        <v>1287</v>
      </c>
      <c r="L55" t="s">
        <v>1104</v>
      </c>
      <c r="M55" t="s">
        <v>1128</v>
      </c>
      <c r="N55" t="s">
        <v>1206</v>
      </c>
      <c r="O55" t="s">
        <v>1211</v>
      </c>
      <c r="P55" t="s">
        <v>1152</v>
      </c>
      <c r="Q55" t="s">
        <v>1022</v>
      </c>
      <c r="R55" t="s">
        <v>1324</v>
      </c>
      <c r="S55" t="s">
        <v>1135</v>
      </c>
      <c r="T55" t="s">
        <v>1000</v>
      </c>
      <c r="U55" t="s">
        <v>1290</v>
      </c>
      <c r="V55" t="s">
        <v>969</v>
      </c>
      <c r="W55" t="s">
        <v>925</v>
      </c>
      <c r="X55" t="s">
        <v>964</v>
      </c>
      <c r="Y55" t="s">
        <v>1112</v>
      </c>
      <c r="Z55" t="s">
        <v>945</v>
      </c>
      <c r="AA55" t="s">
        <v>1119</v>
      </c>
      <c r="AB55" t="s">
        <v>993</v>
      </c>
      <c r="AC55" t="s">
        <v>1049</v>
      </c>
      <c r="AD55" t="s">
        <v>1430</v>
      </c>
      <c r="AE55" t="s">
        <v>927</v>
      </c>
      <c r="AF55">
        <f t="shared" si="0"/>
        <v>20.6</v>
      </c>
      <c r="AG55">
        <f t="shared" si="1"/>
        <v>20.642499999999998</v>
      </c>
    </row>
    <row r="56" spans="1:33" x14ac:dyDescent="0.25">
      <c r="A56" t="s">
        <v>1123</v>
      </c>
      <c r="B56" t="s">
        <v>91</v>
      </c>
      <c r="C56" t="s">
        <v>973</v>
      </c>
      <c r="D56" t="s">
        <v>77</v>
      </c>
      <c r="E56" t="s">
        <v>63</v>
      </c>
      <c r="F56" t="s">
        <v>1431</v>
      </c>
      <c r="G56" t="s">
        <v>1431</v>
      </c>
      <c r="H56" t="s">
        <v>1432</v>
      </c>
      <c r="I56" t="s">
        <v>1112</v>
      </c>
      <c r="J56" t="s">
        <v>1433</v>
      </c>
      <c r="K56" t="s">
        <v>1434</v>
      </c>
      <c r="L56" t="s">
        <v>979</v>
      </c>
      <c r="M56" t="s">
        <v>1035</v>
      </c>
      <c r="N56" t="s">
        <v>1435</v>
      </c>
      <c r="O56" t="s">
        <v>970</v>
      </c>
      <c r="P56" t="s">
        <v>921</v>
      </c>
      <c r="Q56" t="s">
        <v>1436</v>
      </c>
      <c r="R56" t="s">
        <v>1004</v>
      </c>
      <c r="S56" t="s">
        <v>992</v>
      </c>
      <c r="T56" t="s">
        <v>1228</v>
      </c>
      <c r="U56" t="s">
        <v>1437</v>
      </c>
      <c r="V56" t="s">
        <v>1065</v>
      </c>
      <c r="W56" t="s">
        <v>993</v>
      </c>
      <c r="X56" t="s">
        <v>1135</v>
      </c>
      <c r="Y56" t="s">
        <v>1047</v>
      </c>
      <c r="Z56" t="s">
        <v>1195</v>
      </c>
      <c r="AA56" t="s">
        <v>991</v>
      </c>
      <c r="AB56" t="s">
        <v>1135</v>
      </c>
      <c r="AC56" t="s">
        <v>1135</v>
      </c>
      <c r="AD56" t="s">
        <v>977</v>
      </c>
      <c r="AE56" t="s">
        <v>927</v>
      </c>
      <c r="AF56">
        <f t="shared" si="0"/>
        <v>20.5</v>
      </c>
      <c r="AG56">
        <f t="shared" si="1"/>
        <v>20.3794</v>
      </c>
    </row>
    <row r="57" spans="1:33" x14ac:dyDescent="0.25">
      <c r="A57" t="s">
        <v>1150</v>
      </c>
      <c r="B57" t="s">
        <v>130</v>
      </c>
      <c r="C57" t="s">
        <v>1084</v>
      </c>
      <c r="D57" t="s">
        <v>131</v>
      </c>
      <c r="E57" t="s">
        <v>63</v>
      </c>
      <c r="F57" t="s">
        <v>1322</v>
      </c>
      <c r="G57" t="s">
        <v>1438</v>
      </c>
      <c r="H57" t="s">
        <v>1363</v>
      </c>
      <c r="I57" t="s">
        <v>1116</v>
      </c>
      <c r="J57" t="s">
        <v>1439</v>
      </c>
      <c r="K57" t="s">
        <v>1440</v>
      </c>
      <c r="L57" t="s">
        <v>964</v>
      </c>
      <c r="M57" t="s">
        <v>915</v>
      </c>
      <c r="N57" t="s">
        <v>1441</v>
      </c>
      <c r="O57" t="s">
        <v>1160</v>
      </c>
      <c r="P57" t="s">
        <v>1118</v>
      </c>
      <c r="Q57" t="s">
        <v>1004</v>
      </c>
      <c r="R57" t="s">
        <v>1442</v>
      </c>
      <c r="S57" t="s">
        <v>1030</v>
      </c>
      <c r="T57" t="s">
        <v>919</v>
      </c>
      <c r="U57" t="s">
        <v>1443</v>
      </c>
      <c r="V57" t="s">
        <v>1094</v>
      </c>
      <c r="W57" t="s">
        <v>1000</v>
      </c>
      <c r="X57" t="s">
        <v>1030</v>
      </c>
      <c r="Y57" t="s">
        <v>1047</v>
      </c>
      <c r="Z57" t="s">
        <v>918</v>
      </c>
      <c r="AA57" t="s">
        <v>934</v>
      </c>
      <c r="AB57" t="s">
        <v>924</v>
      </c>
      <c r="AC57" t="s">
        <v>908</v>
      </c>
      <c r="AD57" t="s">
        <v>1036</v>
      </c>
      <c r="AE57" t="s">
        <v>927</v>
      </c>
      <c r="AF57">
        <f t="shared" si="0"/>
        <v>20.399999999999999</v>
      </c>
      <c r="AG57">
        <f t="shared" si="1"/>
        <v>20.300799999999999</v>
      </c>
    </row>
    <row r="58" spans="1:33" x14ac:dyDescent="0.25">
      <c r="A58" t="s">
        <v>874</v>
      </c>
      <c r="B58" t="s">
        <v>171</v>
      </c>
      <c r="C58" t="s">
        <v>875</v>
      </c>
      <c r="D58" t="s">
        <v>172</v>
      </c>
      <c r="E58" t="s">
        <v>876</v>
      </c>
      <c r="F58" t="s">
        <v>392</v>
      </c>
      <c r="G58" t="s">
        <v>877</v>
      </c>
      <c r="H58" t="s">
        <v>878</v>
      </c>
      <c r="I58" t="s">
        <v>879</v>
      </c>
      <c r="J58" t="s">
        <v>880</v>
      </c>
      <c r="K58" t="s">
        <v>881</v>
      </c>
      <c r="L58" t="s">
        <v>882</v>
      </c>
      <c r="M58" t="s">
        <v>883</v>
      </c>
      <c r="N58" t="s">
        <v>884</v>
      </c>
      <c r="O58" t="s">
        <v>885</v>
      </c>
      <c r="P58" t="s">
        <v>886</v>
      </c>
      <c r="Q58" t="s">
        <v>887</v>
      </c>
      <c r="R58" t="s">
        <v>888</v>
      </c>
      <c r="S58" t="s">
        <v>889</v>
      </c>
      <c r="T58" t="s">
        <v>890</v>
      </c>
      <c r="U58" t="s">
        <v>891</v>
      </c>
      <c r="V58" t="s">
        <v>892</v>
      </c>
      <c r="W58" t="s">
        <v>893</v>
      </c>
      <c r="X58" t="s">
        <v>894</v>
      </c>
      <c r="Y58" t="s">
        <v>895</v>
      </c>
      <c r="Z58" t="s">
        <v>896</v>
      </c>
      <c r="AA58" t="s">
        <v>897</v>
      </c>
      <c r="AB58" t="s">
        <v>898</v>
      </c>
      <c r="AC58" t="s">
        <v>93</v>
      </c>
      <c r="AD58" t="s">
        <v>899</v>
      </c>
      <c r="AE58" t="s">
        <v>900</v>
      </c>
      <c r="AF58" t="e">
        <f t="shared" si="0"/>
        <v>#VALUE!</v>
      </c>
      <c r="AG58" t="e">
        <f t="shared" si="1"/>
        <v>#VALUE!</v>
      </c>
    </row>
    <row r="59" spans="1:33" x14ac:dyDescent="0.25">
      <c r="A59" t="s">
        <v>1444</v>
      </c>
      <c r="B59" t="s">
        <v>1445</v>
      </c>
      <c r="C59" t="s">
        <v>902</v>
      </c>
      <c r="D59" t="s">
        <v>1149</v>
      </c>
      <c r="E59" t="s">
        <v>93</v>
      </c>
      <c r="F59" t="s">
        <v>1446</v>
      </c>
      <c r="G59" t="s">
        <v>1446</v>
      </c>
      <c r="H59" t="s">
        <v>1447</v>
      </c>
      <c r="I59" t="s">
        <v>1118</v>
      </c>
      <c r="J59" t="s">
        <v>1357</v>
      </c>
      <c r="K59" t="s">
        <v>1448</v>
      </c>
      <c r="L59" t="s">
        <v>925</v>
      </c>
      <c r="M59" t="s">
        <v>1023</v>
      </c>
      <c r="N59" t="s">
        <v>1449</v>
      </c>
      <c r="O59" t="s">
        <v>1005</v>
      </c>
      <c r="P59" t="s">
        <v>1450</v>
      </c>
      <c r="Q59" t="s">
        <v>1235</v>
      </c>
      <c r="R59" t="s">
        <v>1451</v>
      </c>
      <c r="S59" t="s">
        <v>979</v>
      </c>
      <c r="T59" t="s">
        <v>1228</v>
      </c>
      <c r="U59" t="s">
        <v>1452</v>
      </c>
      <c r="V59" t="s">
        <v>1064</v>
      </c>
      <c r="W59" t="s">
        <v>921</v>
      </c>
      <c r="X59" t="s">
        <v>1028</v>
      </c>
      <c r="Y59" t="s">
        <v>1160</v>
      </c>
      <c r="Z59" t="s">
        <v>1008</v>
      </c>
      <c r="AA59" t="s">
        <v>1008</v>
      </c>
      <c r="AB59" t="s">
        <v>908</v>
      </c>
      <c r="AC59" t="s">
        <v>1310</v>
      </c>
      <c r="AD59" t="s">
        <v>1054</v>
      </c>
      <c r="AE59" t="s">
        <v>927</v>
      </c>
      <c r="AF59">
        <f t="shared" si="0"/>
        <v>20.3</v>
      </c>
      <c r="AG59">
        <f t="shared" si="1"/>
        <v>20.312999999999999</v>
      </c>
    </row>
    <row r="60" spans="1:33" x14ac:dyDescent="0.25">
      <c r="A60" t="s">
        <v>1453</v>
      </c>
      <c r="B60" t="s">
        <v>304</v>
      </c>
      <c r="C60" t="s">
        <v>902</v>
      </c>
      <c r="D60" t="s">
        <v>1014</v>
      </c>
      <c r="E60" t="s">
        <v>63</v>
      </c>
      <c r="F60" t="s">
        <v>1438</v>
      </c>
      <c r="G60" t="s">
        <v>1438</v>
      </c>
      <c r="H60" t="s">
        <v>1234</v>
      </c>
      <c r="I60" t="s">
        <v>940</v>
      </c>
      <c r="J60" t="s">
        <v>1454</v>
      </c>
      <c r="K60" t="s">
        <v>1455</v>
      </c>
      <c r="L60" t="s">
        <v>1220</v>
      </c>
      <c r="M60" t="s">
        <v>1118</v>
      </c>
      <c r="N60" t="s">
        <v>1456</v>
      </c>
      <c r="O60" t="s">
        <v>1155</v>
      </c>
      <c r="P60" t="s">
        <v>1116</v>
      </c>
      <c r="Q60" t="s">
        <v>1042</v>
      </c>
      <c r="R60" t="s">
        <v>1401</v>
      </c>
      <c r="S60" t="s">
        <v>1103</v>
      </c>
      <c r="T60" t="s">
        <v>920</v>
      </c>
      <c r="U60" t="s">
        <v>1457</v>
      </c>
      <c r="V60" t="s">
        <v>987</v>
      </c>
      <c r="W60" t="s">
        <v>1030</v>
      </c>
      <c r="X60" t="s">
        <v>1047</v>
      </c>
      <c r="Y60" t="s">
        <v>1079</v>
      </c>
      <c r="Z60" t="s">
        <v>1064</v>
      </c>
      <c r="AA60" t="s">
        <v>1094</v>
      </c>
      <c r="AB60" t="s">
        <v>924</v>
      </c>
      <c r="AC60" t="s">
        <v>908</v>
      </c>
      <c r="AD60" t="s">
        <v>1458</v>
      </c>
      <c r="AE60" t="s">
        <v>927</v>
      </c>
      <c r="AF60">
        <f t="shared" si="0"/>
        <v>20.100000000000001</v>
      </c>
      <c r="AG60">
        <f t="shared" si="1"/>
        <v>20.189900000000002</v>
      </c>
    </row>
    <row r="61" spans="1:33" x14ac:dyDescent="0.25">
      <c r="A61" t="s">
        <v>975</v>
      </c>
      <c r="B61" t="s">
        <v>280</v>
      </c>
      <c r="C61" t="s">
        <v>929</v>
      </c>
      <c r="D61" t="s">
        <v>170</v>
      </c>
      <c r="E61" t="s">
        <v>93</v>
      </c>
      <c r="F61" t="s">
        <v>1459</v>
      </c>
      <c r="G61" t="s">
        <v>1459</v>
      </c>
      <c r="H61" t="s">
        <v>926</v>
      </c>
      <c r="I61" t="s">
        <v>915</v>
      </c>
      <c r="J61" t="s">
        <v>1460</v>
      </c>
      <c r="K61" t="s">
        <v>907</v>
      </c>
      <c r="L61" t="s">
        <v>1029</v>
      </c>
      <c r="M61" t="s">
        <v>1081</v>
      </c>
      <c r="N61" t="s">
        <v>1461</v>
      </c>
      <c r="O61" t="s">
        <v>985</v>
      </c>
      <c r="P61" t="s">
        <v>1253</v>
      </c>
      <c r="Q61" t="s">
        <v>1462</v>
      </c>
      <c r="R61" t="s">
        <v>1227</v>
      </c>
      <c r="S61" t="s">
        <v>964</v>
      </c>
      <c r="T61" t="s">
        <v>1160</v>
      </c>
      <c r="U61" t="s">
        <v>1463</v>
      </c>
      <c r="V61" t="s">
        <v>922</v>
      </c>
      <c r="W61" t="s">
        <v>962</v>
      </c>
      <c r="X61" t="s">
        <v>1116</v>
      </c>
      <c r="Y61" t="s">
        <v>1000</v>
      </c>
      <c r="Z61" t="s">
        <v>918</v>
      </c>
      <c r="AA61" t="s">
        <v>1065</v>
      </c>
      <c r="AB61" t="s">
        <v>1230</v>
      </c>
      <c r="AC61" t="s">
        <v>924</v>
      </c>
      <c r="AD61" t="s">
        <v>1458</v>
      </c>
      <c r="AE61" t="s">
        <v>927</v>
      </c>
      <c r="AF61">
        <f t="shared" si="0"/>
        <v>20.3</v>
      </c>
      <c r="AG61">
        <f t="shared" si="1"/>
        <v>20.259999999999998</v>
      </c>
    </row>
    <row r="62" spans="1:33" x14ac:dyDescent="0.25">
      <c r="A62" t="s">
        <v>1177</v>
      </c>
      <c r="B62" t="s">
        <v>1464</v>
      </c>
      <c r="C62" t="s">
        <v>950</v>
      </c>
      <c r="D62" t="s">
        <v>113</v>
      </c>
      <c r="E62" t="s">
        <v>72</v>
      </c>
      <c r="F62" t="s">
        <v>1187</v>
      </c>
      <c r="G62" t="s">
        <v>1187</v>
      </c>
      <c r="H62" t="s">
        <v>1465</v>
      </c>
      <c r="I62" t="s">
        <v>1006</v>
      </c>
      <c r="J62" t="s">
        <v>1360</v>
      </c>
      <c r="K62" t="s">
        <v>1466</v>
      </c>
      <c r="L62" t="s">
        <v>993</v>
      </c>
      <c r="M62" t="s">
        <v>1063</v>
      </c>
      <c r="N62" t="s">
        <v>1467</v>
      </c>
      <c r="O62" t="s">
        <v>919</v>
      </c>
      <c r="P62" t="s">
        <v>990</v>
      </c>
      <c r="Q62" t="s">
        <v>1058</v>
      </c>
      <c r="R62" t="s">
        <v>1227</v>
      </c>
      <c r="S62" t="s">
        <v>1155</v>
      </c>
      <c r="T62" t="s">
        <v>957</v>
      </c>
      <c r="U62" t="s">
        <v>1468</v>
      </c>
      <c r="V62" t="s">
        <v>1029</v>
      </c>
      <c r="W62" t="s">
        <v>1005</v>
      </c>
      <c r="X62" t="s">
        <v>1172</v>
      </c>
      <c r="Y62" t="s">
        <v>908</v>
      </c>
      <c r="Z62" t="s">
        <v>1008</v>
      </c>
      <c r="AA62" t="s">
        <v>1310</v>
      </c>
      <c r="AB62" t="s">
        <v>1195</v>
      </c>
      <c r="AC62" t="s">
        <v>1104</v>
      </c>
      <c r="AD62" t="s">
        <v>954</v>
      </c>
      <c r="AE62" t="s">
        <v>927</v>
      </c>
      <c r="AF62">
        <f t="shared" si="0"/>
        <v>19.5</v>
      </c>
      <c r="AG62">
        <f t="shared" si="1"/>
        <v>19.488099999999999</v>
      </c>
    </row>
    <row r="63" spans="1:33" x14ac:dyDescent="0.25">
      <c r="A63" t="s">
        <v>1085</v>
      </c>
      <c r="B63" t="s">
        <v>162</v>
      </c>
      <c r="C63" t="s">
        <v>1032</v>
      </c>
      <c r="D63" t="s">
        <v>163</v>
      </c>
      <c r="E63" t="s">
        <v>93</v>
      </c>
      <c r="F63" t="s">
        <v>1107</v>
      </c>
      <c r="G63" t="s">
        <v>1107</v>
      </c>
      <c r="H63" t="s">
        <v>1469</v>
      </c>
      <c r="I63" t="s">
        <v>1118</v>
      </c>
      <c r="J63" t="s">
        <v>1345</v>
      </c>
      <c r="K63" t="s">
        <v>1319</v>
      </c>
      <c r="L63" t="s">
        <v>945</v>
      </c>
      <c r="M63" t="s">
        <v>1170</v>
      </c>
      <c r="N63" t="s">
        <v>1470</v>
      </c>
      <c r="O63" t="s">
        <v>1059</v>
      </c>
      <c r="P63" t="s">
        <v>1380</v>
      </c>
      <c r="Q63" t="s">
        <v>1471</v>
      </c>
      <c r="R63" t="s">
        <v>1420</v>
      </c>
      <c r="S63" t="s">
        <v>979</v>
      </c>
      <c r="T63" t="s">
        <v>1211</v>
      </c>
      <c r="U63" t="s">
        <v>1472</v>
      </c>
      <c r="V63" t="s">
        <v>922</v>
      </c>
      <c r="W63" t="s">
        <v>1063</v>
      </c>
      <c r="X63" t="s">
        <v>990</v>
      </c>
      <c r="Y63" t="s">
        <v>1079</v>
      </c>
      <c r="Z63" t="s">
        <v>1230</v>
      </c>
      <c r="AA63" t="s">
        <v>923</v>
      </c>
      <c r="AB63" t="s">
        <v>1104</v>
      </c>
      <c r="AC63" t="s">
        <v>922</v>
      </c>
      <c r="AD63" t="s">
        <v>1473</v>
      </c>
      <c r="AE63" t="s">
        <v>927</v>
      </c>
      <c r="AF63">
        <f t="shared" si="0"/>
        <v>19.299999999999997</v>
      </c>
      <c r="AG63">
        <f t="shared" si="1"/>
        <v>19.262499999999996</v>
      </c>
    </row>
    <row r="64" spans="1:33" x14ac:dyDescent="0.25">
      <c r="A64" t="s">
        <v>1399</v>
      </c>
      <c r="B64" t="s">
        <v>94</v>
      </c>
      <c r="C64" t="s">
        <v>973</v>
      </c>
      <c r="D64" t="s">
        <v>95</v>
      </c>
      <c r="E64" t="s">
        <v>63</v>
      </c>
      <c r="F64" t="s">
        <v>951</v>
      </c>
      <c r="G64" t="s">
        <v>951</v>
      </c>
      <c r="H64" t="s">
        <v>926</v>
      </c>
      <c r="I64" t="s">
        <v>1172</v>
      </c>
      <c r="J64" t="s">
        <v>912</v>
      </c>
      <c r="K64" t="s">
        <v>1474</v>
      </c>
      <c r="L64" t="s">
        <v>946</v>
      </c>
      <c r="M64" t="s">
        <v>1182</v>
      </c>
      <c r="N64" t="s">
        <v>1475</v>
      </c>
      <c r="O64" t="s">
        <v>1155</v>
      </c>
      <c r="P64" t="s">
        <v>1009</v>
      </c>
      <c r="Q64" t="s">
        <v>1476</v>
      </c>
      <c r="R64" t="s">
        <v>1101</v>
      </c>
      <c r="S64" t="s">
        <v>993</v>
      </c>
      <c r="T64" t="s">
        <v>1104</v>
      </c>
      <c r="U64" t="s">
        <v>1443</v>
      </c>
      <c r="V64" t="s">
        <v>991</v>
      </c>
      <c r="W64" t="s">
        <v>947</v>
      </c>
      <c r="X64" t="s">
        <v>1220</v>
      </c>
      <c r="Y64" t="s">
        <v>1134</v>
      </c>
      <c r="Z64" t="s">
        <v>918</v>
      </c>
      <c r="AA64" t="s">
        <v>1119</v>
      </c>
      <c r="AB64" t="s">
        <v>956</v>
      </c>
      <c r="AC64" t="s">
        <v>922</v>
      </c>
      <c r="AD64" t="s">
        <v>1473</v>
      </c>
      <c r="AE64" t="s">
        <v>927</v>
      </c>
      <c r="AF64">
        <f t="shared" si="0"/>
        <v>19.2</v>
      </c>
      <c r="AG64">
        <f t="shared" si="1"/>
        <v>19.321300000000001</v>
      </c>
    </row>
    <row r="65" spans="1:33" x14ac:dyDescent="0.25">
      <c r="A65" t="s">
        <v>1477</v>
      </c>
      <c r="B65" t="s">
        <v>194</v>
      </c>
      <c r="C65" t="s">
        <v>902</v>
      </c>
      <c r="D65" t="s">
        <v>156</v>
      </c>
      <c r="E65" t="s">
        <v>63</v>
      </c>
      <c r="F65" t="s">
        <v>1377</v>
      </c>
      <c r="G65" t="s">
        <v>1431</v>
      </c>
      <c r="H65" t="s">
        <v>1151</v>
      </c>
      <c r="I65" t="s">
        <v>1128</v>
      </c>
      <c r="J65" t="s">
        <v>960</v>
      </c>
      <c r="K65" t="s">
        <v>1200</v>
      </c>
      <c r="L65" t="s">
        <v>924</v>
      </c>
      <c r="M65" t="s">
        <v>1059</v>
      </c>
      <c r="N65" t="s">
        <v>1478</v>
      </c>
      <c r="O65" t="s">
        <v>1134</v>
      </c>
      <c r="P65" t="s">
        <v>1062</v>
      </c>
      <c r="Q65" t="s">
        <v>1370</v>
      </c>
      <c r="R65" t="s">
        <v>1288</v>
      </c>
      <c r="S65" t="s">
        <v>1012</v>
      </c>
      <c r="T65" t="s">
        <v>964</v>
      </c>
      <c r="U65" t="s">
        <v>1145</v>
      </c>
      <c r="V65" t="s">
        <v>918</v>
      </c>
      <c r="W65" t="s">
        <v>962</v>
      </c>
      <c r="X65" t="s">
        <v>1059</v>
      </c>
      <c r="Y65" t="s">
        <v>1043</v>
      </c>
      <c r="Z65" t="s">
        <v>945</v>
      </c>
      <c r="AA65" t="s">
        <v>991</v>
      </c>
      <c r="AB65" t="s">
        <v>924</v>
      </c>
      <c r="AC65" t="s">
        <v>924</v>
      </c>
      <c r="AD65" t="s">
        <v>1479</v>
      </c>
      <c r="AE65" t="s">
        <v>927</v>
      </c>
      <c r="AF65">
        <f t="shared" si="0"/>
        <v>19.2</v>
      </c>
      <c r="AG65">
        <f t="shared" si="1"/>
        <v>19.301400000000005</v>
      </c>
    </row>
    <row r="66" spans="1:33" x14ac:dyDescent="0.25">
      <c r="A66" t="s">
        <v>1480</v>
      </c>
      <c r="B66" t="s">
        <v>282</v>
      </c>
      <c r="C66" t="s">
        <v>1015</v>
      </c>
      <c r="D66" t="s">
        <v>121</v>
      </c>
      <c r="E66" t="s">
        <v>72</v>
      </c>
      <c r="F66" t="s">
        <v>951</v>
      </c>
      <c r="G66" t="s">
        <v>951</v>
      </c>
      <c r="H66" t="s">
        <v>1481</v>
      </c>
      <c r="I66" t="s">
        <v>1028</v>
      </c>
      <c r="J66" t="s">
        <v>1244</v>
      </c>
      <c r="K66" t="s">
        <v>1482</v>
      </c>
      <c r="L66" t="s">
        <v>918</v>
      </c>
      <c r="M66" t="s">
        <v>925</v>
      </c>
      <c r="N66" t="s">
        <v>958</v>
      </c>
      <c r="O66" t="s">
        <v>1006</v>
      </c>
      <c r="P66" t="s">
        <v>1483</v>
      </c>
      <c r="Q66" t="s">
        <v>961</v>
      </c>
      <c r="R66" t="s">
        <v>961</v>
      </c>
      <c r="S66" t="s">
        <v>946</v>
      </c>
      <c r="T66" t="s">
        <v>919</v>
      </c>
      <c r="U66" t="s">
        <v>1484</v>
      </c>
      <c r="V66" t="s">
        <v>1155</v>
      </c>
      <c r="W66" t="s">
        <v>1040</v>
      </c>
      <c r="X66" t="s">
        <v>1129</v>
      </c>
      <c r="Y66" t="s">
        <v>1063</v>
      </c>
      <c r="Z66" t="s">
        <v>1008</v>
      </c>
      <c r="AA66" t="s">
        <v>991</v>
      </c>
      <c r="AB66" t="s">
        <v>964</v>
      </c>
      <c r="AC66" t="s">
        <v>970</v>
      </c>
      <c r="AD66" t="s">
        <v>1485</v>
      </c>
      <c r="AE66" t="s">
        <v>927</v>
      </c>
      <c r="AF66">
        <f t="shared" si="0"/>
        <v>19</v>
      </c>
      <c r="AG66">
        <f t="shared" si="1"/>
        <v>19.136000000000003</v>
      </c>
    </row>
    <row r="67" spans="1:33" x14ac:dyDescent="0.25">
      <c r="A67" t="s">
        <v>1410</v>
      </c>
      <c r="B67" t="s">
        <v>71</v>
      </c>
      <c r="C67" t="s">
        <v>995</v>
      </c>
      <c r="D67" t="s">
        <v>65</v>
      </c>
      <c r="E67" t="s">
        <v>72</v>
      </c>
      <c r="F67" t="s">
        <v>903</v>
      </c>
      <c r="G67" t="s">
        <v>903</v>
      </c>
      <c r="H67" t="s">
        <v>1486</v>
      </c>
      <c r="I67" t="s">
        <v>1028</v>
      </c>
      <c r="J67" t="s">
        <v>1487</v>
      </c>
      <c r="K67" t="s">
        <v>1476</v>
      </c>
      <c r="L67" t="s">
        <v>1094</v>
      </c>
      <c r="M67" t="s">
        <v>945</v>
      </c>
      <c r="N67" t="s">
        <v>1198</v>
      </c>
      <c r="O67" t="s">
        <v>1026</v>
      </c>
      <c r="P67" t="s">
        <v>1129</v>
      </c>
      <c r="Q67" t="s">
        <v>907</v>
      </c>
      <c r="R67" t="s">
        <v>1412</v>
      </c>
      <c r="S67" t="s">
        <v>1160</v>
      </c>
      <c r="T67" t="s">
        <v>1092</v>
      </c>
      <c r="U67" t="s">
        <v>1488</v>
      </c>
      <c r="V67" t="s">
        <v>1000</v>
      </c>
      <c r="W67" t="s">
        <v>1116</v>
      </c>
      <c r="X67" t="s">
        <v>1038</v>
      </c>
      <c r="Y67" t="s">
        <v>1046</v>
      </c>
      <c r="Z67" t="s">
        <v>1064</v>
      </c>
      <c r="AA67" t="s">
        <v>987</v>
      </c>
      <c r="AB67" t="s">
        <v>1012</v>
      </c>
      <c r="AC67" t="s">
        <v>1104</v>
      </c>
      <c r="AD67" t="s">
        <v>1485</v>
      </c>
      <c r="AE67" t="s">
        <v>927</v>
      </c>
      <c r="AF67">
        <f t="shared" ref="AF67:AF130" si="2">(L67 * 3) + ((I67 - L67) * 2) + S67</f>
        <v>19.2</v>
      </c>
      <c r="AG67">
        <f t="shared" ref="AG67:AG130" si="3">(M67 * N67 * 3) + ((J67 - M67) * Q67 * 2) + (T67 * U67)</f>
        <v>19.038399999999999</v>
      </c>
    </row>
    <row r="68" spans="1:33" x14ac:dyDescent="0.25">
      <c r="A68" t="s">
        <v>1489</v>
      </c>
      <c r="B68" t="s">
        <v>1490</v>
      </c>
      <c r="C68" t="s">
        <v>1293</v>
      </c>
      <c r="D68" t="s">
        <v>45</v>
      </c>
      <c r="E68" t="s">
        <v>93</v>
      </c>
      <c r="F68" t="s">
        <v>1233</v>
      </c>
      <c r="G68" t="s">
        <v>1176</v>
      </c>
      <c r="H68" t="s">
        <v>1491</v>
      </c>
      <c r="I68" t="s">
        <v>1023</v>
      </c>
      <c r="J68" t="s">
        <v>1316</v>
      </c>
      <c r="K68" t="s">
        <v>1074</v>
      </c>
      <c r="L68" t="s">
        <v>1310</v>
      </c>
      <c r="M68" t="s">
        <v>1030</v>
      </c>
      <c r="N68" t="s">
        <v>1492</v>
      </c>
      <c r="O68" t="s">
        <v>1291</v>
      </c>
      <c r="P68" t="s">
        <v>980</v>
      </c>
      <c r="Q68" t="s">
        <v>1493</v>
      </c>
      <c r="R68" t="s">
        <v>1494</v>
      </c>
      <c r="S68" t="s">
        <v>979</v>
      </c>
      <c r="T68" t="s">
        <v>919</v>
      </c>
      <c r="U68" t="s">
        <v>1495</v>
      </c>
      <c r="V68" t="s">
        <v>925</v>
      </c>
      <c r="W68" t="s">
        <v>1063</v>
      </c>
      <c r="X68" t="s">
        <v>989</v>
      </c>
      <c r="Y68" t="s">
        <v>956</v>
      </c>
      <c r="Z68" t="s">
        <v>923</v>
      </c>
      <c r="AA68" t="s">
        <v>923</v>
      </c>
      <c r="AB68" t="s">
        <v>1012</v>
      </c>
      <c r="AC68" t="s">
        <v>964</v>
      </c>
      <c r="AD68" t="s">
        <v>1496</v>
      </c>
      <c r="AE68" t="s">
        <v>927</v>
      </c>
      <c r="AF68">
        <f t="shared" si="2"/>
        <v>19</v>
      </c>
      <c r="AG68">
        <f t="shared" si="3"/>
        <v>18.984100000000002</v>
      </c>
    </row>
    <row r="69" spans="1:33" x14ac:dyDescent="0.25">
      <c r="A69" t="s">
        <v>1165</v>
      </c>
      <c r="B69" t="s">
        <v>1497</v>
      </c>
      <c r="C69" t="s">
        <v>1293</v>
      </c>
      <c r="D69" t="s">
        <v>45</v>
      </c>
      <c r="E69" t="s">
        <v>93</v>
      </c>
      <c r="F69" t="s">
        <v>1150</v>
      </c>
      <c r="G69" t="s">
        <v>1150</v>
      </c>
      <c r="H69" t="s">
        <v>1272</v>
      </c>
      <c r="I69" t="s">
        <v>1044</v>
      </c>
      <c r="J69" t="s">
        <v>1498</v>
      </c>
      <c r="K69" t="s">
        <v>1419</v>
      </c>
      <c r="L69" t="s">
        <v>964</v>
      </c>
      <c r="M69" t="s">
        <v>1182</v>
      </c>
      <c r="N69" t="s">
        <v>1499</v>
      </c>
      <c r="O69" t="s">
        <v>1000</v>
      </c>
      <c r="P69" t="s">
        <v>921</v>
      </c>
      <c r="Q69" t="s">
        <v>1144</v>
      </c>
      <c r="R69" t="s">
        <v>1101</v>
      </c>
      <c r="S69" t="s">
        <v>1000</v>
      </c>
      <c r="T69" t="s">
        <v>1160</v>
      </c>
      <c r="U69" t="s">
        <v>1500</v>
      </c>
      <c r="V69" t="s">
        <v>1310</v>
      </c>
      <c r="W69" t="s">
        <v>1103</v>
      </c>
      <c r="X69" t="s">
        <v>1126</v>
      </c>
      <c r="Y69" t="s">
        <v>1310</v>
      </c>
      <c r="Z69" t="s">
        <v>1008</v>
      </c>
      <c r="AA69" t="s">
        <v>991</v>
      </c>
      <c r="AB69" t="s">
        <v>1230</v>
      </c>
      <c r="AC69" t="s">
        <v>922</v>
      </c>
      <c r="AD69" t="s">
        <v>1496</v>
      </c>
      <c r="AE69" t="s">
        <v>927</v>
      </c>
      <c r="AF69">
        <f t="shared" si="2"/>
        <v>18.899999999999999</v>
      </c>
      <c r="AG69">
        <f t="shared" si="3"/>
        <v>18.959400000000002</v>
      </c>
    </row>
    <row r="70" spans="1:33" x14ac:dyDescent="0.25">
      <c r="A70" t="s">
        <v>1501</v>
      </c>
      <c r="B70" t="s">
        <v>1502</v>
      </c>
      <c r="C70" t="s">
        <v>1032</v>
      </c>
      <c r="D70" t="s">
        <v>111</v>
      </c>
      <c r="E70" t="s">
        <v>47</v>
      </c>
      <c r="F70" t="s">
        <v>1068</v>
      </c>
      <c r="G70" t="s">
        <v>1068</v>
      </c>
      <c r="H70" t="s">
        <v>996</v>
      </c>
      <c r="I70" t="s">
        <v>1028</v>
      </c>
      <c r="J70" t="s">
        <v>1439</v>
      </c>
      <c r="K70" t="s">
        <v>1131</v>
      </c>
      <c r="L70" t="s">
        <v>945</v>
      </c>
      <c r="M70" t="s">
        <v>1160</v>
      </c>
      <c r="N70" t="s">
        <v>1503</v>
      </c>
      <c r="O70" t="s">
        <v>1044</v>
      </c>
      <c r="P70" t="s">
        <v>1368</v>
      </c>
      <c r="Q70" t="s">
        <v>1504</v>
      </c>
      <c r="R70" t="s">
        <v>1369</v>
      </c>
      <c r="S70" t="s">
        <v>1012</v>
      </c>
      <c r="T70" t="s">
        <v>979</v>
      </c>
      <c r="U70" t="s">
        <v>1505</v>
      </c>
      <c r="V70" t="s">
        <v>922</v>
      </c>
      <c r="W70" t="s">
        <v>1010</v>
      </c>
      <c r="X70" t="s">
        <v>1450</v>
      </c>
      <c r="Y70" t="s">
        <v>920</v>
      </c>
      <c r="Z70" t="s">
        <v>1029</v>
      </c>
      <c r="AA70" t="s">
        <v>923</v>
      </c>
      <c r="AB70" t="s">
        <v>964</v>
      </c>
      <c r="AC70" t="s">
        <v>1049</v>
      </c>
      <c r="AD70" t="s">
        <v>1140</v>
      </c>
      <c r="AE70" t="s">
        <v>927</v>
      </c>
      <c r="AF70">
        <f t="shared" si="2"/>
        <v>18.8</v>
      </c>
      <c r="AG70">
        <f t="shared" si="3"/>
        <v>18.939799999999998</v>
      </c>
    </row>
    <row r="71" spans="1:33" x14ac:dyDescent="0.25">
      <c r="A71" t="s">
        <v>1255</v>
      </c>
      <c r="B71" t="s">
        <v>1506</v>
      </c>
      <c r="C71" t="s">
        <v>1015</v>
      </c>
      <c r="D71" t="s">
        <v>1279</v>
      </c>
      <c r="E71" t="s">
        <v>93</v>
      </c>
      <c r="F71" t="s">
        <v>1489</v>
      </c>
      <c r="G71" t="s">
        <v>1489</v>
      </c>
      <c r="H71" t="s">
        <v>1507</v>
      </c>
      <c r="I71" t="s">
        <v>985</v>
      </c>
      <c r="J71" t="s">
        <v>1508</v>
      </c>
      <c r="K71" t="s">
        <v>1426</v>
      </c>
      <c r="L71" t="s">
        <v>1104</v>
      </c>
      <c r="M71" t="s">
        <v>1026</v>
      </c>
      <c r="N71" t="s">
        <v>1509</v>
      </c>
      <c r="O71" t="s">
        <v>1000</v>
      </c>
      <c r="P71" t="s">
        <v>1126</v>
      </c>
      <c r="Q71" t="s">
        <v>1374</v>
      </c>
      <c r="R71" t="s">
        <v>1510</v>
      </c>
      <c r="S71" t="s">
        <v>979</v>
      </c>
      <c r="T71" t="s">
        <v>1160</v>
      </c>
      <c r="U71" t="s">
        <v>1511</v>
      </c>
      <c r="V71" t="s">
        <v>918</v>
      </c>
      <c r="W71" t="s">
        <v>1000</v>
      </c>
      <c r="X71" t="s">
        <v>1170</v>
      </c>
      <c r="Y71" t="s">
        <v>1000</v>
      </c>
      <c r="Z71" t="s">
        <v>918</v>
      </c>
      <c r="AA71" t="s">
        <v>991</v>
      </c>
      <c r="AB71" t="s">
        <v>922</v>
      </c>
      <c r="AC71" t="s">
        <v>968</v>
      </c>
      <c r="AD71" t="s">
        <v>1304</v>
      </c>
      <c r="AE71" t="s">
        <v>927</v>
      </c>
      <c r="AF71">
        <f t="shared" si="2"/>
        <v>18.7</v>
      </c>
      <c r="AG71">
        <f t="shared" si="3"/>
        <v>18.7271</v>
      </c>
    </row>
    <row r="72" spans="1:33" x14ac:dyDescent="0.25">
      <c r="A72" t="s">
        <v>1512</v>
      </c>
      <c r="B72" t="s">
        <v>260</v>
      </c>
      <c r="C72" t="s">
        <v>929</v>
      </c>
      <c r="D72" t="s">
        <v>102</v>
      </c>
      <c r="E72" t="s">
        <v>93</v>
      </c>
      <c r="F72" t="s">
        <v>1377</v>
      </c>
      <c r="G72" t="s">
        <v>1377</v>
      </c>
      <c r="H72" t="s">
        <v>1513</v>
      </c>
      <c r="I72" t="s">
        <v>1006</v>
      </c>
      <c r="J72" t="s">
        <v>1199</v>
      </c>
      <c r="K72" t="s">
        <v>1514</v>
      </c>
      <c r="L72" t="s">
        <v>1029</v>
      </c>
      <c r="M72" t="s">
        <v>1211</v>
      </c>
      <c r="N72" t="s">
        <v>1515</v>
      </c>
      <c r="O72" t="s">
        <v>920</v>
      </c>
      <c r="P72" t="s">
        <v>1035</v>
      </c>
      <c r="Q72" t="s">
        <v>1003</v>
      </c>
      <c r="R72" t="s">
        <v>1143</v>
      </c>
      <c r="S72" t="s">
        <v>1160</v>
      </c>
      <c r="T72" t="s">
        <v>1046</v>
      </c>
      <c r="U72" t="s">
        <v>1516</v>
      </c>
      <c r="V72" t="s">
        <v>908</v>
      </c>
      <c r="W72" t="s">
        <v>920</v>
      </c>
      <c r="X72" t="s">
        <v>1128</v>
      </c>
      <c r="Y72" t="s">
        <v>957</v>
      </c>
      <c r="Z72" t="s">
        <v>1008</v>
      </c>
      <c r="AA72" t="s">
        <v>934</v>
      </c>
      <c r="AB72" t="s">
        <v>1104</v>
      </c>
      <c r="AC72" t="s">
        <v>993</v>
      </c>
      <c r="AD72" t="s">
        <v>937</v>
      </c>
      <c r="AE72" t="s">
        <v>927</v>
      </c>
      <c r="AF72">
        <f t="shared" si="2"/>
        <v>18.7</v>
      </c>
      <c r="AG72">
        <f t="shared" si="3"/>
        <v>18.686599999999999</v>
      </c>
    </row>
    <row r="73" spans="1:33" x14ac:dyDescent="0.25">
      <c r="A73" t="s">
        <v>1070</v>
      </c>
      <c r="B73" t="s">
        <v>314</v>
      </c>
      <c r="C73" t="s">
        <v>1084</v>
      </c>
      <c r="D73" t="s">
        <v>170</v>
      </c>
      <c r="E73" t="s">
        <v>56</v>
      </c>
      <c r="F73" t="s">
        <v>1438</v>
      </c>
      <c r="G73" t="s">
        <v>1438</v>
      </c>
      <c r="H73" t="s">
        <v>1517</v>
      </c>
      <c r="I73" t="s">
        <v>940</v>
      </c>
      <c r="J73" t="s">
        <v>1518</v>
      </c>
      <c r="K73" t="s">
        <v>1205</v>
      </c>
      <c r="L73" t="s">
        <v>1135</v>
      </c>
      <c r="M73" t="s">
        <v>990</v>
      </c>
      <c r="N73" t="s">
        <v>1519</v>
      </c>
      <c r="O73" t="s">
        <v>979</v>
      </c>
      <c r="P73" t="s">
        <v>1059</v>
      </c>
      <c r="Q73" t="s">
        <v>1520</v>
      </c>
      <c r="R73" t="s">
        <v>1510</v>
      </c>
      <c r="S73" t="s">
        <v>1012</v>
      </c>
      <c r="T73" t="s">
        <v>1135</v>
      </c>
      <c r="U73" t="s">
        <v>1521</v>
      </c>
      <c r="V73" t="s">
        <v>969</v>
      </c>
      <c r="W73" t="s">
        <v>1135</v>
      </c>
      <c r="X73" t="s">
        <v>979</v>
      </c>
      <c r="Y73" t="s">
        <v>911</v>
      </c>
      <c r="Z73" t="s">
        <v>1230</v>
      </c>
      <c r="AA73" t="s">
        <v>1008</v>
      </c>
      <c r="AB73" t="s">
        <v>1029</v>
      </c>
      <c r="AC73" t="s">
        <v>1195</v>
      </c>
      <c r="AD73" t="s">
        <v>1248</v>
      </c>
      <c r="AE73" t="s">
        <v>927</v>
      </c>
      <c r="AF73">
        <f t="shared" si="2"/>
        <v>18.600000000000001</v>
      </c>
      <c r="AG73">
        <f t="shared" si="3"/>
        <v>18.604000000000003</v>
      </c>
    </row>
    <row r="74" spans="1:33" x14ac:dyDescent="0.25">
      <c r="A74" t="s">
        <v>1349</v>
      </c>
      <c r="B74" t="s">
        <v>92</v>
      </c>
      <c r="C74" t="s">
        <v>1032</v>
      </c>
      <c r="D74" t="s">
        <v>85</v>
      </c>
      <c r="E74" t="s">
        <v>93</v>
      </c>
      <c r="F74" t="s">
        <v>1271</v>
      </c>
      <c r="G74" t="s">
        <v>1271</v>
      </c>
      <c r="H74" t="s">
        <v>1491</v>
      </c>
      <c r="I74" t="s">
        <v>1128</v>
      </c>
      <c r="J74" t="s">
        <v>1244</v>
      </c>
      <c r="K74" t="s">
        <v>1522</v>
      </c>
      <c r="L74" t="s">
        <v>945</v>
      </c>
      <c r="M74" t="s">
        <v>1048</v>
      </c>
      <c r="N74" t="s">
        <v>1441</v>
      </c>
      <c r="O74" t="s">
        <v>1126</v>
      </c>
      <c r="P74" t="s">
        <v>1072</v>
      </c>
      <c r="Q74" t="s">
        <v>1523</v>
      </c>
      <c r="R74" t="s">
        <v>1524</v>
      </c>
      <c r="S74" t="s">
        <v>946</v>
      </c>
      <c r="T74" t="s">
        <v>1170</v>
      </c>
      <c r="U74" t="s">
        <v>1525</v>
      </c>
      <c r="V74" t="s">
        <v>947</v>
      </c>
      <c r="W74" t="s">
        <v>1023</v>
      </c>
      <c r="X74" t="s">
        <v>959</v>
      </c>
      <c r="Y74" t="s">
        <v>1048</v>
      </c>
      <c r="Z74" t="s">
        <v>918</v>
      </c>
      <c r="AA74" t="s">
        <v>1029</v>
      </c>
      <c r="AB74" t="s">
        <v>956</v>
      </c>
      <c r="AC74" t="s">
        <v>956</v>
      </c>
      <c r="AD74" t="s">
        <v>1109</v>
      </c>
      <c r="AE74" t="s">
        <v>927</v>
      </c>
      <c r="AF74">
        <f t="shared" si="2"/>
        <v>18.5</v>
      </c>
      <c r="AG74">
        <f t="shared" si="3"/>
        <v>18.592700000000001</v>
      </c>
    </row>
    <row r="75" spans="1:33" x14ac:dyDescent="0.25">
      <c r="A75" t="s">
        <v>1446</v>
      </c>
      <c r="B75" t="s">
        <v>364</v>
      </c>
      <c r="C75" t="s">
        <v>1245</v>
      </c>
      <c r="D75" t="s">
        <v>95</v>
      </c>
      <c r="E75" t="s">
        <v>63</v>
      </c>
      <c r="F75" t="s">
        <v>1052</v>
      </c>
      <c r="G75" t="s">
        <v>1085</v>
      </c>
      <c r="H75" t="s">
        <v>1526</v>
      </c>
      <c r="I75" t="s">
        <v>1116</v>
      </c>
      <c r="J75" t="s">
        <v>1527</v>
      </c>
      <c r="K75" t="s">
        <v>1055</v>
      </c>
      <c r="L75" t="s">
        <v>956</v>
      </c>
      <c r="M75" t="s">
        <v>1006</v>
      </c>
      <c r="N75" t="s">
        <v>1528</v>
      </c>
      <c r="O75" t="s">
        <v>1046</v>
      </c>
      <c r="P75" t="s">
        <v>916</v>
      </c>
      <c r="Q75" t="s">
        <v>1522</v>
      </c>
      <c r="R75" t="s">
        <v>907</v>
      </c>
      <c r="S75" t="s">
        <v>1012</v>
      </c>
      <c r="T75" t="s">
        <v>1000</v>
      </c>
      <c r="U75" t="s">
        <v>1529</v>
      </c>
      <c r="V75" t="s">
        <v>918</v>
      </c>
      <c r="W75" t="s">
        <v>992</v>
      </c>
      <c r="X75" t="s">
        <v>1047</v>
      </c>
      <c r="Y75" t="s">
        <v>1104</v>
      </c>
      <c r="Z75" t="s">
        <v>918</v>
      </c>
      <c r="AA75" t="s">
        <v>934</v>
      </c>
      <c r="AB75" t="s">
        <v>908</v>
      </c>
      <c r="AC75" t="s">
        <v>922</v>
      </c>
      <c r="AD75" t="s">
        <v>1109</v>
      </c>
      <c r="AE75" t="s">
        <v>927</v>
      </c>
      <c r="AF75">
        <f t="shared" si="2"/>
        <v>18.400000000000002</v>
      </c>
      <c r="AG75">
        <f t="shared" si="3"/>
        <v>18.518600000000003</v>
      </c>
    </row>
    <row r="76" spans="1:33" x14ac:dyDescent="0.25">
      <c r="A76" t="s">
        <v>1107</v>
      </c>
      <c r="B76" t="s">
        <v>1530</v>
      </c>
      <c r="C76" t="s">
        <v>1164</v>
      </c>
      <c r="D76" t="s">
        <v>131</v>
      </c>
      <c r="E76" t="s">
        <v>72</v>
      </c>
      <c r="F76" t="s">
        <v>1438</v>
      </c>
      <c r="G76" t="s">
        <v>1052</v>
      </c>
      <c r="H76" t="s">
        <v>1280</v>
      </c>
      <c r="I76" t="s">
        <v>1028</v>
      </c>
      <c r="J76" t="s">
        <v>1454</v>
      </c>
      <c r="K76" t="s">
        <v>1022</v>
      </c>
      <c r="L76" t="s">
        <v>968</v>
      </c>
      <c r="M76" t="s">
        <v>1103</v>
      </c>
      <c r="N76" t="s">
        <v>1531</v>
      </c>
      <c r="O76" t="s">
        <v>1079</v>
      </c>
      <c r="P76" t="s">
        <v>997</v>
      </c>
      <c r="Q76" t="s">
        <v>1532</v>
      </c>
      <c r="R76" t="s">
        <v>1533</v>
      </c>
      <c r="S76" t="s">
        <v>1029</v>
      </c>
      <c r="T76" t="s">
        <v>956</v>
      </c>
      <c r="U76" t="s">
        <v>1534</v>
      </c>
      <c r="V76" t="s">
        <v>924</v>
      </c>
      <c r="W76" t="s">
        <v>1009</v>
      </c>
      <c r="X76" t="s">
        <v>1040</v>
      </c>
      <c r="Y76" t="s">
        <v>979</v>
      </c>
      <c r="Z76" t="s">
        <v>987</v>
      </c>
      <c r="AA76" t="s">
        <v>1008</v>
      </c>
      <c r="AB76" t="s">
        <v>1029</v>
      </c>
      <c r="AC76" t="s">
        <v>925</v>
      </c>
      <c r="AD76" t="s">
        <v>1109</v>
      </c>
      <c r="AE76" t="s">
        <v>927</v>
      </c>
      <c r="AF76">
        <f t="shared" si="2"/>
        <v>18.400000000000002</v>
      </c>
      <c r="AG76">
        <f t="shared" si="3"/>
        <v>18.421599999999998</v>
      </c>
    </row>
    <row r="77" spans="1:33" x14ac:dyDescent="0.25">
      <c r="A77" t="s">
        <v>1535</v>
      </c>
      <c r="B77" t="s">
        <v>359</v>
      </c>
      <c r="C77" t="s">
        <v>902</v>
      </c>
      <c r="D77" t="s">
        <v>45</v>
      </c>
      <c r="E77" t="s">
        <v>63</v>
      </c>
      <c r="F77" t="s">
        <v>1349</v>
      </c>
      <c r="G77" t="s">
        <v>1512</v>
      </c>
      <c r="H77" t="s">
        <v>1536</v>
      </c>
      <c r="I77" t="s">
        <v>1006</v>
      </c>
      <c r="J77" t="s">
        <v>1518</v>
      </c>
      <c r="K77" t="s">
        <v>1537</v>
      </c>
      <c r="L77" t="s">
        <v>922</v>
      </c>
      <c r="M77" t="s">
        <v>1170</v>
      </c>
      <c r="N77" t="s">
        <v>1538</v>
      </c>
      <c r="O77" t="s">
        <v>1046</v>
      </c>
      <c r="P77" t="s">
        <v>1072</v>
      </c>
      <c r="Q77" t="s">
        <v>1235</v>
      </c>
      <c r="R77" t="s">
        <v>1396</v>
      </c>
      <c r="S77" t="s">
        <v>1000</v>
      </c>
      <c r="T77" t="s">
        <v>1228</v>
      </c>
      <c r="U77" t="s">
        <v>1539</v>
      </c>
      <c r="V77" t="s">
        <v>923</v>
      </c>
      <c r="W77" t="s">
        <v>968</v>
      </c>
      <c r="X77" t="s">
        <v>1220</v>
      </c>
      <c r="Y77" t="s">
        <v>1081</v>
      </c>
      <c r="Z77" t="s">
        <v>1008</v>
      </c>
      <c r="AA77" t="s">
        <v>1119</v>
      </c>
      <c r="AB77" t="s">
        <v>993</v>
      </c>
      <c r="AC77" t="s">
        <v>947</v>
      </c>
      <c r="AD77" t="s">
        <v>1540</v>
      </c>
      <c r="AE77" t="s">
        <v>927</v>
      </c>
      <c r="AF77">
        <f t="shared" si="2"/>
        <v>18.299999999999997</v>
      </c>
      <c r="AG77">
        <f t="shared" si="3"/>
        <v>18.444400000000002</v>
      </c>
    </row>
    <row r="78" spans="1:33" x14ac:dyDescent="0.25">
      <c r="A78" t="s">
        <v>930</v>
      </c>
      <c r="B78" t="s">
        <v>312</v>
      </c>
      <c r="C78" t="s">
        <v>902</v>
      </c>
      <c r="D78" t="s">
        <v>148</v>
      </c>
      <c r="E78" t="s">
        <v>47</v>
      </c>
      <c r="F78" t="s">
        <v>1285</v>
      </c>
      <c r="G78" t="s">
        <v>1285</v>
      </c>
      <c r="H78" t="s">
        <v>1256</v>
      </c>
      <c r="I78" t="s">
        <v>1116</v>
      </c>
      <c r="J78" t="s">
        <v>1199</v>
      </c>
      <c r="K78" t="s">
        <v>1340</v>
      </c>
      <c r="L78" t="s">
        <v>993</v>
      </c>
      <c r="M78" t="s">
        <v>921</v>
      </c>
      <c r="N78" t="s">
        <v>1039</v>
      </c>
      <c r="O78" t="s">
        <v>1103</v>
      </c>
      <c r="P78" t="s">
        <v>1118</v>
      </c>
      <c r="Q78" t="s">
        <v>1541</v>
      </c>
      <c r="R78" t="s">
        <v>1542</v>
      </c>
      <c r="S78" t="s">
        <v>1049</v>
      </c>
      <c r="T78" t="s">
        <v>993</v>
      </c>
      <c r="U78" t="s">
        <v>1543</v>
      </c>
      <c r="V78" t="s">
        <v>968</v>
      </c>
      <c r="W78" t="s">
        <v>962</v>
      </c>
      <c r="X78" t="s">
        <v>1023</v>
      </c>
      <c r="Y78" t="s">
        <v>908</v>
      </c>
      <c r="Z78" t="s">
        <v>969</v>
      </c>
      <c r="AA78" t="s">
        <v>1065</v>
      </c>
      <c r="AB78" t="s">
        <v>1230</v>
      </c>
      <c r="AC78" t="s">
        <v>956</v>
      </c>
      <c r="AD78" t="s">
        <v>1281</v>
      </c>
      <c r="AE78" t="s">
        <v>927</v>
      </c>
      <c r="AF78">
        <f t="shared" si="2"/>
        <v>18.2</v>
      </c>
      <c r="AG78">
        <f t="shared" si="3"/>
        <v>18.129600000000003</v>
      </c>
    </row>
    <row r="79" spans="1:33" x14ac:dyDescent="0.25">
      <c r="A79" t="s">
        <v>1431</v>
      </c>
      <c r="B79" t="s">
        <v>132</v>
      </c>
      <c r="C79" t="s">
        <v>1293</v>
      </c>
      <c r="D79" t="s">
        <v>133</v>
      </c>
      <c r="E79" t="s">
        <v>72</v>
      </c>
      <c r="F79" t="s">
        <v>1459</v>
      </c>
      <c r="G79" t="s">
        <v>1459</v>
      </c>
      <c r="H79" t="s">
        <v>1188</v>
      </c>
      <c r="I79" t="s">
        <v>1116</v>
      </c>
      <c r="J79" t="s">
        <v>1544</v>
      </c>
      <c r="K79" t="s">
        <v>1514</v>
      </c>
      <c r="L79" t="s">
        <v>923</v>
      </c>
      <c r="M79" t="s">
        <v>1104</v>
      </c>
      <c r="N79" t="s">
        <v>1545</v>
      </c>
      <c r="O79" t="s">
        <v>1126</v>
      </c>
      <c r="P79" t="s">
        <v>1546</v>
      </c>
      <c r="Q79" t="s">
        <v>1208</v>
      </c>
      <c r="R79" t="s">
        <v>1101</v>
      </c>
      <c r="S79" t="s">
        <v>1048</v>
      </c>
      <c r="T79" t="s">
        <v>1081</v>
      </c>
      <c r="U79" t="s">
        <v>1547</v>
      </c>
      <c r="V79" t="s">
        <v>924</v>
      </c>
      <c r="W79" t="s">
        <v>1026</v>
      </c>
      <c r="X79" t="s">
        <v>980</v>
      </c>
      <c r="Y79" t="s">
        <v>1170</v>
      </c>
      <c r="Z79" t="s">
        <v>1195</v>
      </c>
      <c r="AA79" t="s">
        <v>1008</v>
      </c>
      <c r="AB79" t="s">
        <v>908</v>
      </c>
      <c r="AC79" t="s">
        <v>908</v>
      </c>
      <c r="AD79" t="s">
        <v>1073</v>
      </c>
      <c r="AE79" t="s">
        <v>927</v>
      </c>
      <c r="AF79">
        <f t="shared" si="2"/>
        <v>18</v>
      </c>
      <c r="AG79">
        <f t="shared" si="3"/>
        <v>18.102799999999998</v>
      </c>
    </row>
    <row r="80" spans="1:33" x14ac:dyDescent="0.25">
      <c r="A80" t="s">
        <v>1377</v>
      </c>
      <c r="B80" t="s">
        <v>189</v>
      </c>
      <c r="C80" t="s">
        <v>950</v>
      </c>
      <c r="D80" t="s">
        <v>974</v>
      </c>
      <c r="E80" t="s">
        <v>47</v>
      </c>
      <c r="F80" t="s">
        <v>1255</v>
      </c>
      <c r="G80" t="s">
        <v>1255</v>
      </c>
      <c r="H80" t="s">
        <v>1428</v>
      </c>
      <c r="I80" t="s">
        <v>1044</v>
      </c>
      <c r="J80" t="s">
        <v>1548</v>
      </c>
      <c r="K80" t="s">
        <v>1168</v>
      </c>
      <c r="L80" t="s">
        <v>925</v>
      </c>
      <c r="M80" t="s">
        <v>1079</v>
      </c>
      <c r="N80" t="s">
        <v>1365</v>
      </c>
      <c r="O80" t="s">
        <v>919</v>
      </c>
      <c r="P80" t="s">
        <v>989</v>
      </c>
      <c r="Q80" t="s">
        <v>1041</v>
      </c>
      <c r="R80" t="s">
        <v>1239</v>
      </c>
      <c r="S80" t="s">
        <v>970</v>
      </c>
      <c r="T80" t="s">
        <v>1170</v>
      </c>
      <c r="U80" t="s">
        <v>1549</v>
      </c>
      <c r="V80" t="s">
        <v>1310</v>
      </c>
      <c r="W80" t="s">
        <v>1135</v>
      </c>
      <c r="X80" t="s">
        <v>1047</v>
      </c>
      <c r="Y80" t="s">
        <v>1012</v>
      </c>
      <c r="Z80" t="s">
        <v>923</v>
      </c>
      <c r="AA80" t="s">
        <v>987</v>
      </c>
      <c r="AB80" t="s">
        <v>922</v>
      </c>
      <c r="AC80" t="s">
        <v>922</v>
      </c>
      <c r="AD80" t="s">
        <v>1189</v>
      </c>
      <c r="AE80" t="s">
        <v>927</v>
      </c>
      <c r="AF80">
        <f t="shared" si="2"/>
        <v>18.100000000000001</v>
      </c>
      <c r="AG80">
        <f t="shared" si="3"/>
        <v>18.004899999999999</v>
      </c>
    </row>
    <row r="81" spans="1:33" x14ac:dyDescent="0.25">
      <c r="A81" t="s">
        <v>1377</v>
      </c>
      <c r="B81" t="s">
        <v>189</v>
      </c>
      <c r="C81" t="s">
        <v>950</v>
      </c>
      <c r="D81" t="s">
        <v>1223</v>
      </c>
      <c r="E81" t="s">
        <v>47</v>
      </c>
      <c r="F81" t="s">
        <v>1414</v>
      </c>
      <c r="G81" t="s">
        <v>1414</v>
      </c>
      <c r="H81" t="s">
        <v>1550</v>
      </c>
      <c r="I81" t="s">
        <v>1059</v>
      </c>
      <c r="J81" t="s">
        <v>1360</v>
      </c>
      <c r="K81" t="s">
        <v>1297</v>
      </c>
      <c r="L81" t="s">
        <v>925</v>
      </c>
      <c r="M81" t="s">
        <v>1079</v>
      </c>
      <c r="N81" t="s">
        <v>1019</v>
      </c>
      <c r="O81" t="s">
        <v>1160</v>
      </c>
      <c r="P81" t="s">
        <v>915</v>
      </c>
      <c r="Q81" t="s">
        <v>1269</v>
      </c>
      <c r="R81" t="s">
        <v>1551</v>
      </c>
      <c r="S81" t="s">
        <v>1048</v>
      </c>
      <c r="T81" t="s">
        <v>1081</v>
      </c>
      <c r="U81" t="s">
        <v>1552</v>
      </c>
      <c r="V81" t="s">
        <v>1310</v>
      </c>
      <c r="W81" t="s">
        <v>1135</v>
      </c>
      <c r="X81" t="s">
        <v>1211</v>
      </c>
      <c r="Y81" t="s">
        <v>924</v>
      </c>
      <c r="Z81" t="s">
        <v>918</v>
      </c>
      <c r="AA81" t="s">
        <v>987</v>
      </c>
      <c r="AB81" t="s">
        <v>1195</v>
      </c>
      <c r="AC81" t="s">
        <v>1029</v>
      </c>
      <c r="AD81" t="s">
        <v>1553</v>
      </c>
      <c r="AE81" t="s">
        <v>927</v>
      </c>
      <c r="AF81">
        <f t="shared" si="2"/>
        <v>17.599999999999998</v>
      </c>
      <c r="AG81">
        <f t="shared" si="3"/>
        <v>17.6158</v>
      </c>
    </row>
    <row r="82" spans="1:33" x14ac:dyDescent="0.25">
      <c r="A82" t="s">
        <v>1377</v>
      </c>
      <c r="B82" t="s">
        <v>189</v>
      </c>
      <c r="C82" t="s">
        <v>950</v>
      </c>
      <c r="D82" t="s">
        <v>133</v>
      </c>
      <c r="E82" t="s">
        <v>47</v>
      </c>
      <c r="F82" t="s">
        <v>1212</v>
      </c>
      <c r="G82" t="s">
        <v>1212</v>
      </c>
      <c r="H82" t="s">
        <v>1554</v>
      </c>
      <c r="I82" t="s">
        <v>1172</v>
      </c>
      <c r="J82" t="s">
        <v>960</v>
      </c>
      <c r="K82" t="s">
        <v>1555</v>
      </c>
      <c r="L82" t="s">
        <v>908</v>
      </c>
      <c r="M82" t="s">
        <v>1126</v>
      </c>
      <c r="N82" t="s">
        <v>1556</v>
      </c>
      <c r="O82" t="s">
        <v>1211</v>
      </c>
      <c r="P82" t="s">
        <v>1024</v>
      </c>
      <c r="Q82" t="s">
        <v>1339</v>
      </c>
      <c r="R82" t="s">
        <v>1022</v>
      </c>
      <c r="S82" t="s">
        <v>1000</v>
      </c>
      <c r="T82" t="s">
        <v>1211</v>
      </c>
      <c r="U82" t="s">
        <v>1557</v>
      </c>
      <c r="V82" t="s">
        <v>1230</v>
      </c>
      <c r="W82" t="s">
        <v>964</v>
      </c>
      <c r="X82" t="s">
        <v>1081</v>
      </c>
      <c r="Y82" t="s">
        <v>970</v>
      </c>
      <c r="Z82" t="s">
        <v>945</v>
      </c>
      <c r="AA82" t="s">
        <v>923</v>
      </c>
      <c r="AB82" t="s">
        <v>993</v>
      </c>
      <c r="AC82" t="s">
        <v>968</v>
      </c>
      <c r="AD82" t="s">
        <v>1496</v>
      </c>
      <c r="AE82" t="s">
        <v>927</v>
      </c>
      <c r="AF82">
        <f t="shared" si="2"/>
        <v>19.099999999999998</v>
      </c>
      <c r="AG82">
        <f t="shared" si="3"/>
        <v>19.044</v>
      </c>
    </row>
    <row r="83" spans="1:33" x14ac:dyDescent="0.25">
      <c r="A83" t="s">
        <v>951</v>
      </c>
      <c r="B83" t="s">
        <v>404</v>
      </c>
      <c r="C83" t="s">
        <v>1293</v>
      </c>
      <c r="D83" t="s">
        <v>129</v>
      </c>
      <c r="E83" t="s">
        <v>93</v>
      </c>
      <c r="F83" t="s">
        <v>1322</v>
      </c>
      <c r="G83" t="s">
        <v>1322</v>
      </c>
      <c r="H83" t="s">
        <v>1331</v>
      </c>
      <c r="I83" t="s">
        <v>1006</v>
      </c>
      <c r="J83" t="s">
        <v>1129</v>
      </c>
      <c r="K83" t="s">
        <v>1249</v>
      </c>
      <c r="L83" t="s">
        <v>947</v>
      </c>
      <c r="M83" t="s">
        <v>985</v>
      </c>
      <c r="N83" t="s">
        <v>1558</v>
      </c>
      <c r="O83" t="s">
        <v>1170</v>
      </c>
      <c r="P83" t="s">
        <v>990</v>
      </c>
      <c r="Q83" t="s">
        <v>1559</v>
      </c>
      <c r="R83" t="s">
        <v>1057</v>
      </c>
      <c r="S83" t="s">
        <v>993</v>
      </c>
      <c r="T83" t="s">
        <v>946</v>
      </c>
      <c r="U83" t="s">
        <v>1388</v>
      </c>
      <c r="V83" t="s">
        <v>1195</v>
      </c>
      <c r="W83" t="s">
        <v>979</v>
      </c>
      <c r="X83" t="s">
        <v>1134</v>
      </c>
      <c r="Y83" t="s">
        <v>925</v>
      </c>
      <c r="Z83" t="s">
        <v>1310</v>
      </c>
      <c r="AA83" t="s">
        <v>918</v>
      </c>
      <c r="AB83" t="s">
        <v>1230</v>
      </c>
      <c r="AC83" t="s">
        <v>947</v>
      </c>
      <c r="AD83" t="s">
        <v>1189</v>
      </c>
      <c r="AE83" t="s">
        <v>927</v>
      </c>
      <c r="AF83">
        <f t="shared" si="2"/>
        <v>18</v>
      </c>
      <c r="AG83">
        <f t="shared" si="3"/>
        <v>18.069600000000001</v>
      </c>
    </row>
    <row r="84" spans="1:33" x14ac:dyDescent="0.25">
      <c r="A84" t="s">
        <v>1271</v>
      </c>
      <c r="B84" t="s">
        <v>165</v>
      </c>
      <c r="C84" t="s">
        <v>1015</v>
      </c>
      <c r="D84" t="s">
        <v>129</v>
      </c>
      <c r="E84" t="s">
        <v>47</v>
      </c>
      <c r="F84" t="s">
        <v>1416</v>
      </c>
      <c r="G84" t="s">
        <v>1416</v>
      </c>
      <c r="H84" t="s">
        <v>1313</v>
      </c>
      <c r="I84" t="s">
        <v>1026</v>
      </c>
      <c r="J84" t="s">
        <v>1560</v>
      </c>
      <c r="K84" t="s">
        <v>1131</v>
      </c>
      <c r="L84" t="s">
        <v>956</v>
      </c>
      <c r="M84" t="s">
        <v>1092</v>
      </c>
      <c r="N84" t="s">
        <v>1001</v>
      </c>
      <c r="O84" t="s">
        <v>962</v>
      </c>
      <c r="P84" t="s">
        <v>916</v>
      </c>
      <c r="Q84" t="s">
        <v>1561</v>
      </c>
      <c r="R84" t="s">
        <v>1218</v>
      </c>
      <c r="S84" t="s">
        <v>945</v>
      </c>
      <c r="T84" t="s">
        <v>1230</v>
      </c>
      <c r="U84" t="s">
        <v>1060</v>
      </c>
      <c r="V84" t="s">
        <v>918</v>
      </c>
      <c r="W84" t="s">
        <v>947</v>
      </c>
      <c r="X84" t="s">
        <v>1048</v>
      </c>
      <c r="Y84" t="s">
        <v>1030</v>
      </c>
      <c r="Z84" t="s">
        <v>918</v>
      </c>
      <c r="AA84" t="s">
        <v>1065</v>
      </c>
      <c r="AB84" t="s">
        <v>1029</v>
      </c>
      <c r="AC84" t="s">
        <v>1310</v>
      </c>
      <c r="AD84" t="s">
        <v>1553</v>
      </c>
      <c r="AE84" t="s">
        <v>927</v>
      </c>
      <c r="AF84">
        <f t="shared" si="2"/>
        <v>17.599999999999998</v>
      </c>
      <c r="AG84">
        <f t="shared" si="3"/>
        <v>17.5412</v>
      </c>
    </row>
    <row r="85" spans="1:33" x14ac:dyDescent="0.25">
      <c r="A85" t="s">
        <v>1052</v>
      </c>
      <c r="B85" t="s">
        <v>1562</v>
      </c>
      <c r="C85" t="s">
        <v>995</v>
      </c>
      <c r="D85" t="s">
        <v>97</v>
      </c>
      <c r="E85" t="s">
        <v>63</v>
      </c>
      <c r="F85" t="s">
        <v>929</v>
      </c>
      <c r="G85" t="s">
        <v>929</v>
      </c>
      <c r="H85" t="s">
        <v>1563</v>
      </c>
      <c r="I85" t="s">
        <v>1044</v>
      </c>
      <c r="J85" t="s">
        <v>1518</v>
      </c>
      <c r="K85" t="s">
        <v>1455</v>
      </c>
      <c r="L85" t="s">
        <v>908</v>
      </c>
      <c r="M85" t="s">
        <v>1005</v>
      </c>
      <c r="N85" t="s">
        <v>1564</v>
      </c>
      <c r="O85" t="s">
        <v>1081</v>
      </c>
      <c r="P85" t="s">
        <v>1152</v>
      </c>
      <c r="Q85" t="s">
        <v>1565</v>
      </c>
      <c r="R85" t="s">
        <v>984</v>
      </c>
      <c r="S85" t="s">
        <v>1104</v>
      </c>
      <c r="T85" t="s">
        <v>1160</v>
      </c>
      <c r="U85" t="s">
        <v>1566</v>
      </c>
      <c r="V85" t="s">
        <v>1195</v>
      </c>
      <c r="W85" t="s">
        <v>1104</v>
      </c>
      <c r="X85" t="s">
        <v>919</v>
      </c>
      <c r="Y85" t="s">
        <v>1228</v>
      </c>
      <c r="Z85" t="s">
        <v>918</v>
      </c>
      <c r="AA85" t="s">
        <v>991</v>
      </c>
      <c r="AB85" t="s">
        <v>1135</v>
      </c>
      <c r="AC85" t="s">
        <v>925</v>
      </c>
      <c r="AD85" t="s">
        <v>1553</v>
      </c>
      <c r="AE85" t="s">
        <v>927</v>
      </c>
      <c r="AF85">
        <f t="shared" si="2"/>
        <v>17.5</v>
      </c>
      <c r="AG85">
        <f t="shared" si="3"/>
        <v>17.642399999999999</v>
      </c>
    </row>
    <row r="86" spans="1:33" x14ac:dyDescent="0.25">
      <c r="A86" t="s">
        <v>1438</v>
      </c>
      <c r="B86" t="s">
        <v>317</v>
      </c>
      <c r="C86" t="s">
        <v>1343</v>
      </c>
      <c r="D86" t="s">
        <v>974</v>
      </c>
      <c r="E86" t="s">
        <v>47</v>
      </c>
      <c r="F86" t="s">
        <v>1480</v>
      </c>
      <c r="G86" t="s">
        <v>1480</v>
      </c>
      <c r="H86" t="s">
        <v>1447</v>
      </c>
      <c r="I86" t="s">
        <v>1291</v>
      </c>
      <c r="J86" t="s">
        <v>982</v>
      </c>
      <c r="K86" t="s">
        <v>1340</v>
      </c>
      <c r="L86" t="s">
        <v>969</v>
      </c>
      <c r="M86" t="s">
        <v>1049</v>
      </c>
      <c r="N86" t="s">
        <v>1567</v>
      </c>
      <c r="O86" t="s">
        <v>1046</v>
      </c>
      <c r="P86" t="s">
        <v>1108</v>
      </c>
      <c r="Q86" t="s">
        <v>1193</v>
      </c>
      <c r="R86" t="s">
        <v>1275</v>
      </c>
      <c r="S86" t="s">
        <v>1063</v>
      </c>
      <c r="T86" t="s">
        <v>1128</v>
      </c>
      <c r="U86" t="s">
        <v>1568</v>
      </c>
      <c r="V86" t="s">
        <v>947</v>
      </c>
      <c r="W86" t="s">
        <v>946</v>
      </c>
      <c r="X86" t="s">
        <v>1329</v>
      </c>
      <c r="Y86" t="s">
        <v>1329</v>
      </c>
      <c r="Z86" t="s">
        <v>1230</v>
      </c>
      <c r="AA86" t="s">
        <v>1094</v>
      </c>
      <c r="AB86" t="s">
        <v>1195</v>
      </c>
      <c r="AC86" t="s">
        <v>918</v>
      </c>
      <c r="AD86" t="s">
        <v>1418</v>
      </c>
      <c r="AE86" t="s">
        <v>927</v>
      </c>
      <c r="AF86">
        <f t="shared" si="2"/>
        <v>17.600000000000001</v>
      </c>
      <c r="AG86">
        <f t="shared" si="3"/>
        <v>17.561799999999998</v>
      </c>
    </row>
    <row r="87" spans="1:33" x14ac:dyDescent="0.25">
      <c r="A87" t="s">
        <v>1438</v>
      </c>
      <c r="B87" t="s">
        <v>317</v>
      </c>
      <c r="C87" t="s">
        <v>1343</v>
      </c>
      <c r="D87" t="s">
        <v>133</v>
      </c>
      <c r="E87" t="s">
        <v>93</v>
      </c>
      <c r="F87" t="s">
        <v>973</v>
      </c>
      <c r="G87" t="s">
        <v>973</v>
      </c>
      <c r="H87" t="s">
        <v>1569</v>
      </c>
      <c r="I87" t="s">
        <v>909</v>
      </c>
      <c r="J87" t="s">
        <v>1483</v>
      </c>
      <c r="K87" t="s">
        <v>1570</v>
      </c>
      <c r="L87" t="s">
        <v>1065</v>
      </c>
      <c r="M87" t="s">
        <v>1230</v>
      </c>
      <c r="N87" t="s">
        <v>1400</v>
      </c>
      <c r="O87" t="s">
        <v>962</v>
      </c>
      <c r="P87" t="s">
        <v>1035</v>
      </c>
      <c r="Q87" t="s">
        <v>1462</v>
      </c>
      <c r="R87" t="s">
        <v>1288</v>
      </c>
      <c r="S87" t="s">
        <v>962</v>
      </c>
      <c r="T87" t="s">
        <v>921</v>
      </c>
      <c r="U87" t="s">
        <v>1571</v>
      </c>
      <c r="V87" t="s">
        <v>925</v>
      </c>
      <c r="W87" t="s">
        <v>1135</v>
      </c>
      <c r="X87" t="s">
        <v>962</v>
      </c>
      <c r="Y87" t="s">
        <v>1134</v>
      </c>
      <c r="Z87" t="s">
        <v>1064</v>
      </c>
      <c r="AA87" t="s">
        <v>991</v>
      </c>
      <c r="AB87" t="s">
        <v>945</v>
      </c>
      <c r="AC87" t="s">
        <v>918</v>
      </c>
      <c r="AD87" t="s">
        <v>1357</v>
      </c>
      <c r="AE87" t="s">
        <v>927</v>
      </c>
      <c r="AF87">
        <f t="shared" si="2"/>
        <v>17.100000000000001</v>
      </c>
      <c r="AG87">
        <f t="shared" si="3"/>
        <v>16.980199999999996</v>
      </c>
    </row>
    <row r="88" spans="1:33" x14ac:dyDescent="0.25">
      <c r="A88" t="s">
        <v>1438</v>
      </c>
      <c r="B88" t="s">
        <v>317</v>
      </c>
      <c r="C88" t="s">
        <v>1343</v>
      </c>
      <c r="D88" t="s">
        <v>1223</v>
      </c>
      <c r="E88" t="s">
        <v>47</v>
      </c>
      <c r="F88" t="s">
        <v>929</v>
      </c>
      <c r="G88" t="s">
        <v>929</v>
      </c>
      <c r="H88" t="s">
        <v>926</v>
      </c>
      <c r="I88" t="s">
        <v>1043</v>
      </c>
      <c r="J88" t="s">
        <v>1368</v>
      </c>
      <c r="K88" t="s">
        <v>1249</v>
      </c>
      <c r="L88" t="s">
        <v>969</v>
      </c>
      <c r="M88" t="s">
        <v>947</v>
      </c>
      <c r="N88" t="s">
        <v>1572</v>
      </c>
      <c r="O88" t="s">
        <v>957</v>
      </c>
      <c r="P88" t="s">
        <v>1024</v>
      </c>
      <c r="Q88" t="s">
        <v>1239</v>
      </c>
      <c r="R88" t="s">
        <v>1340</v>
      </c>
      <c r="S88" t="s">
        <v>1112</v>
      </c>
      <c r="T88" t="s">
        <v>990</v>
      </c>
      <c r="U88" t="s">
        <v>1452</v>
      </c>
      <c r="V88" t="s">
        <v>947</v>
      </c>
      <c r="W88" t="s">
        <v>1048</v>
      </c>
      <c r="X88" t="s">
        <v>1291</v>
      </c>
      <c r="Y88" t="s">
        <v>1126</v>
      </c>
      <c r="Z88" t="s">
        <v>922</v>
      </c>
      <c r="AA88" t="s">
        <v>1094</v>
      </c>
      <c r="AB88" t="s">
        <v>1310</v>
      </c>
      <c r="AC88" t="s">
        <v>923</v>
      </c>
      <c r="AD88" t="s">
        <v>1286</v>
      </c>
      <c r="AE88" t="s">
        <v>927</v>
      </c>
      <c r="AF88">
        <f t="shared" si="2"/>
        <v>17.899999999999999</v>
      </c>
      <c r="AG88">
        <f t="shared" si="3"/>
        <v>17.881700000000002</v>
      </c>
    </row>
    <row r="89" spans="1:33" x14ac:dyDescent="0.25">
      <c r="A89" t="s">
        <v>1322</v>
      </c>
      <c r="B89" t="s">
        <v>1573</v>
      </c>
      <c r="C89" t="s">
        <v>1015</v>
      </c>
      <c r="D89" t="s">
        <v>83</v>
      </c>
      <c r="E89" t="s">
        <v>56</v>
      </c>
      <c r="F89" t="s">
        <v>1176</v>
      </c>
      <c r="G89" t="s">
        <v>1176</v>
      </c>
      <c r="H89" t="s">
        <v>1372</v>
      </c>
      <c r="I89" t="s">
        <v>1044</v>
      </c>
      <c r="J89" t="s">
        <v>1574</v>
      </c>
      <c r="K89" t="s">
        <v>1393</v>
      </c>
      <c r="L89" t="s">
        <v>922</v>
      </c>
      <c r="M89" t="s">
        <v>1092</v>
      </c>
      <c r="N89" t="s">
        <v>1298</v>
      </c>
      <c r="O89" t="s">
        <v>1211</v>
      </c>
      <c r="P89" t="s">
        <v>1038</v>
      </c>
      <c r="Q89" t="s">
        <v>1297</v>
      </c>
      <c r="R89" t="s">
        <v>1575</v>
      </c>
      <c r="S89" t="s">
        <v>970</v>
      </c>
      <c r="T89" t="s">
        <v>1228</v>
      </c>
      <c r="U89" t="s">
        <v>1276</v>
      </c>
      <c r="V89" t="s">
        <v>1065</v>
      </c>
      <c r="W89" t="s">
        <v>1126</v>
      </c>
      <c r="X89" t="s">
        <v>940</v>
      </c>
      <c r="Y89" t="s">
        <v>988</v>
      </c>
      <c r="Z89" t="s">
        <v>956</v>
      </c>
      <c r="AA89" t="s">
        <v>991</v>
      </c>
      <c r="AB89" t="s">
        <v>1000</v>
      </c>
      <c r="AC89" t="s">
        <v>956</v>
      </c>
      <c r="AD89" t="s">
        <v>1418</v>
      </c>
      <c r="AE89" t="s">
        <v>927</v>
      </c>
      <c r="AF89">
        <f t="shared" si="2"/>
        <v>17.599999999999998</v>
      </c>
      <c r="AG89">
        <f t="shared" si="3"/>
        <v>17.461599999999997</v>
      </c>
    </row>
    <row r="90" spans="1:33" x14ac:dyDescent="0.25">
      <c r="A90" t="s">
        <v>1138</v>
      </c>
      <c r="B90" t="s">
        <v>1576</v>
      </c>
      <c r="C90" t="s">
        <v>902</v>
      </c>
      <c r="D90" t="s">
        <v>121</v>
      </c>
      <c r="E90" t="s">
        <v>63</v>
      </c>
      <c r="F90" t="s">
        <v>1107</v>
      </c>
      <c r="G90" t="s">
        <v>1312</v>
      </c>
      <c r="H90" t="s">
        <v>1507</v>
      </c>
      <c r="I90" t="s">
        <v>1044</v>
      </c>
      <c r="J90" t="s">
        <v>1560</v>
      </c>
      <c r="K90" t="s">
        <v>1577</v>
      </c>
      <c r="L90" t="s">
        <v>908</v>
      </c>
      <c r="M90" t="s">
        <v>1006</v>
      </c>
      <c r="N90" t="s">
        <v>1578</v>
      </c>
      <c r="O90" t="s">
        <v>1081</v>
      </c>
      <c r="P90" t="s">
        <v>915</v>
      </c>
      <c r="Q90" t="s">
        <v>1226</v>
      </c>
      <c r="R90" t="s">
        <v>1235</v>
      </c>
      <c r="S90" t="s">
        <v>924</v>
      </c>
      <c r="T90" t="s">
        <v>1220</v>
      </c>
      <c r="U90" t="s">
        <v>1539</v>
      </c>
      <c r="V90" t="s">
        <v>1065</v>
      </c>
      <c r="W90" t="s">
        <v>970</v>
      </c>
      <c r="X90" t="s">
        <v>1155</v>
      </c>
      <c r="Y90" t="s">
        <v>1092</v>
      </c>
      <c r="Z90" t="s">
        <v>918</v>
      </c>
      <c r="AA90" t="s">
        <v>969</v>
      </c>
      <c r="AB90" t="s">
        <v>924</v>
      </c>
      <c r="AC90" t="s">
        <v>924</v>
      </c>
      <c r="AD90" t="s">
        <v>1579</v>
      </c>
      <c r="AE90" t="s">
        <v>927</v>
      </c>
      <c r="AF90">
        <f t="shared" si="2"/>
        <v>17.099999999999998</v>
      </c>
      <c r="AG90">
        <f t="shared" si="3"/>
        <v>17.100900000000003</v>
      </c>
    </row>
    <row r="91" spans="1:33" x14ac:dyDescent="0.25">
      <c r="A91" t="s">
        <v>903</v>
      </c>
      <c r="B91" t="s">
        <v>1580</v>
      </c>
      <c r="C91" t="s">
        <v>973</v>
      </c>
      <c r="D91" t="s">
        <v>163</v>
      </c>
      <c r="E91" t="s">
        <v>56</v>
      </c>
      <c r="F91" t="s">
        <v>1355</v>
      </c>
      <c r="G91" t="s">
        <v>1355</v>
      </c>
      <c r="H91" t="s">
        <v>1581</v>
      </c>
      <c r="I91" t="s">
        <v>1092</v>
      </c>
      <c r="J91" t="s">
        <v>1316</v>
      </c>
      <c r="K91" t="s">
        <v>1240</v>
      </c>
      <c r="L91" t="s">
        <v>1012</v>
      </c>
      <c r="M91" t="s">
        <v>1172</v>
      </c>
      <c r="N91" t="s">
        <v>1435</v>
      </c>
      <c r="O91" t="s">
        <v>1135</v>
      </c>
      <c r="P91" t="s">
        <v>940</v>
      </c>
      <c r="Q91" t="s">
        <v>1364</v>
      </c>
      <c r="R91" t="s">
        <v>1208</v>
      </c>
      <c r="S91" t="s">
        <v>1000</v>
      </c>
      <c r="T91" t="s">
        <v>1160</v>
      </c>
      <c r="U91" t="s">
        <v>1582</v>
      </c>
      <c r="V91" t="s">
        <v>1065</v>
      </c>
      <c r="W91" t="s">
        <v>946</v>
      </c>
      <c r="X91" t="s">
        <v>979</v>
      </c>
      <c r="Y91" t="s">
        <v>1079</v>
      </c>
      <c r="Z91" t="s">
        <v>1008</v>
      </c>
      <c r="AA91" t="s">
        <v>1119</v>
      </c>
      <c r="AB91" t="s">
        <v>968</v>
      </c>
      <c r="AC91" t="s">
        <v>968</v>
      </c>
      <c r="AD91" t="s">
        <v>1167</v>
      </c>
      <c r="AE91" t="s">
        <v>927</v>
      </c>
      <c r="AF91">
        <f t="shared" si="2"/>
        <v>17.2</v>
      </c>
      <c r="AG91">
        <f t="shared" si="3"/>
        <v>17.137499999999999</v>
      </c>
    </row>
    <row r="92" spans="1:33" x14ac:dyDescent="0.25">
      <c r="A92" t="s">
        <v>1285</v>
      </c>
      <c r="B92" t="s">
        <v>483</v>
      </c>
      <c r="C92" t="s">
        <v>1293</v>
      </c>
      <c r="D92" t="s">
        <v>974</v>
      </c>
      <c r="E92" t="s">
        <v>47</v>
      </c>
      <c r="F92" t="s">
        <v>1446</v>
      </c>
      <c r="G92" t="s">
        <v>1096</v>
      </c>
      <c r="H92" t="s">
        <v>1583</v>
      </c>
      <c r="I92" t="s">
        <v>1092</v>
      </c>
      <c r="J92" t="s">
        <v>944</v>
      </c>
      <c r="K92" t="s">
        <v>1584</v>
      </c>
      <c r="L92" t="s">
        <v>993</v>
      </c>
      <c r="M92" t="s">
        <v>1059</v>
      </c>
      <c r="N92" t="s">
        <v>1154</v>
      </c>
      <c r="O92" t="s">
        <v>946</v>
      </c>
      <c r="P92" t="s">
        <v>1079</v>
      </c>
      <c r="Q92" t="s">
        <v>1058</v>
      </c>
      <c r="R92" t="s">
        <v>1585</v>
      </c>
      <c r="S92" t="s">
        <v>1000</v>
      </c>
      <c r="T92" t="s">
        <v>1228</v>
      </c>
      <c r="U92" t="s">
        <v>1102</v>
      </c>
      <c r="V92" t="s">
        <v>1008</v>
      </c>
      <c r="W92" t="s">
        <v>970</v>
      </c>
      <c r="X92" t="s">
        <v>1228</v>
      </c>
      <c r="Y92" t="s">
        <v>1230</v>
      </c>
      <c r="Z92" t="s">
        <v>987</v>
      </c>
      <c r="AA92" t="s">
        <v>934</v>
      </c>
      <c r="AB92" t="s">
        <v>1195</v>
      </c>
      <c r="AC92" t="s">
        <v>924</v>
      </c>
      <c r="AD92" t="s">
        <v>1357</v>
      </c>
      <c r="AE92" t="s">
        <v>927</v>
      </c>
      <c r="AF92">
        <f t="shared" si="2"/>
        <v>17.099999999999998</v>
      </c>
      <c r="AG92">
        <f t="shared" si="3"/>
        <v>17.024700000000003</v>
      </c>
    </row>
    <row r="93" spans="1:33" x14ac:dyDescent="0.25">
      <c r="A93" t="s">
        <v>1285</v>
      </c>
      <c r="B93" t="s">
        <v>483</v>
      </c>
      <c r="C93" t="s">
        <v>1293</v>
      </c>
      <c r="D93" t="s">
        <v>111</v>
      </c>
      <c r="E93" t="s">
        <v>47</v>
      </c>
      <c r="F93" t="s">
        <v>1376</v>
      </c>
      <c r="G93" t="s">
        <v>972</v>
      </c>
      <c r="H93" t="s">
        <v>1465</v>
      </c>
      <c r="I93" t="s">
        <v>1059</v>
      </c>
      <c r="J93" t="s">
        <v>1316</v>
      </c>
      <c r="K93" t="s">
        <v>1141</v>
      </c>
      <c r="L93" t="s">
        <v>1012</v>
      </c>
      <c r="M93" t="s">
        <v>1112</v>
      </c>
      <c r="N93" t="s">
        <v>1393</v>
      </c>
      <c r="O93" t="s">
        <v>979</v>
      </c>
      <c r="P93" t="s">
        <v>1006</v>
      </c>
      <c r="Q93" t="s">
        <v>1275</v>
      </c>
      <c r="R93" t="s">
        <v>1192</v>
      </c>
      <c r="S93" t="s">
        <v>919</v>
      </c>
      <c r="T93" t="s">
        <v>1134</v>
      </c>
      <c r="U93" t="s">
        <v>1586</v>
      </c>
      <c r="V93" t="s">
        <v>1008</v>
      </c>
      <c r="W93" t="s">
        <v>1048</v>
      </c>
      <c r="X93" t="s">
        <v>1160</v>
      </c>
      <c r="Y93" t="s">
        <v>1310</v>
      </c>
      <c r="Z93" t="s">
        <v>987</v>
      </c>
      <c r="AA93" t="s">
        <v>1119</v>
      </c>
      <c r="AB93" t="s">
        <v>1029</v>
      </c>
      <c r="AC93" t="s">
        <v>924</v>
      </c>
      <c r="AD93" t="s">
        <v>1496</v>
      </c>
      <c r="AE93" t="s">
        <v>927</v>
      </c>
      <c r="AF93">
        <f t="shared" si="2"/>
        <v>18.899999999999999</v>
      </c>
      <c r="AG93">
        <f t="shared" si="3"/>
        <v>19.026899999999998</v>
      </c>
    </row>
    <row r="94" spans="1:33" x14ac:dyDescent="0.25">
      <c r="A94" t="s">
        <v>1285</v>
      </c>
      <c r="B94" t="s">
        <v>483</v>
      </c>
      <c r="C94" t="s">
        <v>1293</v>
      </c>
      <c r="D94" t="s">
        <v>85</v>
      </c>
      <c r="E94" t="s">
        <v>47</v>
      </c>
      <c r="F94" t="s">
        <v>1293</v>
      </c>
      <c r="G94" t="s">
        <v>1031</v>
      </c>
      <c r="H94" t="s">
        <v>1317</v>
      </c>
      <c r="I94" t="s">
        <v>1046</v>
      </c>
      <c r="J94" t="s">
        <v>1450</v>
      </c>
      <c r="K94" t="s">
        <v>1514</v>
      </c>
      <c r="L94" t="s">
        <v>925</v>
      </c>
      <c r="M94" t="s">
        <v>962</v>
      </c>
      <c r="N94" t="s">
        <v>1474</v>
      </c>
      <c r="O94" t="s">
        <v>1012</v>
      </c>
      <c r="P94" t="s">
        <v>1134</v>
      </c>
      <c r="Q94" t="s">
        <v>1442</v>
      </c>
      <c r="R94" t="s">
        <v>1542</v>
      </c>
      <c r="S94" t="s">
        <v>924</v>
      </c>
      <c r="T94" t="s">
        <v>964</v>
      </c>
      <c r="U94" t="s">
        <v>1117</v>
      </c>
      <c r="V94" t="s">
        <v>969</v>
      </c>
      <c r="W94" t="s">
        <v>992</v>
      </c>
      <c r="X94" t="s">
        <v>1081</v>
      </c>
      <c r="Y94" t="s">
        <v>1195</v>
      </c>
      <c r="Z94" t="s">
        <v>1008</v>
      </c>
      <c r="AA94" t="s">
        <v>1094</v>
      </c>
      <c r="AB94" t="s">
        <v>918</v>
      </c>
      <c r="AC94" t="s">
        <v>993</v>
      </c>
      <c r="AD94" t="s">
        <v>1544</v>
      </c>
      <c r="AE94" t="s">
        <v>927</v>
      </c>
      <c r="AF94">
        <f t="shared" si="2"/>
        <v>14.4</v>
      </c>
      <c r="AG94">
        <f t="shared" si="3"/>
        <v>14.3065</v>
      </c>
    </row>
    <row r="95" spans="1:33" x14ac:dyDescent="0.25">
      <c r="A95" t="s">
        <v>1459</v>
      </c>
      <c r="B95" t="s">
        <v>330</v>
      </c>
      <c r="C95" t="s">
        <v>1176</v>
      </c>
      <c r="D95" t="s">
        <v>1069</v>
      </c>
      <c r="E95" t="s">
        <v>63</v>
      </c>
      <c r="F95" t="s">
        <v>1399</v>
      </c>
      <c r="G95" t="s">
        <v>1384</v>
      </c>
      <c r="H95" t="s">
        <v>1554</v>
      </c>
      <c r="I95" t="s">
        <v>940</v>
      </c>
      <c r="J95" t="s">
        <v>1508</v>
      </c>
      <c r="K95" t="s">
        <v>1587</v>
      </c>
      <c r="L95" t="s">
        <v>1049</v>
      </c>
      <c r="M95" t="s">
        <v>920</v>
      </c>
      <c r="N95" t="s">
        <v>1588</v>
      </c>
      <c r="O95" t="s">
        <v>1211</v>
      </c>
      <c r="P95" t="s">
        <v>1027</v>
      </c>
      <c r="Q95" t="s">
        <v>1288</v>
      </c>
      <c r="R95" t="s">
        <v>913</v>
      </c>
      <c r="S95" t="s">
        <v>908</v>
      </c>
      <c r="T95" t="s">
        <v>1012</v>
      </c>
      <c r="U95" t="s">
        <v>1589</v>
      </c>
      <c r="V95" t="s">
        <v>969</v>
      </c>
      <c r="W95" t="s">
        <v>1220</v>
      </c>
      <c r="X95" t="s">
        <v>970</v>
      </c>
      <c r="Y95" t="s">
        <v>1030</v>
      </c>
      <c r="Z95" t="s">
        <v>1064</v>
      </c>
      <c r="AA95" t="s">
        <v>1065</v>
      </c>
      <c r="AB95" t="s">
        <v>1049</v>
      </c>
      <c r="AC95" t="s">
        <v>1012</v>
      </c>
      <c r="AD95" t="s">
        <v>1357</v>
      </c>
      <c r="AE95" t="s">
        <v>927</v>
      </c>
      <c r="AF95">
        <f t="shared" si="2"/>
        <v>17</v>
      </c>
      <c r="AG95">
        <f t="shared" si="3"/>
        <v>17.030799999999999</v>
      </c>
    </row>
    <row r="96" spans="1:33" x14ac:dyDescent="0.25">
      <c r="A96" t="s">
        <v>1033</v>
      </c>
      <c r="B96" t="s">
        <v>1590</v>
      </c>
      <c r="C96" t="s">
        <v>1084</v>
      </c>
      <c r="D96" t="s">
        <v>95</v>
      </c>
      <c r="E96" t="s">
        <v>47</v>
      </c>
      <c r="F96" t="s">
        <v>1052</v>
      </c>
      <c r="G96" t="s">
        <v>1477</v>
      </c>
      <c r="H96" t="s">
        <v>1591</v>
      </c>
      <c r="I96" t="s">
        <v>1092</v>
      </c>
      <c r="J96" t="s">
        <v>1207</v>
      </c>
      <c r="K96" t="s">
        <v>1249</v>
      </c>
      <c r="L96" t="s">
        <v>922</v>
      </c>
      <c r="M96" t="s">
        <v>1134</v>
      </c>
      <c r="N96" t="s">
        <v>1379</v>
      </c>
      <c r="O96" t="s">
        <v>1155</v>
      </c>
      <c r="P96" t="s">
        <v>1023</v>
      </c>
      <c r="Q96" t="s">
        <v>1592</v>
      </c>
      <c r="R96" t="s">
        <v>1442</v>
      </c>
      <c r="S96" t="s">
        <v>1228</v>
      </c>
      <c r="T96" t="s">
        <v>962</v>
      </c>
      <c r="U96" t="s">
        <v>1593</v>
      </c>
      <c r="V96" t="s">
        <v>1310</v>
      </c>
      <c r="W96" t="s">
        <v>909</v>
      </c>
      <c r="X96" t="s">
        <v>1118</v>
      </c>
      <c r="Y96" t="s">
        <v>1160</v>
      </c>
      <c r="Z96" t="s">
        <v>923</v>
      </c>
      <c r="AA96" t="s">
        <v>1065</v>
      </c>
      <c r="AB96" t="s">
        <v>1220</v>
      </c>
      <c r="AC96" t="s">
        <v>924</v>
      </c>
      <c r="AD96" t="s">
        <v>1197</v>
      </c>
      <c r="AE96" t="s">
        <v>927</v>
      </c>
      <c r="AF96">
        <f t="shared" si="2"/>
        <v>16.899999999999999</v>
      </c>
      <c r="AG96">
        <f t="shared" si="3"/>
        <v>16.929600000000001</v>
      </c>
    </row>
    <row r="97" spans="1:33" x14ac:dyDescent="0.25">
      <c r="A97" t="s">
        <v>1594</v>
      </c>
      <c r="B97" t="s">
        <v>44</v>
      </c>
      <c r="C97" t="s">
        <v>1245</v>
      </c>
      <c r="D97" t="s">
        <v>45</v>
      </c>
      <c r="E97" t="s">
        <v>56</v>
      </c>
      <c r="F97" t="s">
        <v>930</v>
      </c>
      <c r="G97" t="s">
        <v>1343</v>
      </c>
      <c r="H97" t="s">
        <v>1486</v>
      </c>
      <c r="I97" t="s">
        <v>1329</v>
      </c>
      <c r="J97" t="s">
        <v>1360</v>
      </c>
      <c r="K97" t="s">
        <v>1595</v>
      </c>
      <c r="L97" t="s">
        <v>1012</v>
      </c>
      <c r="M97" t="s">
        <v>1009</v>
      </c>
      <c r="N97" t="s">
        <v>1056</v>
      </c>
      <c r="O97" t="s">
        <v>1104</v>
      </c>
      <c r="P97" t="s">
        <v>1059</v>
      </c>
      <c r="Q97" t="s">
        <v>1596</v>
      </c>
      <c r="R97" t="s">
        <v>1514</v>
      </c>
      <c r="S97" t="s">
        <v>979</v>
      </c>
      <c r="T97" t="s">
        <v>1170</v>
      </c>
      <c r="U97" t="s">
        <v>1597</v>
      </c>
      <c r="V97" t="s">
        <v>991</v>
      </c>
      <c r="W97" t="s">
        <v>1000</v>
      </c>
      <c r="X97" t="s">
        <v>1155</v>
      </c>
      <c r="Y97" t="s">
        <v>1092</v>
      </c>
      <c r="Z97" t="s">
        <v>1008</v>
      </c>
      <c r="AA97" t="s">
        <v>1119</v>
      </c>
      <c r="AB97" t="s">
        <v>1220</v>
      </c>
      <c r="AC97" t="s">
        <v>922</v>
      </c>
      <c r="AD97" t="s">
        <v>1386</v>
      </c>
      <c r="AE97" t="s">
        <v>927</v>
      </c>
      <c r="AF97">
        <f t="shared" si="2"/>
        <v>16.900000000000002</v>
      </c>
      <c r="AG97">
        <f t="shared" si="3"/>
        <v>16.8156</v>
      </c>
    </row>
    <row r="98" spans="1:33" x14ac:dyDescent="0.25">
      <c r="A98" t="s">
        <v>1598</v>
      </c>
      <c r="B98" t="s">
        <v>78</v>
      </c>
      <c r="C98" t="s">
        <v>1293</v>
      </c>
      <c r="D98" t="s">
        <v>79</v>
      </c>
      <c r="E98" t="s">
        <v>72</v>
      </c>
      <c r="F98" t="s">
        <v>1594</v>
      </c>
      <c r="G98" t="s">
        <v>1594</v>
      </c>
      <c r="H98" t="s">
        <v>1469</v>
      </c>
      <c r="I98" t="s">
        <v>988</v>
      </c>
      <c r="J98" t="s">
        <v>931</v>
      </c>
      <c r="K98" t="s">
        <v>1599</v>
      </c>
      <c r="L98" t="s">
        <v>1600</v>
      </c>
      <c r="M98" t="s">
        <v>1600</v>
      </c>
      <c r="N98" t="s">
        <v>927</v>
      </c>
      <c r="O98" t="s">
        <v>988</v>
      </c>
      <c r="P98" t="s">
        <v>931</v>
      </c>
      <c r="Q98" t="s">
        <v>1599</v>
      </c>
      <c r="R98" t="s">
        <v>1599</v>
      </c>
      <c r="S98" t="s">
        <v>956</v>
      </c>
      <c r="T98" t="s">
        <v>1135</v>
      </c>
      <c r="U98" t="s">
        <v>1601</v>
      </c>
      <c r="V98" t="s">
        <v>1155</v>
      </c>
      <c r="W98" t="s">
        <v>1024</v>
      </c>
      <c r="X98" t="s">
        <v>1306</v>
      </c>
      <c r="Y98" t="s">
        <v>1220</v>
      </c>
      <c r="Z98" t="s">
        <v>1008</v>
      </c>
      <c r="AA98" t="s">
        <v>1064</v>
      </c>
      <c r="AB98" t="s">
        <v>1029</v>
      </c>
      <c r="AC98" t="s">
        <v>908</v>
      </c>
      <c r="AD98" t="s">
        <v>1386</v>
      </c>
      <c r="AE98" t="s">
        <v>927</v>
      </c>
      <c r="AF98">
        <f t="shared" si="2"/>
        <v>16.8</v>
      </c>
      <c r="AG98" t="e">
        <f t="shared" si="3"/>
        <v>#VALUE!</v>
      </c>
    </row>
    <row r="99" spans="1:33" x14ac:dyDescent="0.25">
      <c r="A99" t="s">
        <v>1416</v>
      </c>
      <c r="B99" t="s">
        <v>226</v>
      </c>
      <c r="C99" t="s">
        <v>929</v>
      </c>
      <c r="D99" t="s">
        <v>113</v>
      </c>
      <c r="E99" t="s">
        <v>63</v>
      </c>
      <c r="F99" t="s">
        <v>903</v>
      </c>
      <c r="G99" t="s">
        <v>903</v>
      </c>
      <c r="H99" t="s">
        <v>1602</v>
      </c>
      <c r="I99" t="s">
        <v>1092</v>
      </c>
      <c r="J99" t="s">
        <v>1306</v>
      </c>
      <c r="K99" t="s">
        <v>1603</v>
      </c>
      <c r="L99" t="s">
        <v>979</v>
      </c>
      <c r="M99" t="s">
        <v>1035</v>
      </c>
      <c r="N99" t="s">
        <v>1604</v>
      </c>
      <c r="O99" t="s">
        <v>908</v>
      </c>
      <c r="P99" t="s">
        <v>979</v>
      </c>
      <c r="Q99" t="s">
        <v>1605</v>
      </c>
      <c r="R99" t="s">
        <v>1606</v>
      </c>
      <c r="S99" t="s">
        <v>968</v>
      </c>
      <c r="T99" t="s">
        <v>908</v>
      </c>
      <c r="U99" t="s">
        <v>1080</v>
      </c>
      <c r="V99" t="s">
        <v>918</v>
      </c>
      <c r="W99" t="s">
        <v>992</v>
      </c>
      <c r="X99" t="s">
        <v>1047</v>
      </c>
      <c r="Y99" t="s">
        <v>1134</v>
      </c>
      <c r="Z99" t="s">
        <v>918</v>
      </c>
      <c r="AA99" t="s">
        <v>1064</v>
      </c>
      <c r="AB99" t="s">
        <v>922</v>
      </c>
      <c r="AC99" t="s">
        <v>968</v>
      </c>
      <c r="AD99" t="s">
        <v>1345</v>
      </c>
      <c r="AE99" t="s">
        <v>927</v>
      </c>
      <c r="AF99">
        <f t="shared" si="2"/>
        <v>16.5</v>
      </c>
      <c r="AG99">
        <f t="shared" si="3"/>
        <v>16.396100000000001</v>
      </c>
    </row>
    <row r="100" spans="1:33" x14ac:dyDescent="0.25">
      <c r="A100" t="s">
        <v>1607</v>
      </c>
      <c r="B100" t="s">
        <v>353</v>
      </c>
      <c r="C100" t="s">
        <v>1015</v>
      </c>
      <c r="D100" t="s">
        <v>97</v>
      </c>
      <c r="E100" t="s">
        <v>63</v>
      </c>
      <c r="F100" t="s">
        <v>1416</v>
      </c>
      <c r="G100" t="s">
        <v>1222</v>
      </c>
      <c r="H100" t="s">
        <v>1581</v>
      </c>
      <c r="I100" t="s">
        <v>1092</v>
      </c>
      <c r="J100" t="s">
        <v>1508</v>
      </c>
      <c r="K100" t="s">
        <v>1075</v>
      </c>
      <c r="L100" t="s">
        <v>1160</v>
      </c>
      <c r="M100" t="s">
        <v>959</v>
      </c>
      <c r="N100" t="s">
        <v>1608</v>
      </c>
      <c r="O100" t="s">
        <v>922</v>
      </c>
      <c r="P100" t="s">
        <v>1030</v>
      </c>
      <c r="Q100" t="s">
        <v>1609</v>
      </c>
      <c r="R100" t="s">
        <v>1610</v>
      </c>
      <c r="S100" t="s">
        <v>945</v>
      </c>
      <c r="T100" t="s">
        <v>922</v>
      </c>
      <c r="U100" t="s">
        <v>1611</v>
      </c>
      <c r="V100" t="s">
        <v>969</v>
      </c>
      <c r="W100" t="s">
        <v>956</v>
      </c>
      <c r="X100" t="s">
        <v>1012</v>
      </c>
      <c r="Y100" t="s">
        <v>922</v>
      </c>
      <c r="Z100" t="s">
        <v>918</v>
      </c>
      <c r="AA100" t="s">
        <v>1119</v>
      </c>
      <c r="AB100" t="s">
        <v>923</v>
      </c>
      <c r="AC100" t="s">
        <v>1310</v>
      </c>
      <c r="AD100" t="s">
        <v>1612</v>
      </c>
      <c r="AE100" t="s">
        <v>927</v>
      </c>
      <c r="AF100">
        <f t="shared" si="2"/>
        <v>16.299999999999997</v>
      </c>
      <c r="AG100">
        <f t="shared" si="3"/>
        <v>16.302299999999999</v>
      </c>
    </row>
    <row r="101" spans="1:33" x14ac:dyDescent="0.25">
      <c r="A101" t="s">
        <v>1613</v>
      </c>
      <c r="B101" t="s">
        <v>168</v>
      </c>
      <c r="C101" t="s">
        <v>1084</v>
      </c>
      <c r="D101" t="s">
        <v>70</v>
      </c>
      <c r="E101" t="s">
        <v>63</v>
      </c>
      <c r="F101" t="s">
        <v>1446</v>
      </c>
      <c r="G101" t="s">
        <v>1399</v>
      </c>
      <c r="H101" t="s">
        <v>1614</v>
      </c>
      <c r="I101" t="s">
        <v>985</v>
      </c>
      <c r="J101" t="s">
        <v>1129</v>
      </c>
      <c r="K101" t="s">
        <v>1273</v>
      </c>
      <c r="L101" t="s">
        <v>993</v>
      </c>
      <c r="M101" t="s">
        <v>1112</v>
      </c>
      <c r="N101" t="s">
        <v>981</v>
      </c>
      <c r="O101" t="s">
        <v>1030</v>
      </c>
      <c r="P101" t="s">
        <v>1026</v>
      </c>
      <c r="Q101" t="s">
        <v>1235</v>
      </c>
      <c r="R101" t="s">
        <v>1615</v>
      </c>
      <c r="S101" t="s">
        <v>1310</v>
      </c>
      <c r="T101" t="s">
        <v>1049</v>
      </c>
      <c r="U101" t="s">
        <v>1616</v>
      </c>
      <c r="V101" t="s">
        <v>1065</v>
      </c>
      <c r="W101" t="s">
        <v>979</v>
      </c>
      <c r="X101" t="s">
        <v>1228</v>
      </c>
      <c r="Y101" t="s">
        <v>964</v>
      </c>
      <c r="Z101" t="s">
        <v>1195</v>
      </c>
      <c r="AA101" t="s">
        <v>1065</v>
      </c>
      <c r="AB101" t="s">
        <v>1230</v>
      </c>
      <c r="AC101" t="s">
        <v>922</v>
      </c>
      <c r="AD101" t="s">
        <v>1612</v>
      </c>
      <c r="AE101" t="s">
        <v>927</v>
      </c>
      <c r="AF101">
        <f t="shared" si="2"/>
        <v>16.399999999999999</v>
      </c>
      <c r="AG101">
        <f t="shared" si="3"/>
        <v>16.288800000000002</v>
      </c>
    </row>
    <row r="102" spans="1:33" x14ac:dyDescent="0.25">
      <c r="A102" t="s">
        <v>1617</v>
      </c>
      <c r="B102" t="s">
        <v>1618</v>
      </c>
      <c r="C102" t="s">
        <v>1204</v>
      </c>
      <c r="D102" t="s">
        <v>45</v>
      </c>
      <c r="E102" t="s">
        <v>63</v>
      </c>
      <c r="F102" t="s">
        <v>1376</v>
      </c>
      <c r="G102" t="s">
        <v>1096</v>
      </c>
      <c r="H102" t="s">
        <v>1120</v>
      </c>
      <c r="I102" t="s">
        <v>1329</v>
      </c>
      <c r="J102" t="s">
        <v>1316</v>
      </c>
      <c r="K102" t="s">
        <v>1619</v>
      </c>
      <c r="L102" t="s">
        <v>947</v>
      </c>
      <c r="M102" t="s">
        <v>1044</v>
      </c>
      <c r="N102" t="s">
        <v>1620</v>
      </c>
      <c r="O102" t="s">
        <v>1048</v>
      </c>
      <c r="P102" t="s">
        <v>1128</v>
      </c>
      <c r="Q102" t="s">
        <v>1168</v>
      </c>
      <c r="R102" t="s">
        <v>1021</v>
      </c>
      <c r="S102" t="s">
        <v>946</v>
      </c>
      <c r="T102" t="s">
        <v>1160</v>
      </c>
      <c r="U102" t="s">
        <v>1330</v>
      </c>
      <c r="V102" t="s">
        <v>1008</v>
      </c>
      <c r="W102" t="s">
        <v>993</v>
      </c>
      <c r="X102" t="s">
        <v>1048</v>
      </c>
      <c r="Y102" t="s">
        <v>1030</v>
      </c>
      <c r="Z102" t="s">
        <v>987</v>
      </c>
      <c r="AA102" t="s">
        <v>934</v>
      </c>
      <c r="AB102" t="s">
        <v>947</v>
      </c>
      <c r="AC102" t="s">
        <v>1230</v>
      </c>
      <c r="AD102" t="s">
        <v>1621</v>
      </c>
      <c r="AE102" t="s">
        <v>927</v>
      </c>
      <c r="AF102">
        <f t="shared" si="2"/>
        <v>16.200000000000003</v>
      </c>
      <c r="AG102">
        <f t="shared" si="3"/>
        <v>16.222100000000001</v>
      </c>
    </row>
    <row r="103" spans="1:33" x14ac:dyDescent="0.25">
      <c r="A103" t="s">
        <v>1622</v>
      </c>
      <c r="B103" t="s">
        <v>1623</v>
      </c>
      <c r="C103" t="s">
        <v>1164</v>
      </c>
      <c r="D103" t="s">
        <v>108</v>
      </c>
      <c r="E103" t="s">
        <v>93</v>
      </c>
      <c r="F103" t="s">
        <v>1403</v>
      </c>
      <c r="G103" t="s">
        <v>1403</v>
      </c>
      <c r="H103" t="s">
        <v>1624</v>
      </c>
      <c r="I103" t="s">
        <v>1063</v>
      </c>
      <c r="J103" t="s">
        <v>1129</v>
      </c>
      <c r="K103" t="s">
        <v>1075</v>
      </c>
      <c r="L103" t="s">
        <v>947</v>
      </c>
      <c r="M103" t="s">
        <v>940</v>
      </c>
      <c r="N103" t="s">
        <v>1625</v>
      </c>
      <c r="O103" t="s">
        <v>992</v>
      </c>
      <c r="P103" t="s">
        <v>988</v>
      </c>
      <c r="Q103" t="s">
        <v>1021</v>
      </c>
      <c r="R103" t="s">
        <v>1308</v>
      </c>
      <c r="S103" t="s">
        <v>1049</v>
      </c>
      <c r="T103" t="s">
        <v>924</v>
      </c>
      <c r="U103" t="s">
        <v>1060</v>
      </c>
      <c r="V103" t="s">
        <v>969</v>
      </c>
      <c r="W103" t="s">
        <v>1134</v>
      </c>
      <c r="X103" t="s">
        <v>1043</v>
      </c>
      <c r="Y103" t="s">
        <v>1170</v>
      </c>
      <c r="Z103" t="s">
        <v>968</v>
      </c>
      <c r="AA103" t="s">
        <v>1065</v>
      </c>
      <c r="AB103" t="s">
        <v>1012</v>
      </c>
      <c r="AC103" t="s">
        <v>993</v>
      </c>
      <c r="AD103" t="s">
        <v>1621</v>
      </c>
      <c r="AE103" t="s">
        <v>927</v>
      </c>
      <c r="AF103">
        <f t="shared" si="2"/>
        <v>16.2</v>
      </c>
      <c r="AG103">
        <f t="shared" si="3"/>
        <v>16.231000000000002</v>
      </c>
    </row>
    <row r="104" spans="1:33" x14ac:dyDescent="0.25">
      <c r="A104" t="s">
        <v>1626</v>
      </c>
      <c r="B104" t="s">
        <v>1627</v>
      </c>
      <c r="C104" t="s">
        <v>1032</v>
      </c>
      <c r="D104" t="s">
        <v>142</v>
      </c>
      <c r="E104" t="s">
        <v>56</v>
      </c>
      <c r="F104" t="s">
        <v>1343</v>
      </c>
      <c r="G104" t="s">
        <v>1343</v>
      </c>
      <c r="H104" t="s">
        <v>1214</v>
      </c>
      <c r="I104" t="s">
        <v>1092</v>
      </c>
      <c r="J104" t="s">
        <v>1360</v>
      </c>
      <c r="K104" t="s">
        <v>1346</v>
      </c>
      <c r="L104" t="s">
        <v>925</v>
      </c>
      <c r="M104" t="s">
        <v>1116</v>
      </c>
      <c r="N104" t="s">
        <v>1628</v>
      </c>
      <c r="O104" t="s">
        <v>979</v>
      </c>
      <c r="P104" t="s">
        <v>1172</v>
      </c>
      <c r="Q104" t="s">
        <v>1283</v>
      </c>
      <c r="R104" t="s">
        <v>1629</v>
      </c>
      <c r="S104" t="s">
        <v>1104</v>
      </c>
      <c r="T104" t="s">
        <v>946</v>
      </c>
      <c r="U104" t="s">
        <v>1301</v>
      </c>
      <c r="V104" t="s">
        <v>1008</v>
      </c>
      <c r="W104" t="s">
        <v>1000</v>
      </c>
      <c r="X104" t="s">
        <v>1228</v>
      </c>
      <c r="Y104" t="s">
        <v>1030</v>
      </c>
      <c r="Z104" t="s">
        <v>1310</v>
      </c>
      <c r="AA104" t="s">
        <v>918</v>
      </c>
      <c r="AB104" t="s">
        <v>964</v>
      </c>
      <c r="AC104" t="s">
        <v>1104</v>
      </c>
      <c r="AD104" t="s">
        <v>1621</v>
      </c>
      <c r="AE104" t="s">
        <v>927</v>
      </c>
      <c r="AF104">
        <f t="shared" si="2"/>
        <v>16.2</v>
      </c>
      <c r="AG104">
        <f t="shared" si="3"/>
        <v>16.115600000000001</v>
      </c>
    </row>
    <row r="105" spans="1:33" x14ac:dyDescent="0.25">
      <c r="A105" t="s">
        <v>1630</v>
      </c>
      <c r="B105" t="s">
        <v>320</v>
      </c>
      <c r="C105" t="s">
        <v>995</v>
      </c>
      <c r="D105" t="s">
        <v>170</v>
      </c>
      <c r="E105" t="s">
        <v>47</v>
      </c>
      <c r="F105" t="s">
        <v>1052</v>
      </c>
      <c r="G105" t="s">
        <v>1453</v>
      </c>
      <c r="H105" t="s">
        <v>1367</v>
      </c>
      <c r="I105" t="s">
        <v>1329</v>
      </c>
      <c r="J105" t="s">
        <v>931</v>
      </c>
      <c r="K105" t="s">
        <v>1555</v>
      </c>
      <c r="L105" t="s">
        <v>1230</v>
      </c>
      <c r="M105" t="s">
        <v>1228</v>
      </c>
      <c r="N105" t="s">
        <v>1267</v>
      </c>
      <c r="O105" t="s">
        <v>919</v>
      </c>
      <c r="P105" t="s">
        <v>1011</v>
      </c>
      <c r="Q105" t="s">
        <v>907</v>
      </c>
      <c r="R105" t="s">
        <v>1180</v>
      </c>
      <c r="S105" t="s">
        <v>1155</v>
      </c>
      <c r="T105" t="s">
        <v>1211</v>
      </c>
      <c r="U105" t="s">
        <v>1631</v>
      </c>
      <c r="V105" t="s">
        <v>945</v>
      </c>
      <c r="W105" t="s">
        <v>919</v>
      </c>
      <c r="X105" t="s">
        <v>1043</v>
      </c>
      <c r="Y105" t="s">
        <v>1049</v>
      </c>
      <c r="Z105" t="s">
        <v>1008</v>
      </c>
      <c r="AA105" t="s">
        <v>1094</v>
      </c>
      <c r="AB105" t="s">
        <v>1049</v>
      </c>
      <c r="AC105" t="s">
        <v>947</v>
      </c>
      <c r="AD105" t="s">
        <v>912</v>
      </c>
      <c r="AE105" t="s">
        <v>927</v>
      </c>
      <c r="AF105">
        <f t="shared" si="2"/>
        <v>16</v>
      </c>
      <c r="AG105">
        <f t="shared" si="3"/>
        <v>15.999000000000001</v>
      </c>
    </row>
    <row r="106" spans="1:33" x14ac:dyDescent="0.25">
      <c r="A106" t="s">
        <v>1632</v>
      </c>
      <c r="B106" t="s">
        <v>169</v>
      </c>
      <c r="C106" t="s">
        <v>1015</v>
      </c>
      <c r="D106" t="s">
        <v>170</v>
      </c>
      <c r="E106" t="s">
        <v>72</v>
      </c>
      <c r="F106" t="s">
        <v>1052</v>
      </c>
      <c r="G106" t="s">
        <v>1052</v>
      </c>
      <c r="H106" t="s">
        <v>1295</v>
      </c>
      <c r="I106" t="s">
        <v>1329</v>
      </c>
      <c r="J106" t="s">
        <v>905</v>
      </c>
      <c r="K106" t="s">
        <v>1300</v>
      </c>
      <c r="L106" t="s">
        <v>925</v>
      </c>
      <c r="M106" t="s">
        <v>1291</v>
      </c>
      <c r="N106" t="s">
        <v>1633</v>
      </c>
      <c r="O106" t="s">
        <v>970</v>
      </c>
      <c r="P106" t="s">
        <v>1079</v>
      </c>
      <c r="Q106" t="s">
        <v>1559</v>
      </c>
      <c r="R106" t="s">
        <v>1493</v>
      </c>
      <c r="S106" t="s">
        <v>1012</v>
      </c>
      <c r="T106" t="s">
        <v>970</v>
      </c>
      <c r="U106" t="s">
        <v>1634</v>
      </c>
      <c r="V106" t="s">
        <v>1195</v>
      </c>
      <c r="W106" t="s">
        <v>1043</v>
      </c>
      <c r="X106" t="s">
        <v>940</v>
      </c>
      <c r="Y106" t="s">
        <v>1310</v>
      </c>
      <c r="Z106" t="s">
        <v>987</v>
      </c>
      <c r="AA106" t="s">
        <v>956</v>
      </c>
      <c r="AB106" t="s">
        <v>922</v>
      </c>
      <c r="AC106" t="s">
        <v>993</v>
      </c>
      <c r="AD106" t="s">
        <v>1635</v>
      </c>
      <c r="AE106" t="s">
        <v>927</v>
      </c>
      <c r="AF106">
        <f t="shared" si="2"/>
        <v>15.6</v>
      </c>
      <c r="AG106">
        <f t="shared" si="3"/>
        <v>15.592500000000003</v>
      </c>
    </row>
    <row r="107" spans="1:33" x14ac:dyDescent="0.25">
      <c r="A107" t="s">
        <v>1636</v>
      </c>
      <c r="B107" t="s">
        <v>369</v>
      </c>
      <c r="C107" t="s">
        <v>1032</v>
      </c>
      <c r="D107" t="s">
        <v>148</v>
      </c>
      <c r="E107" t="s">
        <v>63</v>
      </c>
      <c r="F107" t="s">
        <v>1033</v>
      </c>
      <c r="G107" t="s">
        <v>1285</v>
      </c>
      <c r="H107" t="s">
        <v>1602</v>
      </c>
      <c r="I107" t="s">
        <v>1063</v>
      </c>
      <c r="J107" t="s">
        <v>1020</v>
      </c>
      <c r="K107" t="s">
        <v>1606</v>
      </c>
      <c r="L107" t="s">
        <v>1064</v>
      </c>
      <c r="M107" t="s">
        <v>1104</v>
      </c>
      <c r="N107" t="s">
        <v>1225</v>
      </c>
      <c r="O107" t="s">
        <v>1046</v>
      </c>
      <c r="P107" t="s">
        <v>1009</v>
      </c>
      <c r="Q107" t="s">
        <v>1637</v>
      </c>
      <c r="R107" t="s">
        <v>1638</v>
      </c>
      <c r="S107" t="s">
        <v>925</v>
      </c>
      <c r="T107" t="s">
        <v>1220</v>
      </c>
      <c r="U107" t="s">
        <v>1309</v>
      </c>
      <c r="V107" t="s">
        <v>945</v>
      </c>
      <c r="W107" t="s">
        <v>1160</v>
      </c>
      <c r="X107" t="s">
        <v>962</v>
      </c>
      <c r="Y107" t="s">
        <v>1012</v>
      </c>
      <c r="Z107" t="s">
        <v>1064</v>
      </c>
      <c r="AA107" t="s">
        <v>1065</v>
      </c>
      <c r="AB107" t="s">
        <v>923</v>
      </c>
      <c r="AC107" t="s">
        <v>925</v>
      </c>
      <c r="AD107" t="s">
        <v>1183</v>
      </c>
      <c r="AE107" t="s">
        <v>927</v>
      </c>
      <c r="AF107">
        <f t="shared" si="2"/>
        <v>15.3</v>
      </c>
      <c r="AG107">
        <f t="shared" si="3"/>
        <v>15.417300000000001</v>
      </c>
    </row>
    <row r="108" spans="1:33" x14ac:dyDescent="0.25">
      <c r="A108" t="s">
        <v>1639</v>
      </c>
      <c r="B108" t="s">
        <v>1640</v>
      </c>
      <c r="C108" t="s">
        <v>995</v>
      </c>
      <c r="D108" t="s">
        <v>1223</v>
      </c>
      <c r="E108" t="s">
        <v>93</v>
      </c>
      <c r="F108" t="s">
        <v>1150</v>
      </c>
      <c r="G108" t="s">
        <v>1106</v>
      </c>
      <c r="H108" t="s">
        <v>1254</v>
      </c>
      <c r="I108" t="s">
        <v>1291</v>
      </c>
      <c r="J108" t="s">
        <v>1076</v>
      </c>
      <c r="K108" t="s">
        <v>1337</v>
      </c>
      <c r="L108" t="s">
        <v>923</v>
      </c>
      <c r="M108" t="s">
        <v>1048</v>
      </c>
      <c r="N108" t="s">
        <v>1641</v>
      </c>
      <c r="O108" t="s">
        <v>1047</v>
      </c>
      <c r="P108" t="s">
        <v>1024</v>
      </c>
      <c r="Q108" t="s">
        <v>1471</v>
      </c>
      <c r="R108" t="s">
        <v>1451</v>
      </c>
      <c r="S108" t="s">
        <v>970</v>
      </c>
      <c r="T108" t="s">
        <v>920</v>
      </c>
      <c r="U108" t="s">
        <v>1642</v>
      </c>
      <c r="V108" t="s">
        <v>945</v>
      </c>
      <c r="W108" t="s">
        <v>1000</v>
      </c>
      <c r="X108" t="s">
        <v>1211</v>
      </c>
      <c r="Y108" t="s">
        <v>925</v>
      </c>
      <c r="Z108" t="s">
        <v>987</v>
      </c>
      <c r="AA108" t="s">
        <v>991</v>
      </c>
      <c r="AB108" t="s">
        <v>1310</v>
      </c>
      <c r="AC108" t="s">
        <v>1049</v>
      </c>
      <c r="AD108" t="s">
        <v>1527</v>
      </c>
      <c r="AE108" t="s">
        <v>927</v>
      </c>
      <c r="AF108">
        <f t="shared" si="2"/>
        <v>15.3</v>
      </c>
      <c r="AG108">
        <f t="shared" si="3"/>
        <v>15.310399999999998</v>
      </c>
    </row>
    <row r="109" spans="1:33" x14ac:dyDescent="0.25">
      <c r="A109" t="s">
        <v>1643</v>
      </c>
      <c r="B109" t="s">
        <v>1644</v>
      </c>
      <c r="C109" t="s">
        <v>1238</v>
      </c>
      <c r="D109" t="s">
        <v>108</v>
      </c>
      <c r="E109" t="s">
        <v>63</v>
      </c>
      <c r="F109" t="s">
        <v>1032</v>
      </c>
      <c r="G109" t="s">
        <v>1083</v>
      </c>
      <c r="H109" t="s">
        <v>1196</v>
      </c>
      <c r="I109" t="s">
        <v>1291</v>
      </c>
      <c r="J109" t="s">
        <v>944</v>
      </c>
      <c r="K109" t="s">
        <v>1455</v>
      </c>
      <c r="L109" t="s">
        <v>925</v>
      </c>
      <c r="M109" t="s">
        <v>1079</v>
      </c>
      <c r="N109" t="s">
        <v>1111</v>
      </c>
      <c r="O109" t="s">
        <v>970</v>
      </c>
      <c r="P109" t="s">
        <v>1059</v>
      </c>
      <c r="Q109" t="s">
        <v>1615</v>
      </c>
      <c r="R109" t="s">
        <v>1184</v>
      </c>
      <c r="S109" t="s">
        <v>908</v>
      </c>
      <c r="T109" t="s">
        <v>924</v>
      </c>
      <c r="U109" t="s">
        <v>1270</v>
      </c>
      <c r="V109" t="s">
        <v>969</v>
      </c>
      <c r="W109" t="s">
        <v>1049</v>
      </c>
      <c r="X109" t="s">
        <v>924</v>
      </c>
      <c r="Y109" t="s">
        <v>1012</v>
      </c>
      <c r="Z109" t="s">
        <v>1008</v>
      </c>
      <c r="AA109" t="s">
        <v>1600</v>
      </c>
      <c r="AB109" t="s">
        <v>1029</v>
      </c>
      <c r="AC109" t="s">
        <v>1029</v>
      </c>
      <c r="AD109" t="s">
        <v>1527</v>
      </c>
      <c r="AE109" t="s">
        <v>927</v>
      </c>
      <c r="AF109">
        <f t="shared" si="2"/>
        <v>15.299999999999999</v>
      </c>
      <c r="AG109">
        <f t="shared" si="3"/>
        <v>15.254600000000002</v>
      </c>
    </row>
    <row r="110" spans="1:33" x14ac:dyDescent="0.25">
      <c r="A110" t="s">
        <v>1645</v>
      </c>
      <c r="B110" t="s">
        <v>378</v>
      </c>
      <c r="C110" t="s">
        <v>1032</v>
      </c>
      <c r="D110" t="s">
        <v>1149</v>
      </c>
      <c r="E110" t="s">
        <v>72</v>
      </c>
      <c r="F110" t="s">
        <v>1422</v>
      </c>
      <c r="G110" t="s">
        <v>1403</v>
      </c>
      <c r="H110" t="s">
        <v>1082</v>
      </c>
      <c r="I110" t="s">
        <v>1059</v>
      </c>
      <c r="J110" t="s">
        <v>967</v>
      </c>
      <c r="K110" t="s">
        <v>1524</v>
      </c>
      <c r="L110" t="s">
        <v>1600</v>
      </c>
      <c r="M110" t="s">
        <v>1119</v>
      </c>
      <c r="N110" t="s">
        <v>1646</v>
      </c>
      <c r="O110" t="s">
        <v>1059</v>
      </c>
      <c r="P110" t="s">
        <v>1040</v>
      </c>
      <c r="Q110" t="s">
        <v>1325</v>
      </c>
      <c r="R110" t="s">
        <v>1524</v>
      </c>
      <c r="S110" t="s">
        <v>1135</v>
      </c>
      <c r="T110" t="s">
        <v>1030</v>
      </c>
      <c r="U110" t="s">
        <v>1375</v>
      </c>
      <c r="V110" t="s">
        <v>1135</v>
      </c>
      <c r="W110" t="s">
        <v>1026</v>
      </c>
      <c r="X110" t="s">
        <v>967</v>
      </c>
      <c r="Y110" t="s">
        <v>993</v>
      </c>
      <c r="Z110" t="s">
        <v>1008</v>
      </c>
      <c r="AA110" t="s">
        <v>945</v>
      </c>
      <c r="AB110" t="s">
        <v>1029</v>
      </c>
      <c r="AC110" t="s">
        <v>924</v>
      </c>
      <c r="AD110" t="s">
        <v>1527</v>
      </c>
      <c r="AE110" t="s">
        <v>927</v>
      </c>
      <c r="AF110">
        <f t="shared" si="2"/>
        <v>15.2</v>
      </c>
      <c r="AG110">
        <f t="shared" si="3"/>
        <v>15.2766</v>
      </c>
    </row>
    <row r="111" spans="1:33" x14ac:dyDescent="0.25">
      <c r="A111" t="s">
        <v>1647</v>
      </c>
      <c r="B111" t="s">
        <v>1648</v>
      </c>
      <c r="C111" t="s">
        <v>950</v>
      </c>
      <c r="D111" t="s">
        <v>108</v>
      </c>
      <c r="E111" t="s">
        <v>47</v>
      </c>
      <c r="F111" t="s">
        <v>1255</v>
      </c>
      <c r="G111" t="s">
        <v>1489</v>
      </c>
      <c r="H111" t="s">
        <v>1649</v>
      </c>
      <c r="I111" t="s">
        <v>1079</v>
      </c>
      <c r="J111" t="s">
        <v>1113</v>
      </c>
      <c r="K111" t="s">
        <v>1584</v>
      </c>
      <c r="L111" t="s">
        <v>945</v>
      </c>
      <c r="M111" t="s">
        <v>1228</v>
      </c>
      <c r="N111" t="s">
        <v>1650</v>
      </c>
      <c r="O111" t="s">
        <v>1211</v>
      </c>
      <c r="P111" t="s">
        <v>1010</v>
      </c>
      <c r="Q111" t="s">
        <v>1003</v>
      </c>
      <c r="R111" t="s">
        <v>1395</v>
      </c>
      <c r="S111" t="s">
        <v>947</v>
      </c>
      <c r="T111" t="s">
        <v>946</v>
      </c>
      <c r="U111" t="s">
        <v>1651</v>
      </c>
      <c r="V111" t="s">
        <v>1029</v>
      </c>
      <c r="W111" t="s">
        <v>1047</v>
      </c>
      <c r="X111" t="s">
        <v>1059</v>
      </c>
      <c r="Y111" t="s">
        <v>968</v>
      </c>
      <c r="Z111" t="s">
        <v>1310</v>
      </c>
      <c r="AA111" t="s">
        <v>1065</v>
      </c>
      <c r="AB111" t="s">
        <v>1195</v>
      </c>
      <c r="AC111" t="s">
        <v>1135</v>
      </c>
      <c r="AD111" t="s">
        <v>1439</v>
      </c>
      <c r="AE111" t="s">
        <v>927</v>
      </c>
      <c r="AF111">
        <f t="shared" si="2"/>
        <v>15.099999999999998</v>
      </c>
      <c r="AG111">
        <f t="shared" si="3"/>
        <v>15.168100000000003</v>
      </c>
    </row>
    <row r="112" spans="1:33" x14ac:dyDescent="0.25">
      <c r="A112" t="s">
        <v>1652</v>
      </c>
      <c r="B112" t="s">
        <v>1653</v>
      </c>
      <c r="C112" t="s">
        <v>995</v>
      </c>
      <c r="D112" t="s">
        <v>48</v>
      </c>
      <c r="E112" t="s">
        <v>72</v>
      </c>
      <c r="F112" t="s">
        <v>1204</v>
      </c>
      <c r="G112" t="s">
        <v>1204</v>
      </c>
      <c r="H112" t="s">
        <v>1654</v>
      </c>
      <c r="I112" t="s">
        <v>962</v>
      </c>
      <c r="J112" t="s">
        <v>1655</v>
      </c>
      <c r="K112" t="s">
        <v>1565</v>
      </c>
      <c r="L112" t="s">
        <v>1230</v>
      </c>
      <c r="M112" t="s">
        <v>992</v>
      </c>
      <c r="N112" t="s">
        <v>1019</v>
      </c>
      <c r="O112" t="s">
        <v>1155</v>
      </c>
      <c r="P112" t="s">
        <v>1023</v>
      </c>
      <c r="Q112" t="s">
        <v>1042</v>
      </c>
      <c r="R112" t="s">
        <v>1656</v>
      </c>
      <c r="S112" t="s">
        <v>1048</v>
      </c>
      <c r="T112" t="s">
        <v>1081</v>
      </c>
      <c r="U112" t="s">
        <v>1484</v>
      </c>
      <c r="V112" t="s">
        <v>1310</v>
      </c>
      <c r="W112" t="s">
        <v>940</v>
      </c>
      <c r="X112" t="s">
        <v>1061</v>
      </c>
      <c r="Y112" t="s">
        <v>956</v>
      </c>
      <c r="Z112" t="s">
        <v>1008</v>
      </c>
      <c r="AA112" t="s">
        <v>925</v>
      </c>
      <c r="AB112" t="s">
        <v>968</v>
      </c>
      <c r="AC112" t="s">
        <v>947</v>
      </c>
      <c r="AD112" t="s">
        <v>1487</v>
      </c>
      <c r="AE112" t="s">
        <v>927</v>
      </c>
      <c r="AF112">
        <f t="shared" si="2"/>
        <v>15</v>
      </c>
      <c r="AG112">
        <f t="shared" si="3"/>
        <v>15.027400000000002</v>
      </c>
    </row>
    <row r="113" spans="1:33" x14ac:dyDescent="0.25">
      <c r="A113" t="s">
        <v>1657</v>
      </c>
      <c r="B113" t="s">
        <v>233</v>
      </c>
      <c r="C113" t="s">
        <v>950</v>
      </c>
      <c r="D113" t="s">
        <v>974</v>
      </c>
      <c r="E113" t="s">
        <v>93</v>
      </c>
      <c r="F113" t="s">
        <v>1107</v>
      </c>
      <c r="G113" t="s">
        <v>1070</v>
      </c>
      <c r="H113" t="s">
        <v>1367</v>
      </c>
      <c r="I113" t="s">
        <v>909</v>
      </c>
      <c r="J113" t="s">
        <v>1658</v>
      </c>
      <c r="K113" t="s">
        <v>1659</v>
      </c>
      <c r="L113" t="s">
        <v>1310</v>
      </c>
      <c r="M113" t="s">
        <v>1134</v>
      </c>
      <c r="N113" t="s">
        <v>1660</v>
      </c>
      <c r="O113" t="s">
        <v>1081</v>
      </c>
      <c r="P113" t="s">
        <v>989</v>
      </c>
      <c r="Q113" t="s">
        <v>1274</v>
      </c>
      <c r="R113" t="s">
        <v>1021</v>
      </c>
      <c r="S113" t="s">
        <v>956</v>
      </c>
      <c r="T113" t="s">
        <v>946</v>
      </c>
      <c r="U113" t="s">
        <v>1638</v>
      </c>
      <c r="V113" t="s">
        <v>987</v>
      </c>
      <c r="W113" t="s">
        <v>1046</v>
      </c>
      <c r="X113" t="s">
        <v>909</v>
      </c>
      <c r="Y113" t="s">
        <v>947</v>
      </c>
      <c r="Z113" t="s">
        <v>969</v>
      </c>
      <c r="AA113" t="s">
        <v>1094</v>
      </c>
      <c r="AB113" t="s">
        <v>925</v>
      </c>
      <c r="AC113" t="s">
        <v>968</v>
      </c>
      <c r="AD113" t="s">
        <v>960</v>
      </c>
      <c r="AE113" t="s">
        <v>927</v>
      </c>
      <c r="AF113">
        <f t="shared" si="2"/>
        <v>14.9</v>
      </c>
      <c r="AG113">
        <f t="shared" si="3"/>
        <v>14.782999999999999</v>
      </c>
    </row>
    <row r="114" spans="1:33" x14ac:dyDescent="0.25">
      <c r="A114" t="s">
        <v>874</v>
      </c>
      <c r="B114" t="s">
        <v>171</v>
      </c>
      <c r="C114" t="s">
        <v>875</v>
      </c>
      <c r="D114" t="s">
        <v>172</v>
      </c>
      <c r="E114" t="s">
        <v>876</v>
      </c>
      <c r="F114" t="s">
        <v>392</v>
      </c>
      <c r="G114" t="s">
        <v>877</v>
      </c>
      <c r="H114" t="s">
        <v>878</v>
      </c>
      <c r="I114" t="s">
        <v>879</v>
      </c>
      <c r="J114" t="s">
        <v>880</v>
      </c>
      <c r="K114" t="s">
        <v>881</v>
      </c>
      <c r="L114" t="s">
        <v>882</v>
      </c>
      <c r="M114" t="s">
        <v>883</v>
      </c>
      <c r="N114" t="s">
        <v>884</v>
      </c>
      <c r="O114" t="s">
        <v>885</v>
      </c>
      <c r="P114" t="s">
        <v>886</v>
      </c>
      <c r="Q114" t="s">
        <v>887</v>
      </c>
      <c r="R114" t="s">
        <v>888</v>
      </c>
      <c r="S114" t="s">
        <v>889</v>
      </c>
      <c r="T114" t="s">
        <v>890</v>
      </c>
      <c r="U114" t="s">
        <v>891</v>
      </c>
      <c r="V114" t="s">
        <v>892</v>
      </c>
      <c r="W114" t="s">
        <v>893</v>
      </c>
      <c r="X114" t="s">
        <v>894</v>
      </c>
      <c r="Y114" t="s">
        <v>895</v>
      </c>
      <c r="Z114" t="s">
        <v>896</v>
      </c>
      <c r="AA114" t="s">
        <v>897</v>
      </c>
      <c r="AB114" t="s">
        <v>898</v>
      </c>
      <c r="AC114" t="s">
        <v>93</v>
      </c>
      <c r="AD114" t="s">
        <v>899</v>
      </c>
      <c r="AE114" t="s">
        <v>900</v>
      </c>
      <c r="AF114" t="e">
        <f t="shared" si="2"/>
        <v>#VALUE!</v>
      </c>
      <c r="AG114" t="e">
        <f t="shared" si="3"/>
        <v>#VALUE!</v>
      </c>
    </row>
    <row r="115" spans="1:33" x14ac:dyDescent="0.25">
      <c r="A115" t="s">
        <v>1657</v>
      </c>
      <c r="B115" t="s">
        <v>233</v>
      </c>
      <c r="C115" t="s">
        <v>950</v>
      </c>
      <c r="D115" t="s">
        <v>77</v>
      </c>
      <c r="E115" t="s">
        <v>93</v>
      </c>
      <c r="F115" t="s">
        <v>1204</v>
      </c>
      <c r="G115" t="s">
        <v>929</v>
      </c>
      <c r="H115" t="s">
        <v>1661</v>
      </c>
      <c r="I115" t="s">
        <v>1063</v>
      </c>
      <c r="J115" t="s">
        <v>1454</v>
      </c>
      <c r="K115" t="s">
        <v>1240</v>
      </c>
      <c r="L115" t="s">
        <v>1230</v>
      </c>
      <c r="M115" t="s">
        <v>920</v>
      </c>
      <c r="N115" t="s">
        <v>1662</v>
      </c>
      <c r="O115" t="s">
        <v>1211</v>
      </c>
      <c r="P115" t="s">
        <v>911</v>
      </c>
      <c r="Q115" t="s">
        <v>1451</v>
      </c>
      <c r="R115" t="s">
        <v>1099</v>
      </c>
      <c r="S115" t="s">
        <v>968</v>
      </c>
      <c r="T115" t="s">
        <v>946</v>
      </c>
      <c r="U115" t="s">
        <v>1663</v>
      </c>
      <c r="V115" t="s">
        <v>987</v>
      </c>
      <c r="W115" t="s">
        <v>1046</v>
      </c>
      <c r="X115" t="s">
        <v>1079</v>
      </c>
      <c r="Y115" t="s">
        <v>993</v>
      </c>
      <c r="Z115" t="s">
        <v>969</v>
      </c>
      <c r="AA115" t="s">
        <v>934</v>
      </c>
      <c r="AB115" t="s">
        <v>947</v>
      </c>
      <c r="AC115" t="s">
        <v>1029</v>
      </c>
      <c r="AD115" t="s">
        <v>1460</v>
      </c>
      <c r="AE115" t="s">
        <v>927</v>
      </c>
      <c r="AF115">
        <f t="shared" si="2"/>
        <v>15.2</v>
      </c>
      <c r="AG115">
        <f t="shared" si="3"/>
        <v>15.1892</v>
      </c>
    </row>
    <row r="116" spans="1:33" x14ac:dyDescent="0.25">
      <c r="A116" t="s">
        <v>1657</v>
      </c>
      <c r="B116" t="s">
        <v>233</v>
      </c>
      <c r="C116" t="s">
        <v>950</v>
      </c>
      <c r="D116" t="s">
        <v>105</v>
      </c>
      <c r="E116" t="s">
        <v>93</v>
      </c>
      <c r="F116" t="s">
        <v>1355</v>
      </c>
      <c r="G116" t="s">
        <v>1204</v>
      </c>
      <c r="H116" t="s">
        <v>1664</v>
      </c>
      <c r="I116" t="s">
        <v>1329</v>
      </c>
      <c r="J116" t="s">
        <v>944</v>
      </c>
      <c r="K116" t="s">
        <v>1665</v>
      </c>
      <c r="L116" t="s">
        <v>1310</v>
      </c>
      <c r="M116" t="s">
        <v>1211</v>
      </c>
      <c r="N116" t="s">
        <v>1666</v>
      </c>
      <c r="O116" t="s">
        <v>1160</v>
      </c>
      <c r="P116" t="s">
        <v>1118</v>
      </c>
      <c r="Q116" t="s">
        <v>1381</v>
      </c>
      <c r="R116" t="s">
        <v>1667</v>
      </c>
      <c r="S116" t="s">
        <v>908</v>
      </c>
      <c r="T116" t="s">
        <v>1048</v>
      </c>
      <c r="U116" t="s">
        <v>1668</v>
      </c>
      <c r="V116" t="s">
        <v>987</v>
      </c>
      <c r="W116" t="s">
        <v>1134</v>
      </c>
      <c r="X116" t="s">
        <v>1092</v>
      </c>
      <c r="Y116" t="s">
        <v>925</v>
      </c>
      <c r="Z116" t="s">
        <v>1065</v>
      </c>
      <c r="AA116" t="s">
        <v>991</v>
      </c>
      <c r="AB116" t="s">
        <v>925</v>
      </c>
      <c r="AC116" t="s">
        <v>956</v>
      </c>
      <c r="AD116" t="s">
        <v>1669</v>
      </c>
      <c r="AE116" t="s">
        <v>927</v>
      </c>
      <c r="AF116">
        <f t="shared" si="2"/>
        <v>14.4</v>
      </c>
      <c r="AG116">
        <f t="shared" si="3"/>
        <v>14.498800000000003</v>
      </c>
    </row>
    <row r="117" spans="1:33" x14ac:dyDescent="0.25">
      <c r="A117" t="s">
        <v>1670</v>
      </c>
      <c r="B117" t="s">
        <v>103</v>
      </c>
      <c r="C117" t="s">
        <v>1238</v>
      </c>
      <c r="D117" t="s">
        <v>70</v>
      </c>
      <c r="E117" t="s">
        <v>56</v>
      </c>
      <c r="F117" t="s">
        <v>1598</v>
      </c>
      <c r="G117" t="s">
        <v>1150</v>
      </c>
      <c r="H117" t="s">
        <v>1671</v>
      </c>
      <c r="I117" t="s">
        <v>962</v>
      </c>
      <c r="J117" t="s">
        <v>1241</v>
      </c>
      <c r="K117" t="s">
        <v>1672</v>
      </c>
      <c r="L117" t="s">
        <v>945</v>
      </c>
      <c r="M117" t="s">
        <v>919</v>
      </c>
      <c r="N117" t="s">
        <v>1673</v>
      </c>
      <c r="O117" t="s">
        <v>1228</v>
      </c>
      <c r="P117" t="s">
        <v>1027</v>
      </c>
      <c r="Q117" t="s">
        <v>1041</v>
      </c>
      <c r="R117" t="s">
        <v>1249</v>
      </c>
      <c r="S117" t="s">
        <v>946</v>
      </c>
      <c r="T117" t="s">
        <v>1081</v>
      </c>
      <c r="U117" t="s">
        <v>1674</v>
      </c>
      <c r="V117" t="s">
        <v>1064</v>
      </c>
      <c r="W117" t="s">
        <v>1012</v>
      </c>
      <c r="X117" t="s">
        <v>1030</v>
      </c>
      <c r="Y117" t="s">
        <v>919</v>
      </c>
      <c r="Z117" t="s">
        <v>918</v>
      </c>
      <c r="AA117" t="s">
        <v>1094</v>
      </c>
      <c r="AB117" t="s">
        <v>925</v>
      </c>
      <c r="AC117" t="s">
        <v>956</v>
      </c>
      <c r="AD117" t="s">
        <v>1675</v>
      </c>
      <c r="AE117" t="s">
        <v>927</v>
      </c>
      <c r="AF117">
        <f t="shared" si="2"/>
        <v>14.7</v>
      </c>
      <c r="AG117">
        <f t="shared" si="3"/>
        <v>14.662499999999998</v>
      </c>
    </row>
    <row r="118" spans="1:33" x14ac:dyDescent="0.25">
      <c r="A118" t="s">
        <v>1676</v>
      </c>
      <c r="B118" t="s">
        <v>347</v>
      </c>
      <c r="C118" t="s">
        <v>950</v>
      </c>
      <c r="D118" t="s">
        <v>148</v>
      </c>
      <c r="E118" t="s">
        <v>93</v>
      </c>
      <c r="F118" t="s">
        <v>1177</v>
      </c>
      <c r="G118" t="s">
        <v>1187</v>
      </c>
      <c r="H118" t="s">
        <v>1677</v>
      </c>
      <c r="I118" t="s">
        <v>962</v>
      </c>
      <c r="J118" t="s">
        <v>943</v>
      </c>
      <c r="K118" t="s">
        <v>1275</v>
      </c>
      <c r="L118" t="s">
        <v>1310</v>
      </c>
      <c r="M118" t="s">
        <v>1000</v>
      </c>
      <c r="N118" t="s">
        <v>1659</v>
      </c>
      <c r="O118" t="s">
        <v>1030</v>
      </c>
      <c r="P118" t="s">
        <v>921</v>
      </c>
      <c r="Q118" t="s">
        <v>1510</v>
      </c>
      <c r="R118" t="s">
        <v>939</v>
      </c>
      <c r="S118" t="s">
        <v>1104</v>
      </c>
      <c r="T118" t="s">
        <v>979</v>
      </c>
      <c r="U118" t="s">
        <v>1388</v>
      </c>
      <c r="V118" t="s">
        <v>1029</v>
      </c>
      <c r="W118" t="s">
        <v>970</v>
      </c>
      <c r="X118" t="s">
        <v>1134</v>
      </c>
      <c r="Y118" t="s">
        <v>1048</v>
      </c>
      <c r="Z118" t="s">
        <v>1065</v>
      </c>
      <c r="AA118" t="s">
        <v>1094</v>
      </c>
      <c r="AB118" t="s">
        <v>1230</v>
      </c>
      <c r="AC118" t="s">
        <v>1029</v>
      </c>
      <c r="AD118" t="s">
        <v>1675</v>
      </c>
      <c r="AE118" t="s">
        <v>927</v>
      </c>
      <c r="AF118">
        <f t="shared" si="2"/>
        <v>14.7</v>
      </c>
      <c r="AG118">
        <f t="shared" si="3"/>
        <v>14.615399999999998</v>
      </c>
    </row>
    <row r="119" spans="1:33" x14ac:dyDescent="0.25">
      <c r="A119" t="s">
        <v>1678</v>
      </c>
      <c r="B119" t="s">
        <v>324</v>
      </c>
      <c r="C119" t="s">
        <v>902</v>
      </c>
      <c r="D119" t="s">
        <v>151</v>
      </c>
      <c r="E119" t="s">
        <v>93</v>
      </c>
      <c r="F119" t="s">
        <v>1489</v>
      </c>
      <c r="G119" t="s">
        <v>1410</v>
      </c>
      <c r="H119" t="s">
        <v>1224</v>
      </c>
      <c r="I119" t="s">
        <v>1043</v>
      </c>
      <c r="J119" t="s">
        <v>1207</v>
      </c>
      <c r="K119" t="s">
        <v>1440</v>
      </c>
      <c r="L119" t="s">
        <v>1029</v>
      </c>
      <c r="M119" t="s">
        <v>1081</v>
      </c>
      <c r="N119" t="s">
        <v>1679</v>
      </c>
      <c r="O119" t="s">
        <v>1030</v>
      </c>
      <c r="P119" t="s">
        <v>1028</v>
      </c>
      <c r="Q119" t="s">
        <v>1021</v>
      </c>
      <c r="R119" t="s">
        <v>1101</v>
      </c>
      <c r="S119" t="s">
        <v>993</v>
      </c>
      <c r="T119" t="s">
        <v>979</v>
      </c>
      <c r="U119" t="s">
        <v>1680</v>
      </c>
      <c r="V119" t="s">
        <v>1230</v>
      </c>
      <c r="W119" t="s">
        <v>1044</v>
      </c>
      <c r="X119" t="s">
        <v>1011</v>
      </c>
      <c r="Y119" t="s">
        <v>947</v>
      </c>
      <c r="Z119" t="s">
        <v>1064</v>
      </c>
      <c r="AA119" t="s">
        <v>1064</v>
      </c>
      <c r="AB119" t="s">
        <v>908</v>
      </c>
      <c r="AC119" t="s">
        <v>947</v>
      </c>
      <c r="AD119" t="s">
        <v>1675</v>
      </c>
      <c r="AE119" t="s">
        <v>927</v>
      </c>
      <c r="AF119">
        <f t="shared" si="2"/>
        <v>14.7</v>
      </c>
      <c r="AG119">
        <f t="shared" si="3"/>
        <v>14.7226</v>
      </c>
    </row>
    <row r="120" spans="1:33" x14ac:dyDescent="0.25">
      <c r="A120" t="s">
        <v>1681</v>
      </c>
      <c r="B120" t="s">
        <v>258</v>
      </c>
      <c r="C120" t="s">
        <v>1084</v>
      </c>
      <c r="D120" t="s">
        <v>974</v>
      </c>
      <c r="E120" t="s">
        <v>63</v>
      </c>
      <c r="F120" t="s">
        <v>1138</v>
      </c>
      <c r="G120" t="s">
        <v>1376</v>
      </c>
      <c r="H120" t="s">
        <v>1066</v>
      </c>
      <c r="I120" t="s">
        <v>1005</v>
      </c>
      <c r="J120" t="s">
        <v>1253</v>
      </c>
      <c r="K120" t="s">
        <v>1682</v>
      </c>
      <c r="L120" t="s">
        <v>925</v>
      </c>
      <c r="M120" t="s">
        <v>1092</v>
      </c>
      <c r="N120" t="s">
        <v>1683</v>
      </c>
      <c r="O120" t="s">
        <v>1135</v>
      </c>
      <c r="P120" t="s">
        <v>1329</v>
      </c>
      <c r="Q120" t="s">
        <v>1592</v>
      </c>
      <c r="R120" t="s">
        <v>1288</v>
      </c>
      <c r="S120" t="s">
        <v>925</v>
      </c>
      <c r="T120" t="s">
        <v>964</v>
      </c>
      <c r="U120" t="s">
        <v>1684</v>
      </c>
      <c r="V120" t="s">
        <v>987</v>
      </c>
      <c r="W120" t="s">
        <v>979</v>
      </c>
      <c r="X120" t="s">
        <v>1170</v>
      </c>
      <c r="Y120" t="s">
        <v>1135</v>
      </c>
      <c r="Z120" t="s">
        <v>923</v>
      </c>
      <c r="AA120" t="s">
        <v>1094</v>
      </c>
      <c r="AB120" t="s">
        <v>1049</v>
      </c>
      <c r="AC120" t="s">
        <v>968</v>
      </c>
      <c r="AD120" t="s">
        <v>1685</v>
      </c>
      <c r="AE120" t="s">
        <v>927</v>
      </c>
      <c r="AF120">
        <f t="shared" si="2"/>
        <v>14.599999999999998</v>
      </c>
      <c r="AG120">
        <f t="shared" si="3"/>
        <v>14.6249</v>
      </c>
    </row>
    <row r="121" spans="1:33" x14ac:dyDescent="0.25">
      <c r="A121" t="s">
        <v>1681</v>
      </c>
      <c r="B121" t="s">
        <v>258</v>
      </c>
      <c r="C121" t="s">
        <v>1084</v>
      </c>
      <c r="D121" t="s">
        <v>151</v>
      </c>
      <c r="E121" t="s">
        <v>63</v>
      </c>
      <c r="F121" t="s">
        <v>1150</v>
      </c>
      <c r="G121" t="s">
        <v>1137</v>
      </c>
      <c r="H121" t="s">
        <v>1347</v>
      </c>
      <c r="I121" t="s">
        <v>992</v>
      </c>
      <c r="J121" t="s">
        <v>1011</v>
      </c>
      <c r="K121" t="s">
        <v>1258</v>
      </c>
      <c r="L121" t="s">
        <v>922</v>
      </c>
      <c r="M121" t="s">
        <v>1170</v>
      </c>
      <c r="N121" t="s">
        <v>1686</v>
      </c>
      <c r="O121" t="s">
        <v>1049</v>
      </c>
      <c r="P121" t="s">
        <v>979</v>
      </c>
      <c r="Q121" t="s">
        <v>1396</v>
      </c>
      <c r="R121" t="s">
        <v>1585</v>
      </c>
      <c r="S121" t="s">
        <v>1195</v>
      </c>
      <c r="T121" t="s">
        <v>922</v>
      </c>
      <c r="U121" t="s">
        <v>1547</v>
      </c>
      <c r="V121" t="s">
        <v>969</v>
      </c>
      <c r="W121" t="s">
        <v>1048</v>
      </c>
      <c r="X121" t="s">
        <v>1155</v>
      </c>
      <c r="Y121" t="s">
        <v>908</v>
      </c>
      <c r="Z121" t="s">
        <v>1008</v>
      </c>
      <c r="AA121" t="s">
        <v>934</v>
      </c>
      <c r="AB121" t="s">
        <v>1195</v>
      </c>
      <c r="AC121" t="s">
        <v>922</v>
      </c>
      <c r="AD121" t="s">
        <v>967</v>
      </c>
      <c r="AE121" t="s">
        <v>927</v>
      </c>
      <c r="AF121">
        <f t="shared" si="2"/>
        <v>10.200000000000001</v>
      </c>
      <c r="AG121">
        <f t="shared" si="3"/>
        <v>10.2357</v>
      </c>
    </row>
    <row r="122" spans="1:33" x14ac:dyDescent="0.25">
      <c r="A122" t="s">
        <v>1681</v>
      </c>
      <c r="B122" t="s">
        <v>258</v>
      </c>
      <c r="C122" t="s">
        <v>1084</v>
      </c>
      <c r="D122" t="s">
        <v>108</v>
      </c>
      <c r="E122" t="s">
        <v>63</v>
      </c>
      <c r="F122" t="s">
        <v>1015</v>
      </c>
      <c r="G122" t="s">
        <v>973</v>
      </c>
      <c r="H122" t="s">
        <v>1256</v>
      </c>
      <c r="I122" t="s">
        <v>990</v>
      </c>
      <c r="J122" t="s">
        <v>1345</v>
      </c>
      <c r="K122" t="s">
        <v>1099</v>
      </c>
      <c r="L122" t="s">
        <v>964</v>
      </c>
      <c r="M122" t="s">
        <v>915</v>
      </c>
      <c r="N122" t="s">
        <v>1411</v>
      </c>
      <c r="O122" t="s">
        <v>1134</v>
      </c>
      <c r="P122" t="s">
        <v>1182</v>
      </c>
      <c r="Q122" t="s">
        <v>1057</v>
      </c>
      <c r="R122" t="s">
        <v>1057</v>
      </c>
      <c r="S122" t="s">
        <v>992</v>
      </c>
      <c r="T122" t="s">
        <v>1134</v>
      </c>
      <c r="U122" t="s">
        <v>1687</v>
      </c>
      <c r="V122" t="s">
        <v>923</v>
      </c>
      <c r="W122" t="s">
        <v>919</v>
      </c>
      <c r="X122" t="s">
        <v>962</v>
      </c>
      <c r="Y122" t="s">
        <v>1047</v>
      </c>
      <c r="Z122" t="s">
        <v>1310</v>
      </c>
      <c r="AA122" t="s">
        <v>991</v>
      </c>
      <c r="AB122" t="s">
        <v>964</v>
      </c>
      <c r="AC122" t="s">
        <v>908</v>
      </c>
      <c r="AD122" t="s">
        <v>1688</v>
      </c>
      <c r="AE122" t="s">
        <v>927</v>
      </c>
      <c r="AF122">
        <f t="shared" si="2"/>
        <v>21.900000000000002</v>
      </c>
      <c r="AG122">
        <f t="shared" si="3"/>
        <v>21.9527</v>
      </c>
    </row>
    <row r="123" spans="1:33" x14ac:dyDescent="0.25">
      <c r="A123" t="s">
        <v>1689</v>
      </c>
      <c r="B123" t="s">
        <v>207</v>
      </c>
      <c r="C123" t="s">
        <v>995</v>
      </c>
      <c r="D123" t="s">
        <v>131</v>
      </c>
      <c r="E123" t="s">
        <v>56</v>
      </c>
      <c r="F123" t="s">
        <v>951</v>
      </c>
      <c r="G123" t="s">
        <v>1377</v>
      </c>
      <c r="H123" t="s">
        <v>1295</v>
      </c>
      <c r="I123" t="s">
        <v>1043</v>
      </c>
      <c r="J123" t="s">
        <v>1546</v>
      </c>
      <c r="K123" t="s">
        <v>1364</v>
      </c>
      <c r="L123" t="s">
        <v>1310</v>
      </c>
      <c r="M123" t="s">
        <v>1228</v>
      </c>
      <c r="N123" t="s">
        <v>1435</v>
      </c>
      <c r="O123" t="s">
        <v>1155</v>
      </c>
      <c r="P123" t="s">
        <v>988</v>
      </c>
      <c r="Q123" t="s">
        <v>1274</v>
      </c>
      <c r="R123" t="s">
        <v>1275</v>
      </c>
      <c r="S123" t="s">
        <v>993</v>
      </c>
      <c r="T123" t="s">
        <v>1048</v>
      </c>
      <c r="U123" t="s">
        <v>1371</v>
      </c>
      <c r="V123" t="s">
        <v>968</v>
      </c>
      <c r="W123" t="s">
        <v>1044</v>
      </c>
      <c r="X123" t="s">
        <v>1027</v>
      </c>
      <c r="Y123" t="s">
        <v>1026</v>
      </c>
      <c r="Z123" t="s">
        <v>945</v>
      </c>
      <c r="AA123" t="s">
        <v>969</v>
      </c>
      <c r="AB123" t="s">
        <v>964</v>
      </c>
      <c r="AC123" t="s">
        <v>922</v>
      </c>
      <c r="AD123" t="s">
        <v>1685</v>
      </c>
      <c r="AE123" t="s">
        <v>927</v>
      </c>
      <c r="AF123">
        <f t="shared" si="2"/>
        <v>14.6</v>
      </c>
      <c r="AG123">
        <f t="shared" si="3"/>
        <v>14.6128</v>
      </c>
    </row>
    <row r="124" spans="1:33" x14ac:dyDescent="0.25">
      <c r="A124" t="s">
        <v>1690</v>
      </c>
      <c r="B124" t="s">
        <v>1691</v>
      </c>
      <c r="C124" t="s">
        <v>950</v>
      </c>
      <c r="D124" t="s">
        <v>163</v>
      </c>
      <c r="E124" t="s">
        <v>72</v>
      </c>
      <c r="F124" t="s">
        <v>1489</v>
      </c>
      <c r="G124" t="s">
        <v>1410</v>
      </c>
      <c r="H124" t="s">
        <v>971</v>
      </c>
      <c r="I124" t="s">
        <v>921</v>
      </c>
      <c r="J124" t="s">
        <v>967</v>
      </c>
      <c r="K124" t="s">
        <v>961</v>
      </c>
      <c r="L124" t="s">
        <v>1600</v>
      </c>
      <c r="M124" t="s">
        <v>1119</v>
      </c>
      <c r="N124" t="s">
        <v>1666</v>
      </c>
      <c r="O124" t="s">
        <v>921</v>
      </c>
      <c r="P124" t="s">
        <v>1040</v>
      </c>
      <c r="Q124" t="s">
        <v>1599</v>
      </c>
      <c r="R124" t="s">
        <v>1599</v>
      </c>
      <c r="S124" t="s">
        <v>922</v>
      </c>
      <c r="T124" t="s">
        <v>993</v>
      </c>
      <c r="U124" t="s">
        <v>1692</v>
      </c>
      <c r="V124" t="s">
        <v>970</v>
      </c>
      <c r="W124" t="s">
        <v>1044</v>
      </c>
      <c r="X124" t="s">
        <v>980</v>
      </c>
      <c r="Y124" t="s">
        <v>1104</v>
      </c>
      <c r="Z124" t="s">
        <v>945</v>
      </c>
      <c r="AA124" t="s">
        <v>945</v>
      </c>
      <c r="AB124" t="s">
        <v>1049</v>
      </c>
      <c r="AC124" t="s">
        <v>946</v>
      </c>
      <c r="AD124" t="s">
        <v>1669</v>
      </c>
      <c r="AE124" t="s">
        <v>927</v>
      </c>
      <c r="AF124">
        <f t="shared" si="2"/>
        <v>14.5</v>
      </c>
      <c r="AG124">
        <f t="shared" si="3"/>
        <v>14.470499999999999</v>
      </c>
    </row>
    <row r="125" spans="1:33" x14ac:dyDescent="0.25">
      <c r="A125" t="s">
        <v>1693</v>
      </c>
      <c r="B125" t="s">
        <v>1694</v>
      </c>
      <c r="C125" t="s">
        <v>902</v>
      </c>
      <c r="D125" t="s">
        <v>95</v>
      </c>
      <c r="E125" t="s">
        <v>72</v>
      </c>
      <c r="F125" t="s">
        <v>1233</v>
      </c>
      <c r="G125" t="s">
        <v>1233</v>
      </c>
      <c r="H125" t="s">
        <v>1295</v>
      </c>
      <c r="I125" t="s">
        <v>1006</v>
      </c>
      <c r="J125" t="s">
        <v>1207</v>
      </c>
      <c r="K125" t="s">
        <v>1504</v>
      </c>
      <c r="L125" t="s">
        <v>934</v>
      </c>
      <c r="M125" t="s">
        <v>987</v>
      </c>
      <c r="N125" t="s">
        <v>1695</v>
      </c>
      <c r="O125" t="s">
        <v>940</v>
      </c>
      <c r="P125" t="s">
        <v>982</v>
      </c>
      <c r="Q125" t="s">
        <v>1561</v>
      </c>
      <c r="R125" t="s">
        <v>1585</v>
      </c>
      <c r="S125" t="s">
        <v>923</v>
      </c>
      <c r="T125" t="s">
        <v>1310</v>
      </c>
      <c r="U125" t="s">
        <v>1696</v>
      </c>
      <c r="V125" t="s">
        <v>946</v>
      </c>
      <c r="W125" t="s">
        <v>1128</v>
      </c>
      <c r="X125" t="s">
        <v>967</v>
      </c>
      <c r="Y125" t="s">
        <v>1029</v>
      </c>
      <c r="Z125" t="s">
        <v>987</v>
      </c>
      <c r="AA125" t="s">
        <v>923</v>
      </c>
      <c r="AB125" t="s">
        <v>922</v>
      </c>
      <c r="AC125" t="s">
        <v>925</v>
      </c>
      <c r="AD125" t="s">
        <v>1560</v>
      </c>
      <c r="AE125" t="s">
        <v>927</v>
      </c>
      <c r="AF125">
        <f t="shared" si="2"/>
        <v>14.399999999999999</v>
      </c>
      <c r="AG125">
        <f t="shared" si="3"/>
        <v>14.400899999999998</v>
      </c>
    </row>
    <row r="126" spans="1:33" x14ac:dyDescent="0.25">
      <c r="A126" t="s">
        <v>1697</v>
      </c>
      <c r="B126" t="s">
        <v>1698</v>
      </c>
      <c r="C126" t="s">
        <v>1245</v>
      </c>
      <c r="D126" t="s">
        <v>163</v>
      </c>
      <c r="E126" t="s">
        <v>63</v>
      </c>
      <c r="F126" t="s">
        <v>1477</v>
      </c>
      <c r="G126" t="s">
        <v>1477</v>
      </c>
      <c r="H126" t="s">
        <v>1432</v>
      </c>
      <c r="I126" t="s">
        <v>1046</v>
      </c>
      <c r="J126" t="s">
        <v>1380</v>
      </c>
      <c r="K126" t="s">
        <v>1346</v>
      </c>
      <c r="L126" t="s">
        <v>908</v>
      </c>
      <c r="M126" t="s">
        <v>1063</v>
      </c>
      <c r="N126" t="s">
        <v>1406</v>
      </c>
      <c r="O126" t="s">
        <v>1104</v>
      </c>
      <c r="P126" t="s">
        <v>1126</v>
      </c>
      <c r="Q126" t="s">
        <v>1584</v>
      </c>
      <c r="R126" t="s">
        <v>1387</v>
      </c>
      <c r="S126" t="s">
        <v>993</v>
      </c>
      <c r="T126" t="s">
        <v>964</v>
      </c>
      <c r="U126" t="s">
        <v>1586</v>
      </c>
      <c r="V126" t="s">
        <v>987</v>
      </c>
      <c r="W126" t="s">
        <v>1104</v>
      </c>
      <c r="X126" t="s">
        <v>992</v>
      </c>
      <c r="Y126" t="s">
        <v>968</v>
      </c>
      <c r="Z126" t="s">
        <v>918</v>
      </c>
      <c r="AA126" t="s">
        <v>934</v>
      </c>
      <c r="AB126" t="s">
        <v>1310</v>
      </c>
      <c r="AC126" t="s">
        <v>925</v>
      </c>
      <c r="AD126" t="s">
        <v>1560</v>
      </c>
      <c r="AE126" t="s">
        <v>927</v>
      </c>
      <c r="AF126">
        <f t="shared" si="2"/>
        <v>14.400000000000002</v>
      </c>
      <c r="AG126">
        <f t="shared" si="3"/>
        <v>14.428199999999997</v>
      </c>
    </row>
    <row r="127" spans="1:33" x14ac:dyDescent="0.25">
      <c r="A127" t="s">
        <v>1699</v>
      </c>
      <c r="B127" t="s">
        <v>1700</v>
      </c>
      <c r="C127" t="s">
        <v>929</v>
      </c>
      <c r="D127" t="s">
        <v>95</v>
      </c>
      <c r="E127" t="s">
        <v>93</v>
      </c>
      <c r="F127" t="s">
        <v>1150</v>
      </c>
      <c r="G127" t="s">
        <v>1150</v>
      </c>
      <c r="H127" t="s">
        <v>1378</v>
      </c>
      <c r="I127" t="s">
        <v>1211</v>
      </c>
      <c r="J127" t="s">
        <v>1241</v>
      </c>
      <c r="K127" t="s">
        <v>1411</v>
      </c>
      <c r="L127" t="s">
        <v>947</v>
      </c>
      <c r="M127" t="s">
        <v>1044</v>
      </c>
      <c r="N127" t="s">
        <v>1379</v>
      </c>
      <c r="O127" t="s">
        <v>947</v>
      </c>
      <c r="P127" t="s">
        <v>1126</v>
      </c>
      <c r="Q127" t="s">
        <v>1679</v>
      </c>
      <c r="R127" t="s">
        <v>1682</v>
      </c>
      <c r="S127" t="s">
        <v>1135</v>
      </c>
      <c r="T127" t="s">
        <v>979</v>
      </c>
      <c r="U127" t="s">
        <v>1701</v>
      </c>
      <c r="V127" t="s">
        <v>969</v>
      </c>
      <c r="W127" t="s">
        <v>964</v>
      </c>
      <c r="X127" t="s">
        <v>979</v>
      </c>
      <c r="Y127" t="s">
        <v>908</v>
      </c>
      <c r="Z127" t="s">
        <v>918</v>
      </c>
      <c r="AA127" t="s">
        <v>923</v>
      </c>
      <c r="AB127" t="s">
        <v>1230</v>
      </c>
      <c r="AC127" t="s">
        <v>947</v>
      </c>
      <c r="AD127" t="s">
        <v>1560</v>
      </c>
      <c r="AE127" t="s">
        <v>927</v>
      </c>
      <c r="AF127">
        <f t="shared" si="2"/>
        <v>14.5</v>
      </c>
      <c r="AG127">
        <f t="shared" si="3"/>
        <v>14.3658</v>
      </c>
    </row>
    <row r="128" spans="1:33" x14ac:dyDescent="0.25">
      <c r="A128" t="s">
        <v>1702</v>
      </c>
      <c r="B128" t="s">
        <v>1703</v>
      </c>
      <c r="C128" t="s">
        <v>1293</v>
      </c>
      <c r="D128" t="s">
        <v>113</v>
      </c>
      <c r="E128" t="s">
        <v>56</v>
      </c>
      <c r="F128" t="s">
        <v>1594</v>
      </c>
      <c r="G128" t="s">
        <v>949</v>
      </c>
      <c r="H128" t="s">
        <v>1677</v>
      </c>
      <c r="I128" t="s">
        <v>1005</v>
      </c>
      <c r="J128" t="s">
        <v>1394</v>
      </c>
      <c r="K128" t="s">
        <v>1287</v>
      </c>
      <c r="L128" t="s">
        <v>1048</v>
      </c>
      <c r="M128" t="s">
        <v>1011</v>
      </c>
      <c r="N128" t="s">
        <v>1704</v>
      </c>
      <c r="O128" t="s">
        <v>1049</v>
      </c>
      <c r="P128" t="s">
        <v>1135</v>
      </c>
      <c r="Q128" t="s">
        <v>1705</v>
      </c>
      <c r="R128" t="s">
        <v>938</v>
      </c>
      <c r="S128" t="s">
        <v>918</v>
      </c>
      <c r="T128" t="s">
        <v>1064</v>
      </c>
      <c r="U128" t="s">
        <v>1706</v>
      </c>
      <c r="V128" t="s">
        <v>1195</v>
      </c>
      <c r="W128" t="s">
        <v>1012</v>
      </c>
      <c r="X128" t="s">
        <v>1155</v>
      </c>
      <c r="Y128" t="s">
        <v>979</v>
      </c>
      <c r="Z128" t="s">
        <v>918</v>
      </c>
      <c r="AA128" t="s">
        <v>934</v>
      </c>
      <c r="AB128" t="s">
        <v>923</v>
      </c>
      <c r="AC128" t="s">
        <v>1310</v>
      </c>
      <c r="AD128" t="s">
        <v>1544</v>
      </c>
      <c r="AE128" t="s">
        <v>927</v>
      </c>
      <c r="AF128">
        <f t="shared" si="2"/>
        <v>14.3</v>
      </c>
      <c r="AG128">
        <f t="shared" si="3"/>
        <v>14.305300000000003</v>
      </c>
    </row>
    <row r="129" spans="1:33" x14ac:dyDescent="0.25">
      <c r="A129" t="s">
        <v>1707</v>
      </c>
      <c r="B129" t="s">
        <v>122</v>
      </c>
      <c r="C129" t="s">
        <v>973</v>
      </c>
      <c r="D129" t="s">
        <v>102</v>
      </c>
      <c r="E129" t="s">
        <v>72</v>
      </c>
      <c r="F129" t="s">
        <v>1594</v>
      </c>
      <c r="G129" t="s">
        <v>1212</v>
      </c>
      <c r="H129" t="s">
        <v>1708</v>
      </c>
      <c r="I129" t="s">
        <v>1043</v>
      </c>
      <c r="J129" t="s">
        <v>1002</v>
      </c>
      <c r="K129" t="s">
        <v>1709</v>
      </c>
      <c r="L129" t="s">
        <v>925</v>
      </c>
      <c r="M129" t="s">
        <v>1079</v>
      </c>
      <c r="N129" t="s">
        <v>1019</v>
      </c>
      <c r="O129" t="s">
        <v>946</v>
      </c>
      <c r="P129" t="s">
        <v>1079</v>
      </c>
      <c r="Q129" t="s">
        <v>1004</v>
      </c>
      <c r="R129" t="s">
        <v>1401</v>
      </c>
      <c r="S129" t="s">
        <v>1230</v>
      </c>
      <c r="T129" t="s">
        <v>968</v>
      </c>
      <c r="U129" t="s">
        <v>1710</v>
      </c>
      <c r="V129" t="s">
        <v>945</v>
      </c>
      <c r="W129" t="s">
        <v>1046</v>
      </c>
      <c r="X129" t="s">
        <v>1063</v>
      </c>
      <c r="Y129" t="s">
        <v>947</v>
      </c>
      <c r="Z129" t="s">
        <v>1008</v>
      </c>
      <c r="AA129" t="s">
        <v>918</v>
      </c>
      <c r="AB129" t="s">
        <v>1230</v>
      </c>
      <c r="AC129" t="s">
        <v>924</v>
      </c>
      <c r="AD129" t="s">
        <v>1454</v>
      </c>
      <c r="AE129" t="s">
        <v>927</v>
      </c>
      <c r="AF129">
        <f t="shared" si="2"/>
        <v>14.200000000000001</v>
      </c>
      <c r="AG129">
        <f t="shared" si="3"/>
        <v>14.193000000000001</v>
      </c>
    </row>
    <row r="130" spans="1:33" x14ac:dyDescent="0.25">
      <c r="A130" t="s">
        <v>1711</v>
      </c>
      <c r="B130" t="s">
        <v>152</v>
      </c>
      <c r="C130" t="s">
        <v>1245</v>
      </c>
      <c r="D130" t="s">
        <v>111</v>
      </c>
      <c r="E130" t="s">
        <v>63</v>
      </c>
      <c r="F130" t="s">
        <v>903</v>
      </c>
      <c r="G130" t="s">
        <v>903</v>
      </c>
      <c r="H130" t="s">
        <v>1712</v>
      </c>
      <c r="I130" t="s">
        <v>1063</v>
      </c>
      <c r="J130" t="s">
        <v>1076</v>
      </c>
      <c r="K130" t="s">
        <v>1021</v>
      </c>
      <c r="L130" t="s">
        <v>1064</v>
      </c>
      <c r="M130" t="s">
        <v>946</v>
      </c>
      <c r="N130" t="s">
        <v>1267</v>
      </c>
      <c r="O130" t="s">
        <v>1046</v>
      </c>
      <c r="P130" t="s">
        <v>1035</v>
      </c>
      <c r="Q130" t="s">
        <v>1713</v>
      </c>
      <c r="R130" t="s">
        <v>984</v>
      </c>
      <c r="S130" t="s">
        <v>1064</v>
      </c>
      <c r="T130" t="s">
        <v>968</v>
      </c>
      <c r="U130" t="s">
        <v>1605</v>
      </c>
      <c r="V130" t="s">
        <v>1029</v>
      </c>
      <c r="W130" t="s">
        <v>1170</v>
      </c>
      <c r="X130" t="s">
        <v>1126</v>
      </c>
      <c r="Y130" t="s">
        <v>1103</v>
      </c>
      <c r="Z130" t="s">
        <v>1135</v>
      </c>
      <c r="AA130" t="s">
        <v>1008</v>
      </c>
      <c r="AB130" t="s">
        <v>956</v>
      </c>
      <c r="AC130" t="s">
        <v>947</v>
      </c>
      <c r="AD130" t="s">
        <v>1714</v>
      </c>
      <c r="AE130" t="s">
        <v>927</v>
      </c>
      <c r="AF130">
        <f t="shared" si="2"/>
        <v>14.200000000000001</v>
      </c>
      <c r="AG130">
        <f t="shared" si="3"/>
        <v>14.039400000000001</v>
      </c>
    </row>
    <row r="131" spans="1:33" x14ac:dyDescent="0.25">
      <c r="A131" t="s">
        <v>1715</v>
      </c>
      <c r="B131" t="s">
        <v>1716</v>
      </c>
      <c r="C131" t="s">
        <v>1032</v>
      </c>
      <c r="D131" t="s">
        <v>1149</v>
      </c>
      <c r="E131" t="s">
        <v>56</v>
      </c>
      <c r="F131" t="s">
        <v>1147</v>
      </c>
      <c r="G131" t="s">
        <v>1717</v>
      </c>
      <c r="H131" t="s">
        <v>1231</v>
      </c>
      <c r="I131" t="s">
        <v>1329</v>
      </c>
      <c r="J131" t="s">
        <v>1113</v>
      </c>
      <c r="K131" t="s">
        <v>1718</v>
      </c>
      <c r="L131" t="s">
        <v>968</v>
      </c>
      <c r="M131" t="s">
        <v>1211</v>
      </c>
      <c r="N131" t="s">
        <v>1719</v>
      </c>
      <c r="O131" t="s">
        <v>979</v>
      </c>
      <c r="P131" t="s">
        <v>1011</v>
      </c>
      <c r="Q131" t="s">
        <v>1665</v>
      </c>
      <c r="R131" t="s">
        <v>1130</v>
      </c>
      <c r="S131" t="s">
        <v>1310</v>
      </c>
      <c r="T131" t="s">
        <v>1029</v>
      </c>
      <c r="U131" t="s">
        <v>1720</v>
      </c>
      <c r="V131" t="s">
        <v>918</v>
      </c>
      <c r="W131" t="s">
        <v>956</v>
      </c>
      <c r="X131" t="s">
        <v>964</v>
      </c>
      <c r="Y131" t="s">
        <v>1135</v>
      </c>
      <c r="Z131" t="s">
        <v>1065</v>
      </c>
      <c r="AA131" t="s">
        <v>1094</v>
      </c>
      <c r="AB131" t="s">
        <v>1049</v>
      </c>
      <c r="AC131" t="s">
        <v>968</v>
      </c>
      <c r="AD131" t="s">
        <v>1714</v>
      </c>
      <c r="AE131" t="s">
        <v>927</v>
      </c>
      <c r="AF131">
        <f t="shared" ref="AF131:AF194" si="4">(L131 * 3) + ((I131 - L131) * 2) + S131</f>
        <v>14.100000000000001</v>
      </c>
      <c r="AG131">
        <f t="shared" ref="AG131:AG194" si="5">(M131 * N131 * 3) + ((J131 - M131) * Q131 * 2) + (T131 * U131)</f>
        <v>14.066000000000001</v>
      </c>
    </row>
    <row r="132" spans="1:33" x14ac:dyDescent="0.25">
      <c r="A132" t="s">
        <v>1721</v>
      </c>
      <c r="B132" t="s">
        <v>64</v>
      </c>
      <c r="C132" t="s">
        <v>995</v>
      </c>
      <c r="D132" t="s">
        <v>65</v>
      </c>
      <c r="E132" t="s">
        <v>47</v>
      </c>
      <c r="F132" t="s">
        <v>1377</v>
      </c>
      <c r="G132" t="s">
        <v>1187</v>
      </c>
      <c r="H132" t="s">
        <v>1224</v>
      </c>
      <c r="I132" t="s">
        <v>1092</v>
      </c>
      <c r="J132" t="s">
        <v>1040</v>
      </c>
      <c r="K132" t="s">
        <v>1522</v>
      </c>
      <c r="L132" t="s">
        <v>991</v>
      </c>
      <c r="M132" t="s">
        <v>1195</v>
      </c>
      <c r="N132" t="s">
        <v>1722</v>
      </c>
      <c r="O132" t="s">
        <v>1043</v>
      </c>
      <c r="P132" t="s">
        <v>916</v>
      </c>
      <c r="Q132" t="s">
        <v>1541</v>
      </c>
      <c r="R132" t="s">
        <v>1723</v>
      </c>
      <c r="S132" t="s">
        <v>924</v>
      </c>
      <c r="T132" t="s">
        <v>992</v>
      </c>
      <c r="U132" t="s">
        <v>1724</v>
      </c>
      <c r="V132" t="s">
        <v>1104</v>
      </c>
      <c r="W132" t="s">
        <v>1329</v>
      </c>
      <c r="X132" t="s">
        <v>989</v>
      </c>
      <c r="Y132" t="s">
        <v>1155</v>
      </c>
      <c r="Z132" t="s">
        <v>1230</v>
      </c>
      <c r="AA132" t="s">
        <v>1195</v>
      </c>
      <c r="AB132" t="s">
        <v>956</v>
      </c>
      <c r="AC132" t="s">
        <v>924</v>
      </c>
      <c r="AD132" t="s">
        <v>1714</v>
      </c>
      <c r="AE132" t="s">
        <v>927</v>
      </c>
      <c r="AF132">
        <f t="shared" si="4"/>
        <v>13.999999999999998</v>
      </c>
      <c r="AG132">
        <f t="shared" si="5"/>
        <v>14.077299999999999</v>
      </c>
    </row>
    <row r="133" spans="1:33" x14ac:dyDescent="0.25">
      <c r="A133" t="s">
        <v>1725</v>
      </c>
      <c r="B133" t="s">
        <v>159</v>
      </c>
      <c r="C133" t="s">
        <v>929</v>
      </c>
      <c r="D133" t="s">
        <v>65</v>
      </c>
      <c r="E133" t="s">
        <v>56</v>
      </c>
      <c r="F133" t="s">
        <v>1255</v>
      </c>
      <c r="G133" t="s">
        <v>1255</v>
      </c>
      <c r="H133" t="s">
        <v>1323</v>
      </c>
      <c r="I133" t="s">
        <v>1134</v>
      </c>
      <c r="J133" t="s">
        <v>966</v>
      </c>
      <c r="K133" t="s">
        <v>1435</v>
      </c>
      <c r="L133" t="s">
        <v>1220</v>
      </c>
      <c r="M133" t="s">
        <v>990</v>
      </c>
      <c r="N133" t="s">
        <v>1726</v>
      </c>
      <c r="O133" t="s">
        <v>908</v>
      </c>
      <c r="P133" t="s">
        <v>920</v>
      </c>
      <c r="Q133" t="s">
        <v>1075</v>
      </c>
      <c r="R133" t="s">
        <v>1466</v>
      </c>
      <c r="S133" t="s">
        <v>1049</v>
      </c>
      <c r="T133" t="s">
        <v>947</v>
      </c>
      <c r="U133" t="s">
        <v>1388</v>
      </c>
      <c r="V133" t="s">
        <v>1065</v>
      </c>
      <c r="W133" t="s">
        <v>1048</v>
      </c>
      <c r="X133" t="s">
        <v>1030</v>
      </c>
      <c r="Y133" t="s">
        <v>1092</v>
      </c>
      <c r="Z133" t="s">
        <v>1029</v>
      </c>
      <c r="AA133" t="s">
        <v>991</v>
      </c>
      <c r="AB133" t="s">
        <v>1310</v>
      </c>
      <c r="AC133" t="s">
        <v>947</v>
      </c>
      <c r="AD133" t="s">
        <v>1714</v>
      </c>
      <c r="AE133" t="s">
        <v>927</v>
      </c>
      <c r="AF133">
        <f t="shared" si="4"/>
        <v>14.200000000000001</v>
      </c>
      <c r="AG133">
        <f t="shared" si="5"/>
        <v>14.132499999999999</v>
      </c>
    </row>
    <row r="134" spans="1:33" x14ac:dyDescent="0.25">
      <c r="A134" t="s">
        <v>1727</v>
      </c>
      <c r="B134" t="s">
        <v>1728</v>
      </c>
      <c r="C134" t="s">
        <v>950</v>
      </c>
      <c r="D134" t="s">
        <v>65</v>
      </c>
      <c r="E134" t="s">
        <v>47</v>
      </c>
      <c r="F134" t="s">
        <v>1138</v>
      </c>
      <c r="G134" t="s">
        <v>1138</v>
      </c>
      <c r="H134" t="s">
        <v>1664</v>
      </c>
      <c r="I134" t="s">
        <v>1005</v>
      </c>
      <c r="J134" t="s">
        <v>944</v>
      </c>
      <c r="K134" t="s">
        <v>1729</v>
      </c>
      <c r="L134" t="s">
        <v>993</v>
      </c>
      <c r="M134" t="s">
        <v>1044</v>
      </c>
      <c r="N134" t="s">
        <v>1225</v>
      </c>
      <c r="O134" t="s">
        <v>1012</v>
      </c>
      <c r="P134" t="s">
        <v>909</v>
      </c>
      <c r="Q134" t="s">
        <v>1364</v>
      </c>
      <c r="R134" t="s">
        <v>1381</v>
      </c>
      <c r="S134" t="s">
        <v>1195</v>
      </c>
      <c r="T134" t="s">
        <v>1029</v>
      </c>
      <c r="U134" t="s">
        <v>1597</v>
      </c>
      <c r="V134" t="s">
        <v>923</v>
      </c>
      <c r="W134" t="s">
        <v>1220</v>
      </c>
      <c r="X134" t="s">
        <v>1030</v>
      </c>
      <c r="Y134" t="s">
        <v>922</v>
      </c>
      <c r="Z134" t="s">
        <v>987</v>
      </c>
      <c r="AA134" t="s">
        <v>934</v>
      </c>
      <c r="AB134" t="s">
        <v>923</v>
      </c>
      <c r="AC134" t="s">
        <v>1048</v>
      </c>
      <c r="AD134" t="s">
        <v>1548</v>
      </c>
      <c r="AE134" t="s">
        <v>927</v>
      </c>
      <c r="AF134">
        <f t="shared" si="4"/>
        <v>14</v>
      </c>
      <c r="AG134">
        <f t="shared" si="5"/>
        <v>14.020100000000001</v>
      </c>
    </row>
    <row r="135" spans="1:33" x14ac:dyDescent="0.25">
      <c r="A135" t="s">
        <v>1730</v>
      </c>
      <c r="B135" t="s">
        <v>1731</v>
      </c>
      <c r="C135" t="s">
        <v>1084</v>
      </c>
      <c r="D135" t="s">
        <v>97</v>
      </c>
      <c r="E135" t="s">
        <v>93</v>
      </c>
      <c r="F135" t="s">
        <v>901</v>
      </c>
      <c r="G135" t="s">
        <v>1717</v>
      </c>
      <c r="H135" t="s">
        <v>1732</v>
      </c>
      <c r="I135" t="s">
        <v>1063</v>
      </c>
      <c r="J135" t="s">
        <v>1108</v>
      </c>
      <c r="K135" t="s">
        <v>1696</v>
      </c>
      <c r="L135" t="s">
        <v>1600</v>
      </c>
      <c r="M135" t="s">
        <v>1600</v>
      </c>
      <c r="N135" t="s">
        <v>927</v>
      </c>
      <c r="O135" t="s">
        <v>1063</v>
      </c>
      <c r="P135" t="s">
        <v>1108</v>
      </c>
      <c r="Q135" t="s">
        <v>1696</v>
      </c>
      <c r="R135" t="s">
        <v>1696</v>
      </c>
      <c r="S135" t="s">
        <v>956</v>
      </c>
      <c r="T135" t="s">
        <v>1135</v>
      </c>
      <c r="U135" t="s">
        <v>1696</v>
      </c>
      <c r="V135" t="s">
        <v>1228</v>
      </c>
      <c r="W135" t="s">
        <v>1228</v>
      </c>
      <c r="X135" t="s">
        <v>1061</v>
      </c>
      <c r="Y135" t="s">
        <v>1600</v>
      </c>
      <c r="Z135" t="s">
        <v>1600</v>
      </c>
      <c r="AA135" t="s">
        <v>1600</v>
      </c>
      <c r="AB135" t="s">
        <v>956</v>
      </c>
      <c r="AC135" t="s">
        <v>1135</v>
      </c>
      <c r="AD135" t="s">
        <v>1548</v>
      </c>
      <c r="AE135" t="s">
        <v>927</v>
      </c>
      <c r="AF135">
        <f t="shared" si="4"/>
        <v>14</v>
      </c>
      <c r="AG135" t="e">
        <f t="shared" si="5"/>
        <v>#VALUE!</v>
      </c>
    </row>
    <row r="136" spans="1:33" x14ac:dyDescent="0.25">
      <c r="A136" t="s">
        <v>1733</v>
      </c>
      <c r="B136" t="s">
        <v>236</v>
      </c>
      <c r="C136" t="s">
        <v>1164</v>
      </c>
      <c r="D136" t="s">
        <v>151</v>
      </c>
      <c r="E136" t="s">
        <v>47</v>
      </c>
      <c r="F136" t="s">
        <v>1052</v>
      </c>
      <c r="G136" t="s">
        <v>1052</v>
      </c>
      <c r="H136" t="s">
        <v>1734</v>
      </c>
      <c r="I136" t="s">
        <v>920</v>
      </c>
      <c r="J136" t="s">
        <v>1241</v>
      </c>
      <c r="K136" t="s">
        <v>1467</v>
      </c>
      <c r="L136" t="s">
        <v>1135</v>
      </c>
      <c r="M136" t="s">
        <v>990</v>
      </c>
      <c r="N136" t="s">
        <v>1595</v>
      </c>
      <c r="O136" t="s">
        <v>956</v>
      </c>
      <c r="P136" t="s">
        <v>1047</v>
      </c>
      <c r="Q136" t="s">
        <v>1168</v>
      </c>
      <c r="R136" t="s">
        <v>1261</v>
      </c>
      <c r="S136" t="s">
        <v>918</v>
      </c>
      <c r="T136" t="s">
        <v>923</v>
      </c>
      <c r="U136" t="s">
        <v>1720</v>
      </c>
      <c r="V136" t="s">
        <v>969</v>
      </c>
      <c r="W136" t="s">
        <v>1104</v>
      </c>
      <c r="X136" t="s">
        <v>1000</v>
      </c>
      <c r="Y136" t="s">
        <v>956</v>
      </c>
      <c r="Z136" t="s">
        <v>1008</v>
      </c>
      <c r="AA136" t="s">
        <v>991</v>
      </c>
      <c r="AB136" t="s">
        <v>945</v>
      </c>
      <c r="AC136" t="s">
        <v>1064</v>
      </c>
      <c r="AD136" t="s">
        <v>1548</v>
      </c>
      <c r="AE136" t="s">
        <v>927</v>
      </c>
      <c r="AF136">
        <f t="shared" si="4"/>
        <v>13.9</v>
      </c>
      <c r="AG136">
        <f t="shared" si="5"/>
        <v>13.969099999999999</v>
      </c>
    </row>
    <row r="137" spans="1:33" x14ac:dyDescent="0.25">
      <c r="A137" t="s">
        <v>1735</v>
      </c>
      <c r="B137" t="s">
        <v>354</v>
      </c>
      <c r="C137" t="s">
        <v>950</v>
      </c>
      <c r="D137" t="s">
        <v>105</v>
      </c>
      <c r="E137" t="s">
        <v>93</v>
      </c>
      <c r="F137" t="s">
        <v>1453</v>
      </c>
      <c r="G137" t="s">
        <v>1067</v>
      </c>
      <c r="H137" t="s">
        <v>1736</v>
      </c>
      <c r="I137" t="s">
        <v>909</v>
      </c>
      <c r="J137" t="s">
        <v>1076</v>
      </c>
      <c r="K137" t="s">
        <v>1609</v>
      </c>
      <c r="L137" t="s">
        <v>1195</v>
      </c>
      <c r="M137" t="s">
        <v>992</v>
      </c>
      <c r="N137" t="s">
        <v>1379</v>
      </c>
      <c r="O137" t="s">
        <v>1170</v>
      </c>
      <c r="P137" t="s">
        <v>1182</v>
      </c>
      <c r="Q137" t="s">
        <v>1471</v>
      </c>
      <c r="R137" t="s">
        <v>1667</v>
      </c>
      <c r="S137" t="s">
        <v>945</v>
      </c>
      <c r="T137" t="s">
        <v>1310</v>
      </c>
      <c r="U137" t="s">
        <v>1252</v>
      </c>
      <c r="V137" t="s">
        <v>968</v>
      </c>
      <c r="W137" t="s">
        <v>1006</v>
      </c>
      <c r="X137" t="s">
        <v>1132</v>
      </c>
      <c r="Y137" t="s">
        <v>908</v>
      </c>
      <c r="Z137" t="s">
        <v>1008</v>
      </c>
      <c r="AA137" t="s">
        <v>1065</v>
      </c>
      <c r="AB137" t="s">
        <v>945</v>
      </c>
      <c r="AC137" t="s">
        <v>1049</v>
      </c>
      <c r="AD137" t="s">
        <v>1129</v>
      </c>
      <c r="AE137" t="s">
        <v>927</v>
      </c>
      <c r="AF137">
        <f t="shared" si="4"/>
        <v>13.9</v>
      </c>
      <c r="AG137">
        <f t="shared" si="5"/>
        <v>13.831999999999999</v>
      </c>
    </row>
    <row r="138" spans="1:33" x14ac:dyDescent="0.25">
      <c r="A138" t="s">
        <v>1737</v>
      </c>
      <c r="B138" t="s">
        <v>348</v>
      </c>
      <c r="C138" t="s">
        <v>1204</v>
      </c>
      <c r="D138" t="s">
        <v>97</v>
      </c>
      <c r="E138" t="s">
        <v>93</v>
      </c>
      <c r="F138" t="s">
        <v>1438</v>
      </c>
      <c r="G138" t="s">
        <v>1438</v>
      </c>
      <c r="H138" t="s">
        <v>1507</v>
      </c>
      <c r="I138" t="s">
        <v>1043</v>
      </c>
      <c r="J138" t="s">
        <v>1253</v>
      </c>
      <c r="K138" t="s">
        <v>1358</v>
      </c>
      <c r="L138" t="s">
        <v>945</v>
      </c>
      <c r="M138" t="s">
        <v>992</v>
      </c>
      <c r="N138" t="s">
        <v>1726</v>
      </c>
      <c r="O138" t="s">
        <v>1228</v>
      </c>
      <c r="P138" t="s">
        <v>988</v>
      </c>
      <c r="Q138" t="s">
        <v>1143</v>
      </c>
      <c r="R138" t="s">
        <v>1226</v>
      </c>
      <c r="S138" t="s">
        <v>956</v>
      </c>
      <c r="T138" t="s">
        <v>947</v>
      </c>
      <c r="U138" t="s">
        <v>1427</v>
      </c>
      <c r="V138" t="s">
        <v>918</v>
      </c>
      <c r="W138" t="s">
        <v>920</v>
      </c>
      <c r="X138" t="s">
        <v>1126</v>
      </c>
      <c r="Y138" t="s">
        <v>925</v>
      </c>
      <c r="Z138" t="s">
        <v>923</v>
      </c>
      <c r="AA138" t="s">
        <v>987</v>
      </c>
      <c r="AB138" t="s">
        <v>945</v>
      </c>
      <c r="AC138" t="s">
        <v>1049</v>
      </c>
      <c r="AD138" t="s">
        <v>1360</v>
      </c>
      <c r="AE138" t="s">
        <v>927</v>
      </c>
      <c r="AF138">
        <f t="shared" si="4"/>
        <v>13.799999999999999</v>
      </c>
      <c r="AG138">
        <f t="shared" si="5"/>
        <v>13.727900000000002</v>
      </c>
    </row>
    <row r="139" spans="1:33" x14ac:dyDescent="0.25">
      <c r="A139" t="s">
        <v>1738</v>
      </c>
      <c r="B139" t="s">
        <v>407</v>
      </c>
      <c r="C139" t="s">
        <v>950</v>
      </c>
      <c r="D139" t="s">
        <v>129</v>
      </c>
      <c r="E139" t="s">
        <v>63</v>
      </c>
      <c r="F139" t="s">
        <v>1285</v>
      </c>
      <c r="G139" t="s">
        <v>1285</v>
      </c>
      <c r="H139" t="s">
        <v>1739</v>
      </c>
      <c r="I139" t="s">
        <v>962</v>
      </c>
      <c r="J139" t="s">
        <v>1450</v>
      </c>
      <c r="K139" t="s">
        <v>1144</v>
      </c>
      <c r="L139" t="s">
        <v>1064</v>
      </c>
      <c r="M139" t="s">
        <v>970</v>
      </c>
      <c r="N139" t="s">
        <v>1666</v>
      </c>
      <c r="O139" t="s">
        <v>1081</v>
      </c>
      <c r="P139" t="s">
        <v>1112</v>
      </c>
      <c r="Q139" t="s">
        <v>1740</v>
      </c>
      <c r="R139" t="s">
        <v>1610</v>
      </c>
      <c r="S139" t="s">
        <v>908</v>
      </c>
      <c r="T139" t="s">
        <v>1220</v>
      </c>
      <c r="U139" t="s">
        <v>1710</v>
      </c>
      <c r="V139" t="s">
        <v>908</v>
      </c>
      <c r="W139" t="s">
        <v>1028</v>
      </c>
      <c r="X139" t="s">
        <v>980</v>
      </c>
      <c r="Y139" t="s">
        <v>1126</v>
      </c>
      <c r="Z139" t="s">
        <v>1310</v>
      </c>
      <c r="AA139" t="s">
        <v>991</v>
      </c>
      <c r="AB139" t="s">
        <v>908</v>
      </c>
      <c r="AC139" t="s">
        <v>1012</v>
      </c>
      <c r="AD139" t="s">
        <v>1199</v>
      </c>
      <c r="AE139" t="s">
        <v>927</v>
      </c>
      <c r="AF139">
        <f t="shared" si="4"/>
        <v>13.6</v>
      </c>
      <c r="AG139">
        <f t="shared" si="5"/>
        <v>13.6731</v>
      </c>
    </row>
    <row r="140" spans="1:33" x14ac:dyDescent="0.25">
      <c r="A140" t="s">
        <v>1741</v>
      </c>
      <c r="B140" t="s">
        <v>84</v>
      </c>
      <c r="C140" t="s">
        <v>902</v>
      </c>
      <c r="D140" t="s">
        <v>85</v>
      </c>
      <c r="E140" t="s">
        <v>72</v>
      </c>
      <c r="F140" t="s">
        <v>1416</v>
      </c>
      <c r="G140" t="s">
        <v>1416</v>
      </c>
      <c r="H140" t="s">
        <v>1742</v>
      </c>
      <c r="I140" t="s">
        <v>1291</v>
      </c>
      <c r="J140" t="s">
        <v>1011</v>
      </c>
      <c r="K140" t="s">
        <v>1743</v>
      </c>
      <c r="L140" t="s">
        <v>1600</v>
      </c>
      <c r="M140" t="s">
        <v>1119</v>
      </c>
      <c r="N140" t="s">
        <v>1646</v>
      </c>
      <c r="O140" t="s">
        <v>1291</v>
      </c>
      <c r="P140" t="s">
        <v>990</v>
      </c>
      <c r="Q140" t="s">
        <v>1744</v>
      </c>
      <c r="R140" t="s">
        <v>1743</v>
      </c>
      <c r="S140" t="s">
        <v>924</v>
      </c>
      <c r="T140" t="s">
        <v>1000</v>
      </c>
      <c r="U140" t="s">
        <v>1745</v>
      </c>
      <c r="V140" t="s">
        <v>1012</v>
      </c>
      <c r="W140" t="s">
        <v>1128</v>
      </c>
      <c r="X140" t="s">
        <v>943</v>
      </c>
      <c r="Y140" t="s">
        <v>1049</v>
      </c>
      <c r="Z140" t="s">
        <v>918</v>
      </c>
      <c r="AA140" t="s">
        <v>918</v>
      </c>
      <c r="AB140" t="s">
        <v>945</v>
      </c>
      <c r="AC140" t="s">
        <v>1310</v>
      </c>
      <c r="AD140" t="s">
        <v>1260</v>
      </c>
      <c r="AE140" t="s">
        <v>927</v>
      </c>
      <c r="AF140">
        <f t="shared" si="4"/>
        <v>13.4</v>
      </c>
      <c r="AG140">
        <f t="shared" si="5"/>
        <v>13.406000000000001</v>
      </c>
    </row>
    <row r="141" spans="1:33" x14ac:dyDescent="0.25">
      <c r="A141" t="s">
        <v>1746</v>
      </c>
      <c r="B141" t="s">
        <v>328</v>
      </c>
      <c r="C141" t="s">
        <v>1084</v>
      </c>
      <c r="D141" t="s">
        <v>111</v>
      </c>
      <c r="E141" t="s">
        <v>72</v>
      </c>
      <c r="F141" t="s">
        <v>1322</v>
      </c>
      <c r="G141" t="s">
        <v>1233</v>
      </c>
      <c r="H141" t="s">
        <v>1536</v>
      </c>
      <c r="I141" t="s">
        <v>962</v>
      </c>
      <c r="J141" t="s">
        <v>911</v>
      </c>
      <c r="K141" t="s">
        <v>1215</v>
      </c>
      <c r="L141" t="s">
        <v>969</v>
      </c>
      <c r="M141" t="s">
        <v>956</v>
      </c>
      <c r="N141" t="s">
        <v>1351</v>
      </c>
      <c r="O141" t="s">
        <v>1211</v>
      </c>
      <c r="P141" t="s">
        <v>1026</v>
      </c>
      <c r="Q141" t="s">
        <v>1638</v>
      </c>
      <c r="R141" t="s">
        <v>1663</v>
      </c>
      <c r="S141" t="s">
        <v>925</v>
      </c>
      <c r="T141" t="s">
        <v>964</v>
      </c>
      <c r="U141" t="s">
        <v>1747</v>
      </c>
      <c r="V141" t="s">
        <v>1135</v>
      </c>
      <c r="W141" t="s">
        <v>1126</v>
      </c>
      <c r="X141" t="s">
        <v>1024</v>
      </c>
      <c r="Y141" t="s">
        <v>947</v>
      </c>
      <c r="Z141" t="s">
        <v>918</v>
      </c>
      <c r="AA141" t="s">
        <v>918</v>
      </c>
      <c r="AB141" t="s">
        <v>945</v>
      </c>
      <c r="AC141" t="s">
        <v>1012</v>
      </c>
      <c r="AD141" t="s">
        <v>1748</v>
      </c>
      <c r="AE141" t="s">
        <v>927</v>
      </c>
      <c r="AF141">
        <f t="shared" si="4"/>
        <v>13.2</v>
      </c>
      <c r="AG141">
        <f t="shared" si="5"/>
        <v>13.274699999999999</v>
      </c>
    </row>
    <row r="142" spans="1:33" x14ac:dyDescent="0.25">
      <c r="A142" t="s">
        <v>1749</v>
      </c>
      <c r="B142" t="s">
        <v>271</v>
      </c>
      <c r="C142" t="s">
        <v>1068</v>
      </c>
      <c r="D142" t="s">
        <v>148</v>
      </c>
      <c r="E142" t="s">
        <v>56</v>
      </c>
      <c r="F142" t="s">
        <v>1138</v>
      </c>
      <c r="G142" t="s">
        <v>1068</v>
      </c>
      <c r="H142" t="s">
        <v>1536</v>
      </c>
      <c r="I142" t="s">
        <v>920</v>
      </c>
      <c r="J142" t="s">
        <v>1368</v>
      </c>
      <c r="K142" t="s">
        <v>1596</v>
      </c>
      <c r="L142" t="s">
        <v>1195</v>
      </c>
      <c r="M142" t="s">
        <v>1160</v>
      </c>
      <c r="N142" t="s">
        <v>1750</v>
      </c>
      <c r="O142" t="s">
        <v>1030</v>
      </c>
      <c r="P142" t="s">
        <v>1026</v>
      </c>
      <c r="Q142" t="s">
        <v>1208</v>
      </c>
      <c r="R142" t="s">
        <v>1412</v>
      </c>
      <c r="S142" t="s">
        <v>908</v>
      </c>
      <c r="T142" t="s">
        <v>946</v>
      </c>
      <c r="U142" t="s">
        <v>1601</v>
      </c>
      <c r="V142" t="s">
        <v>1230</v>
      </c>
      <c r="W142" t="s">
        <v>992</v>
      </c>
      <c r="X142" t="s">
        <v>1046</v>
      </c>
      <c r="Y142" t="s">
        <v>1059</v>
      </c>
      <c r="Z142" t="s">
        <v>1230</v>
      </c>
      <c r="AA142" t="s">
        <v>1065</v>
      </c>
      <c r="AB142" t="s">
        <v>1048</v>
      </c>
      <c r="AC142" t="s">
        <v>993</v>
      </c>
      <c r="AD142" t="s">
        <v>1316</v>
      </c>
      <c r="AE142" t="s">
        <v>927</v>
      </c>
      <c r="AF142">
        <f t="shared" si="4"/>
        <v>13.4</v>
      </c>
      <c r="AG142">
        <f t="shared" si="5"/>
        <v>13.273</v>
      </c>
    </row>
    <row r="143" spans="1:33" x14ac:dyDescent="0.25">
      <c r="A143" t="s">
        <v>1751</v>
      </c>
      <c r="B143" t="s">
        <v>366</v>
      </c>
      <c r="C143" t="s">
        <v>1293</v>
      </c>
      <c r="D143" t="s">
        <v>151</v>
      </c>
      <c r="E143" t="s">
        <v>47</v>
      </c>
      <c r="F143" t="s">
        <v>1377</v>
      </c>
      <c r="G143" t="s">
        <v>1176</v>
      </c>
      <c r="H143" t="s">
        <v>1581</v>
      </c>
      <c r="I143" t="s">
        <v>962</v>
      </c>
      <c r="J143" t="s">
        <v>1038</v>
      </c>
      <c r="K143" t="s">
        <v>1471</v>
      </c>
      <c r="L143" t="s">
        <v>918</v>
      </c>
      <c r="M143" t="s">
        <v>1048</v>
      </c>
      <c r="N143" t="s">
        <v>1722</v>
      </c>
      <c r="O143" t="s">
        <v>1103</v>
      </c>
      <c r="P143" t="s">
        <v>1026</v>
      </c>
      <c r="Q143" t="s">
        <v>1334</v>
      </c>
      <c r="R143" t="s">
        <v>1115</v>
      </c>
      <c r="S143" t="s">
        <v>1049</v>
      </c>
      <c r="T143" t="s">
        <v>947</v>
      </c>
      <c r="U143" t="s">
        <v>1421</v>
      </c>
      <c r="V143" t="s">
        <v>1064</v>
      </c>
      <c r="W143" t="s">
        <v>1030</v>
      </c>
      <c r="X143" t="s">
        <v>1134</v>
      </c>
      <c r="Y143" t="s">
        <v>1135</v>
      </c>
      <c r="Z143" t="s">
        <v>923</v>
      </c>
      <c r="AA143" t="s">
        <v>934</v>
      </c>
      <c r="AB143" t="s">
        <v>1029</v>
      </c>
      <c r="AC143" t="s">
        <v>1029</v>
      </c>
      <c r="AD143" t="s">
        <v>1752</v>
      </c>
      <c r="AE143" t="s">
        <v>927</v>
      </c>
      <c r="AF143">
        <f t="shared" si="4"/>
        <v>13.200000000000001</v>
      </c>
      <c r="AG143">
        <f t="shared" si="5"/>
        <v>13.1861</v>
      </c>
    </row>
    <row r="144" spans="1:33" x14ac:dyDescent="0.25">
      <c r="A144" t="s">
        <v>1753</v>
      </c>
      <c r="B144" t="s">
        <v>1754</v>
      </c>
      <c r="C144" t="s">
        <v>1176</v>
      </c>
      <c r="D144" t="s">
        <v>1755</v>
      </c>
      <c r="E144" t="s">
        <v>56</v>
      </c>
      <c r="F144" t="s">
        <v>1138</v>
      </c>
      <c r="G144" t="s">
        <v>1453</v>
      </c>
      <c r="H144" t="s">
        <v>1013</v>
      </c>
      <c r="I144" t="s">
        <v>1047</v>
      </c>
      <c r="J144" t="s">
        <v>1253</v>
      </c>
      <c r="K144" t="s">
        <v>1538</v>
      </c>
      <c r="L144" t="s">
        <v>922</v>
      </c>
      <c r="M144" t="s">
        <v>1046</v>
      </c>
      <c r="N144" t="s">
        <v>1756</v>
      </c>
      <c r="O144" t="s">
        <v>1104</v>
      </c>
      <c r="P144" t="s">
        <v>1059</v>
      </c>
      <c r="Q144" t="s">
        <v>1555</v>
      </c>
      <c r="R144" t="s">
        <v>1466</v>
      </c>
      <c r="S144" t="s">
        <v>924</v>
      </c>
      <c r="T144" t="s">
        <v>964</v>
      </c>
      <c r="U144" t="s">
        <v>1757</v>
      </c>
      <c r="V144" t="s">
        <v>991</v>
      </c>
      <c r="W144" t="s">
        <v>947</v>
      </c>
      <c r="X144" t="s">
        <v>1012</v>
      </c>
      <c r="Y144" t="s">
        <v>1329</v>
      </c>
      <c r="Z144" t="s">
        <v>918</v>
      </c>
      <c r="AA144" t="s">
        <v>934</v>
      </c>
      <c r="AB144" t="s">
        <v>1049</v>
      </c>
      <c r="AC144" t="s">
        <v>924</v>
      </c>
      <c r="AD144" t="s">
        <v>1508</v>
      </c>
      <c r="AE144" t="s">
        <v>927</v>
      </c>
      <c r="AF144">
        <f t="shared" si="4"/>
        <v>13.1</v>
      </c>
      <c r="AG144">
        <f t="shared" si="5"/>
        <v>13.045199999999999</v>
      </c>
    </row>
    <row r="145" spans="1:33" x14ac:dyDescent="0.25">
      <c r="A145" t="s">
        <v>1753</v>
      </c>
      <c r="B145" t="s">
        <v>1754</v>
      </c>
      <c r="C145" t="s">
        <v>1176</v>
      </c>
      <c r="D145" t="s">
        <v>1279</v>
      </c>
      <c r="E145" t="s">
        <v>56</v>
      </c>
      <c r="F145" t="s">
        <v>1032</v>
      </c>
      <c r="G145" t="s">
        <v>1032</v>
      </c>
      <c r="H145" t="s">
        <v>1517</v>
      </c>
      <c r="I145" t="s">
        <v>921</v>
      </c>
      <c r="J145" t="s">
        <v>1714</v>
      </c>
      <c r="K145" t="s">
        <v>1055</v>
      </c>
      <c r="L145" t="s">
        <v>993</v>
      </c>
      <c r="M145" t="s">
        <v>940</v>
      </c>
      <c r="N145" t="s">
        <v>1758</v>
      </c>
      <c r="O145" t="s">
        <v>1160</v>
      </c>
      <c r="P145" t="s">
        <v>1009</v>
      </c>
      <c r="Q145" t="s">
        <v>1130</v>
      </c>
      <c r="R145" t="s">
        <v>1143</v>
      </c>
      <c r="S145" t="s">
        <v>946</v>
      </c>
      <c r="T145" t="s">
        <v>979</v>
      </c>
      <c r="U145" t="s">
        <v>1759</v>
      </c>
      <c r="V145" t="s">
        <v>934</v>
      </c>
      <c r="W145" t="s">
        <v>1104</v>
      </c>
      <c r="X145" t="s">
        <v>1135</v>
      </c>
      <c r="Y145" t="s">
        <v>1006</v>
      </c>
      <c r="Z145" t="s">
        <v>1064</v>
      </c>
      <c r="AA145" t="s">
        <v>934</v>
      </c>
      <c r="AB145" t="s">
        <v>1012</v>
      </c>
      <c r="AC145" t="s">
        <v>924</v>
      </c>
      <c r="AD145" t="s">
        <v>1540</v>
      </c>
      <c r="AE145" t="s">
        <v>927</v>
      </c>
      <c r="AF145">
        <f t="shared" si="4"/>
        <v>18.400000000000002</v>
      </c>
      <c r="AG145">
        <f t="shared" si="5"/>
        <v>18.3948</v>
      </c>
    </row>
    <row r="146" spans="1:33" x14ac:dyDescent="0.25">
      <c r="A146" t="s">
        <v>1753</v>
      </c>
      <c r="B146" t="s">
        <v>1754</v>
      </c>
      <c r="C146" t="s">
        <v>1176</v>
      </c>
      <c r="D146" t="s">
        <v>1223</v>
      </c>
      <c r="E146" t="s">
        <v>63</v>
      </c>
      <c r="F146" t="s">
        <v>1084</v>
      </c>
      <c r="G146" t="s">
        <v>1222</v>
      </c>
      <c r="H146" t="s">
        <v>1760</v>
      </c>
      <c r="I146" t="s">
        <v>1160</v>
      </c>
      <c r="J146" t="s">
        <v>1483</v>
      </c>
      <c r="K146" t="s">
        <v>910</v>
      </c>
      <c r="L146" t="s">
        <v>1310</v>
      </c>
      <c r="M146" t="s">
        <v>1134</v>
      </c>
      <c r="N146" t="s">
        <v>1315</v>
      </c>
      <c r="O146" t="s">
        <v>924</v>
      </c>
      <c r="P146" t="s">
        <v>909</v>
      </c>
      <c r="Q146" t="s">
        <v>1761</v>
      </c>
      <c r="R146" t="s">
        <v>1168</v>
      </c>
      <c r="S146" t="s">
        <v>945</v>
      </c>
      <c r="T146" t="s">
        <v>1029</v>
      </c>
      <c r="U146" t="s">
        <v>1762</v>
      </c>
      <c r="V146" t="s">
        <v>991</v>
      </c>
      <c r="W146" t="s">
        <v>1049</v>
      </c>
      <c r="X146" t="s">
        <v>947</v>
      </c>
      <c r="Y146" t="s">
        <v>1103</v>
      </c>
      <c r="Z146" t="s">
        <v>923</v>
      </c>
      <c r="AA146" t="s">
        <v>1119</v>
      </c>
      <c r="AB146" t="s">
        <v>956</v>
      </c>
      <c r="AC146" t="s">
        <v>1104</v>
      </c>
      <c r="AD146" t="s">
        <v>941</v>
      </c>
      <c r="AE146" t="s">
        <v>927</v>
      </c>
      <c r="AF146">
        <f t="shared" si="4"/>
        <v>10.5</v>
      </c>
      <c r="AG146">
        <f t="shared" si="5"/>
        <v>10.6038</v>
      </c>
    </row>
    <row r="147" spans="1:33" x14ac:dyDescent="0.25">
      <c r="A147" t="s">
        <v>1753</v>
      </c>
      <c r="B147" t="s">
        <v>1754</v>
      </c>
      <c r="C147" t="s">
        <v>1176</v>
      </c>
      <c r="D147" t="s">
        <v>97</v>
      </c>
      <c r="E147" t="s">
        <v>56</v>
      </c>
      <c r="F147" t="s">
        <v>1015</v>
      </c>
      <c r="G147" t="s">
        <v>1083</v>
      </c>
      <c r="H147" t="s">
        <v>1161</v>
      </c>
      <c r="I147" t="s">
        <v>1000</v>
      </c>
      <c r="J147" t="s">
        <v>1108</v>
      </c>
      <c r="K147" t="s">
        <v>1435</v>
      </c>
      <c r="L147" t="s">
        <v>1064</v>
      </c>
      <c r="M147" t="s">
        <v>1155</v>
      </c>
      <c r="N147" t="s">
        <v>1763</v>
      </c>
      <c r="O147" t="s">
        <v>947</v>
      </c>
      <c r="P147" t="s">
        <v>962</v>
      </c>
      <c r="Q147" t="s">
        <v>1764</v>
      </c>
      <c r="R147" t="s">
        <v>1603</v>
      </c>
      <c r="S147" t="s">
        <v>964</v>
      </c>
      <c r="T147" t="s">
        <v>1000</v>
      </c>
      <c r="U147" t="s">
        <v>1765</v>
      </c>
      <c r="V147" t="s">
        <v>1065</v>
      </c>
      <c r="W147" t="s">
        <v>925</v>
      </c>
      <c r="X147" t="s">
        <v>1012</v>
      </c>
      <c r="Y147" t="s">
        <v>1043</v>
      </c>
      <c r="Z147" t="s">
        <v>1065</v>
      </c>
      <c r="AA147" t="s">
        <v>934</v>
      </c>
      <c r="AB147" t="s">
        <v>1195</v>
      </c>
      <c r="AC147" t="s">
        <v>956</v>
      </c>
      <c r="AD147" t="s">
        <v>1394</v>
      </c>
      <c r="AE147" t="s">
        <v>927</v>
      </c>
      <c r="AF147">
        <f t="shared" si="4"/>
        <v>10.8</v>
      </c>
      <c r="AG147">
        <f t="shared" si="5"/>
        <v>10.788600000000001</v>
      </c>
    </row>
    <row r="148" spans="1:33" x14ac:dyDescent="0.25">
      <c r="A148" t="s">
        <v>1766</v>
      </c>
      <c r="B148" t="s">
        <v>322</v>
      </c>
      <c r="C148" t="s">
        <v>902</v>
      </c>
      <c r="D148" t="s">
        <v>1014</v>
      </c>
      <c r="E148" t="s">
        <v>93</v>
      </c>
      <c r="F148" t="s">
        <v>1501</v>
      </c>
      <c r="G148" t="s">
        <v>1489</v>
      </c>
      <c r="H148" t="s">
        <v>1447</v>
      </c>
      <c r="I148" t="s">
        <v>920</v>
      </c>
      <c r="J148" t="s">
        <v>997</v>
      </c>
      <c r="K148" t="s">
        <v>1130</v>
      </c>
      <c r="L148" t="s">
        <v>922</v>
      </c>
      <c r="M148" t="s">
        <v>1081</v>
      </c>
      <c r="N148" t="s">
        <v>1767</v>
      </c>
      <c r="O148" t="s">
        <v>1048</v>
      </c>
      <c r="P148" t="s">
        <v>1092</v>
      </c>
      <c r="Q148" t="s">
        <v>1520</v>
      </c>
      <c r="R148" t="s">
        <v>1768</v>
      </c>
      <c r="S148" t="s">
        <v>1310</v>
      </c>
      <c r="T148" t="s">
        <v>1049</v>
      </c>
      <c r="U148" t="s">
        <v>1769</v>
      </c>
      <c r="V148" t="s">
        <v>1195</v>
      </c>
      <c r="W148" t="s">
        <v>1030</v>
      </c>
      <c r="X148" t="s">
        <v>920</v>
      </c>
      <c r="Y148" t="s">
        <v>1230</v>
      </c>
      <c r="Z148" t="s">
        <v>987</v>
      </c>
      <c r="AA148" t="s">
        <v>991</v>
      </c>
      <c r="AB148" t="s">
        <v>987</v>
      </c>
      <c r="AC148" t="s">
        <v>968</v>
      </c>
      <c r="AD148" t="s">
        <v>1508</v>
      </c>
      <c r="AE148" t="s">
        <v>927</v>
      </c>
      <c r="AF148">
        <f t="shared" si="4"/>
        <v>13.2</v>
      </c>
      <c r="AG148">
        <f t="shared" si="5"/>
        <v>13.173999999999998</v>
      </c>
    </row>
    <row r="149" spans="1:33" x14ac:dyDescent="0.25">
      <c r="A149" t="s">
        <v>1770</v>
      </c>
      <c r="B149" t="s">
        <v>263</v>
      </c>
      <c r="C149" t="s">
        <v>1068</v>
      </c>
      <c r="D149" t="s">
        <v>105</v>
      </c>
      <c r="E149" t="s">
        <v>72</v>
      </c>
      <c r="F149" t="s">
        <v>1594</v>
      </c>
      <c r="G149" t="s">
        <v>1594</v>
      </c>
      <c r="H149" t="s">
        <v>1664</v>
      </c>
      <c r="I149" t="s">
        <v>1046</v>
      </c>
      <c r="J149" t="s">
        <v>943</v>
      </c>
      <c r="K149" t="s">
        <v>1130</v>
      </c>
      <c r="L149" t="s">
        <v>922</v>
      </c>
      <c r="M149" t="s">
        <v>957</v>
      </c>
      <c r="N149" t="s">
        <v>1411</v>
      </c>
      <c r="O149" t="s">
        <v>1048</v>
      </c>
      <c r="P149" t="s">
        <v>920</v>
      </c>
      <c r="Q149" t="s">
        <v>1771</v>
      </c>
      <c r="R149" t="s">
        <v>1541</v>
      </c>
      <c r="S149" t="s">
        <v>1230</v>
      </c>
      <c r="T149" t="s">
        <v>922</v>
      </c>
      <c r="U149" t="s">
        <v>1772</v>
      </c>
      <c r="V149" t="s">
        <v>1230</v>
      </c>
      <c r="W149" t="s">
        <v>992</v>
      </c>
      <c r="X149" t="s">
        <v>920</v>
      </c>
      <c r="Y149" t="s">
        <v>968</v>
      </c>
      <c r="Z149" t="s">
        <v>969</v>
      </c>
      <c r="AA149" t="s">
        <v>1049</v>
      </c>
      <c r="AB149" t="s">
        <v>1064</v>
      </c>
      <c r="AC149" t="s">
        <v>908</v>
      </c>
      <c r="AD149" t="s">
        <v>1658</v>
      </c>
      <c r="AE149" t="s">
        <v>927</v>
      </c>
      <c r="AF149">
        <f t="shared" si="4"/>
        <v>12.9</v>
      </c>
      <c r="AG149">
        <f t="shared" si="5"/>
        <v>13.023499999999999</v>
      </c>
    </row>
    <row r="150" spans="1:33" x14ac:dyDescent="0.25">
      <c r="A150" t="s">
        <v>1773</v>
      </c>
      <c r="B150" t="s">
        <v>198</v>
      </c>
      <c r="C150" t="s">
        <v>1232</v>
      </c>
      <c r="D150" t="s">
        <v>77</v>
      </c>
      <c r="E150" t="s">
        <v>72</v>
      </c>
      <c r="F150" t="s">
        <v>930</v>
      </c>
      <c r="G150" t="s">
        <v>930</v>
      </c>
      <c r="H150" t="s">
        <v>1774</v>
      </c>
      <c r="I150" t="s">
        <v>1046</v>
      </c>
      <c r="J150" t="s">
        <v>1113</v>
      </c>
      <c r="K150" t="s">
        <v>1775</v>
      </c>
      <c r="L150" t="s">
        <v>1029</v>
      </c>
      <c r="M150" t="s">
        <v>1005</v>
      </c>
      <c r="N150" t="s">
        <v>1567</v>
      </c>
      <c r="O150" t="s">
        <v>970</v>
      </c>
      <c r="P150" t="s">
        <v>1118</v>
      </c>
      <c r="Q150" t="s">
        <v>1337</v>
      </c>
      <c r="R150" t="s">
        <v>1776</v>
      </c>
      <c r="S150" t="s">
        <v>922</v>
      </c>
      <c r="T150" t="s">
        <v>993</v>
      </c>
      <c r="U150" t="s">
        <v>1611</v>
      </c>
      <c r="V150" t="s">
        <v>1049</v>
      </c>
      <c r="W150" t="s">
        <v>1211</v>
      </c>
      <c r="X150" t="s">
        <v>940</v>
      </c>
      <c r="Y150" t="s">
        <v>924</v>
      </c>
      <c r="Z150" t="s">
        <v>1008</v>
      </c>
      <c r="AA150" t="s">
        <v>1310</v>
      </c>
      <c r="AB150" t="s">
        <v>922</v>
      </c>
      <c r="AC150" t="s">
        <v>925</v>
      </c>
      <c r="AD150" t="s">
        <v>1658</v>
      </c>
      <c r="AE150" t="s">
        <v>927</v>
      </c>
      <c r="AF150">
        <f t="shared" si="4"/>
        <v>13.100000000000001</v>
      </c>
      <c r="AG150">
        <f t="shared" si="5"/>
        <v>13.038300000000001</v>
      </c>
    </row>
    <row r="151" spans="1:33" x14ac:dyDescent="0.25">
      <c r="A151" t="s">
        <v>1777</v>
      </c>
      <c r="B151" t="s">
        <v>1778</v>
      </c>
      <c r="C151" t="s">
        <v>1293</v>
      </c>
      <c r="D151" t="s">
        <v>142</v>
      </c>
      <c r="E151" t="s">
        <v>72</v>
      </c>
      <c r="F151" t="s">
        <v>929</v>
      </c>
      <c r="G151" t="s">
        <v>901</v>
      </c>
      <c r="H151" t="s">
        <v>1304</v>
      </c>
      <c r="I151" t="s">
        <v>957</v>
      </c>
      <c r="J151" t="s">
        <v>1010</v>
      </c>
      <c r="K151" t="s">
        <v>1324</v>
      </c>
      <c r="L151" t="s">
        <v>918</v>
      </c>
      <c r="M151" t="s">
        <v>993</v>
      </c>
      <c r="N151" t="s">
        <v>1556</v>
      </c>
      <c r="O151" t="s">
        <v>1155</v>
      </c>
      <c r="P151" t="s">
        <v>1079</v>
      </c>
      <c r="Q151" t="s">
        <v>1779</v>
      </c>
      <c r="R151" t="s">
        <v>1780</v>
      </c>
      <c r="S151" t="s">
        <v>1012</v>
      </c>
      <c r="T151" t="s">
        <v>1030</v>
      </c>
      <c r="U151" t="s">
        <v>1745</v>
      </c>
      <c r="V151" t="s">
        <v>1195</v>
      </c>
      <c r="W151" t="s">
        <v>992</v>
      </c>
      <c r="X151" t="s">
        <v>1046</v>
      </c>
      <c r="Y151" t="s">
        <v>1230</v>
      </c>
      <c r="Z151" t="s">
        <v>987</v>
      </c>
      <c r="AA151" t="s">
        <v>991</v>
      </c>
      <c r="AB151" t="s">
        <v>1029</v>
      </c>
      <c r="AC151" t="s">
        <v>968</v>
      </c>
      <c r="AD151" t="s">
        <v>1781</v>
      </c>
      <c r="AE151" t="s">
        <v>927</v>
      </c>
      <c r="AF151">
        <f t="shared" si="4"/>
        <v>12.9</v>
      </c>
      <c r="AG151">
        <f t="shared" si="5"/>
        <v>12.885000000000002</v>
      </c>
    </row>
    <row r="152" spans="1:33" x14ac:dyDescent="0.25">
      <c r="A152" t="s">
        <v>1782</v>
      </c>
      <c r="B152" t="s">
        <v>1783</v>
      </c>
      <c r="C152" t="s">
        <v>1204</v>
      </c>
      <c r="D152" t="s">
        <v>77</v>
      </c>
      <c r="E152" t="s">
        <v>56</v>
      </c>
      <c r="F152" t="s">
        <v>1084</v>
      </c>
      <c r="G152" t="s">
        <v>1147</v>
      </c>
      <c r="H152" t="s">
        <v>1311</v>
      </c>
      <c r="I152" t="s">
        <v>1170</v>
      </c>
      <c r="J152" t="s">
        <v>1450</v>
      </c>
      <c r="K152" t="s">
        <v>1784</v>
      </c>
      <c r="L152" t="s">
        <v>1008</v>
      </c>
      <c r="M152" t="s">
        <v>947</v>
      </c>
      <c r="N152" t="s">
        <v>1785</v>
      </c>
      <c r="O152" t="s">
        <v>1030</v>
      </c>
      <c r="P152" t="s">
        <v>990</v>
      </c>
      <c r="Q152" t="s">
        <v>1157</v>
      </c>
      <c r="R152" t="s">
        <v>1682</v>
      </c>
      <c r="S152" t="s">
        <v>1000</v>
      </c>
      <c r="T152" t="s">
        <v>1155</v>
      </c>
      <c r="U152" t="s">
        <v>1786</v>
      </c>
      <c r="V152" t="s">
        <v>918</v>
      </c>
      <c r="W152" t="s">
        <v>964</v>
      </c>
      <c r="X152" t="s">
        <v>1155</v>
      </c>
      <c r="Y152" t="s">
        <v>919</v>
      </c>
      <c r="Z152" t="s">
        <v>1065</v>
      </c>
      <c r="AA152" t="s">
        <v>934</v>
      </c>
      <c r="AB152" t="s">
        <v>1029</v>
      </c>
      <c r="AC152" t="s">
        <v>1195</v>
      </c>
      <c r="AD152" t="s">
        <v>966</v>
      </c>
      <c r="AE152" t="s">
        <v>927</v>
      </c>
      <c r="AF152">
        <f t="shared" si="4"/>
        <v>12.7</v>
      </c>
      <c r="AG152">
        <f t="shared" si="5"/>
        <v>12.678599999999999</v>
      </c>
    </row>
    <row r="153" spans="1:33" x14ac:dyDescent="0.25">
      <c r="A153" t="s">
        <v>1787</v>
      </c>
      <c r="B153" t="s">
        <v>1788</v>
      </c>
      <c r="C153" t="s">
        <v>1238</v>
      </c>
      <c r="D153" t="s">
        <v>95</v>
      </c>
      <c r="E153" t="s">
        <v>56</v>
      </c>
      <c r="F153" t="s">
        <v>1535</v>
      </c>
      <c r="G153" t="s">
        <v>1106</v>
      </c>
      <c r="H153" t="s">
        <v>1671</v>
      </c>
      <c r="I153" t="s">
        <v>1170</v>
      </c>
      <c r="J153" t="s">
        <v>1020</v>
      </c>
      <c r="K153" t="s">
        <v>1761</v>
      </c>
      <c r="L153" t="s">
        <v>1029</v>
      </c>
      <c r="M153" t="s">
        <v>1047</v>
      </c>
      <c r="N153" t="s">
        <v>1001</v>
      </c>
      <c r="O153" t="s">
        <v>1104</v>
      </c>
      <c r="P153" t="s">
        <v>1126</v>
      </c>
      <c r="Q153" t="s">
        <v>1099</v>
      </c>
      <c r="R153" t="s">
        <v>1476</v>
      </c>
      <c r="S153" t="s">
        <v>924</v>
      </c>
      <c r="T153" t="s">
        <v>946</v>
      </c>
      <c r="U153" t="s">
        <v>1007</v>
      </c>
      <c r="V153" t="s">
        <v>987</v>
      </c>
      <c r="W153" t="s">
        <v>925</v>
      </c>
      <c r="X153" t="s">
        <v>1135</v>
      </c>
      <c r="Y153" t="s">
        <v>1005</v>
      </c>
      <c r="Z153" t="s">
        <v>923</v>
      </c>
      <c r="AA153" t="s">
        <v>934</v>
      </c>
      <c r="AB153" t="s">
        <v>1220</v>
      </c>
      <c r="AC153" t="s">
        <v>1220</v>
      </c>
      <c r="AD153" t="s">
        <v>966</v>
      </c>
      <c r="AE153" t="s">
        <v>927</v>
      </c>
      <c r="AF153">
        <f t="shared" si="4"/>
        <v>12.6</v>
      </c>
      <c r="AG153">
        <f t="shared" si="5"/>
        <v>12.690899999999999</v>
      </c>
    </row>
    <row r="154" spans="1:33" x14ac:dyDescent="0.25">
      <c r="A154" t="s">
        <v>1789</v>
      </c>
      <c r="B154" t="s">
        <v>1790</v>
      </c>
      <c r="C154" t="s">
        <v>973</v>
      </c>
      <c r="D154" t="s">
        <v>70</v>
      </c>
      <c r="E154" t="s">
        <v>47</v>
      </c>
      <c r="F154" t="s">
        <v>1285</v>
      </c>
      <c r="G154" t="s">
        <v>1717</v>
      </c>
      <c r="H154" t="s">
        <v>1292</v>
      </c>
      <c r="I154" t="s">
        <v>1134</v>
      </c>
      <c r="J154" t="s">
        <v>1450</v>
      </c>
      <c r="K154" t="s">
        <v>1420</v>
      </c>
      <c r="L154" t="s">
        <v>1064</v>
      </c>
      <c r="M154" t="s">
        <v>992</v>
      </c>
      <c r="N154" t="s">
        <v>1791</v>
      </c>
      <c r="O154" t="s">
        <v>1030</v>
      </c>
      <c r="P154" t="s">
        <v>921</v>
      </c>
      <c r="Q154" t="s">
        <v>1585</v>
      </c>
      <c r="R154" t="s">
        <v>1307</v>
      </c>
      <c r="S154" t="s">
        <v>1049</v>
      </c>
      <c r="T154" t="s">
        <v>993</v>
      </c>
      <c r="U154" t="s">
        <v>1634</v>
      </c>
      <c r="V154" t="s">
        <v>1310</v>
      </c>
      <c r="W154" t="s">
        <v>1000</v>
      </c>
      <c r="X154" t="s">
        <v>1134</v>
      </c>
      <c r="Y154" t="s">
        <v>1029</v>
      </c>
      <c r="Z154" t="s">
        <v>969</v>
      </c>
      <c r="AA154" t="s">
        <v>1094</v>
      </c>
      <c r="AB154" t="s">
        <v>923</v>
      </c>
      <c r="AC154" t="s">
        <v>1310</v>
      </c>
      <c r="AD154" t="s">
        <v>966</v>
      </c>
      <c r="AE154" t="s">
        <v>927</v>
      </c>
      <c r="AF154">
        <f t="shared" si="4"/>
        <v>12.6</v>
      </c>
      <c r="AG154">
        <f t="shared" si="5"/>
        <v>12.7013</v>
      </c>
    </row>
    <row r="155" spans="1:33" x14ac:dyDescent="0.25">
      <c r="A155" t="s">
        <v>1792</v>
      </c>
      <c r="B155" t="s">
        <v>1793</v>
      </c>
      <c r="C155" t="s">
        <v>1015</v>
      </c>
      <c r="D155" t="s">
        <v>974</v>
      </c>
      <c r="E155" t="s">
        <v>56</v>
      </c>
      <c r="F155" t="s">
        <v>1165</v>
      </c>
      <c r="G155" t="s">
        <v>1068</v>
      </c>
      <c r="H155" t="s">
        <v>1794</v>
      </c>
      <c r="I155" t="s">
        <v>1170</v>
      </c>
      <c r="J155" t="s">
        <v>1253</v>
      </c>
      <c r="K155" t="s">
        <v>1509</v>
      </c>
      <c r="L155" t="s">
        <v>1049</v>
      </c>
      <c r="M155" t="s">
        <v>985</v>
      </c>
      <c r="N155" t="s">
        <v>1628</v>
      </c>
      <c r="O155" t="s">
        <v>947</v>
      </c>
      <c r="P155" t="s">
        <v>1134</v>
      </c>
      <c r="Q155" t="s">
        <v>1629</v>
      </c>
      <c r="R155" t="s">
        <v>1795</v>
      </c>
      <c r="S155" t="s">
        <v>908</v>
      </c>
      <c r="T155" t="s">
        <v>993</v>
      </c>
      <c r="U155" t="s">
        <v>1796</v>
      </c>
      <c r="V155" t="s">
        <v>1094</v>
      </c>
      <c r="W155" t="s">
        <v>924</v>
      </c>
      <c r="X155" t="s">
        <v>1104</v>
      </c>
      <c r="Y155" t="s">
        <v>1005</v>
      </c>
      <c r="Z155" t="s">
        <v>923</v>
      </c>
      <c r="AA155" t="s">
        <v>991</v>
      </c>
      <c r="AB155" t="s">
        <v>1049</v>
      </c>
      <c r="AC155" t="s">
        <v>956</v>
      </c>
      <c r="AD155" t="s">
        <v>1306</v>
      </c>
      <c r="AE155" t="s">
        <v>927</v>
      </c>
      <c r="AF155">
        <f t="shared" si="4"/>
        <v>12.6</v>
      </c>
      <c r="AG155">
        <f t="shared" si="5"/>
        <v>12.619800000000001</v>
      </c>
    </row>
    <row r="156" spans="1:33" x14ac:dyDescent="0.25">
      <c r="A156" t="s">
        <v>1792</v>
      </c>
      <c r="B156" t="s">
        <v>1793</v>
      </c>
      <c r="C156" t="s">
        <v>1015</v>
      </c>
      <c r="D156" t="s">
        <v>1014</v>
      </c>
      <c r="E156" t="s">
        <v>56</v>
      </c>
      <c r="F156" t="s">
        <v>950</v>
      </c>
      <c r="G156" t="s">
        <v>1106</v>
      </c>
      <c r="H156" t="s">
        <v>1095</v>
      </c>
      <c r="I156" t="s">
        <v>1103</v>
      </c>
      <c r="J156" t="s">
        <v>1655</v>
      </c>
      <c r="K156" t="s">
        <v>1797</v>
      </c>
      <c r="L156" t="s">
        <v>1049</v>
      </c>
      <c r="M156" t="s">
        <v>1079</v>
      </c>
      <c r="N156" t="s">
        <v>1666</v>
      </c>
      <c r="O156" t="s">
        <v>993</v>
      </c>
      <c r="P156" t="s">
        <v>1046</v>
      </c>
      <c r="Q156" t="s">
        <v>1436</v>
      </c>
      <c r="R156" t="s">
        <v>1412</v>
      </c>
      <c r="S156" t="s">
        <v>1029</v>
      </c>
      <c r="T156" t="s">
        <v>968</v>
      </c>
      <c r="U156" t="s">
        <v>1701</v>
      </c>
      <c r="V156" t="s">
        <v>1094</v>
      </c>
      <c r="W156" t="s">
        <v>993</v>
      </c>
      <c r="X156" t="s">
        <v>1104</v>
      </c>
      <c r="Y156" t="s">
        <v>957</v>
      </c>
      <c r="Z156" t="s">
        <v>987</v>
      </c>
      <c r="AA156" t="s">
        <v>1119</v>
      </c>
      <c r="AB156" t="s">
        <v>922</v>
      </c>
      <c r="AC156" t="s">
        <v>968</v>
      </c>
      <c r="AD156" t="s">
        <v>1113</v>
      </c>
      <c r="AE156" t="s">
        <v>927</v>
      </c>
      <c r="AF156">
        <f t="shared" si="4"/>
        <v>12.299999999999999</v>
      </c>
      <c r="AG156">
        <f t="shared" si="5"/>
        <v>12.320399999999999</v>
      </c>
    </row>
    <row r="157" spans="1:33" x14ac:dyDescent="0.25">
      <c r="A157" t="s">
        <v>1792</v>
      </c>
      <c r="B157" t="s">
        <v>1793</v>
      </c>
      <c r="C157" t="s">
        <v>1015</v>
      </c>
      <c r="D157" t="s">
        <v>1279</v>
      </c>
      <c r="E157" t="s">
        <v>56</v>
      </c>
      <c r="F157" t="s">
        <v>950</v>
      </c>
      <c r="G157" t="s">
        <v>902</v>
      </c>
      <c r="H157" t="s">
        <v>1186</v>
      </c>
      <c r="I157" t="s">
        <v>919</v>
      </c>
      <c r="J157" t="s">
        <v>905</v>
      </c>
      <c r="K157" t="s">
        <v>1798</v>
      </c>
      <c r="L157" t="s">
        <v>956</v>
      </c>
      <c r="M157" t="s">
        <v>1006</v>
      </c>
      <c r="N157" t="s">
        <v>1799</v>
      </c>
      <c r="O157" t="s">
        <v>925</v>
      </c>
      <c r="P157" t="s">
        <v>957</v>
      </c>
      <c r="Q157" t="s">
        <v>1682</v>
      </c>
      <c r="R157" t="s">
        <v>1337</v>
      </c>
      <c r="S157" t="s">
        <v>1012</v>
      </c>
      <c r="T157" t="s">
        <v>1048</v>
      </c>
      <c r="U157" t="s">
        <v>1772</v>
      </c>
      <c r="V157" t="s">
        <v>991</v>
      </c>
      <c r="W157" t="s">
        <v>924</v>
      </c>
      <c r="X157" t="s">
        <v>1104</v>
      </c>
      <c r="Y157" t="s">
        <v>1092</v>
      </c>
      <c r="Z157" t="s">
        <v>1064</v>
      </c>
      <c r="AA157" t="s">
        <v>1008</v>
      </c>
      <c r="AB157" t="s">
        <v>956</v>
      </c>
      <c r="AC157" t="s">
        <v>908</v>
      </c>
      <c r="AD157" t="s">
        <v>1781</v>
      </c>
      <c r="AE157" t="s">
        <v>927</v>
      </c>
      <c r="AF157">
        <f t="shared" si="4"/>
        <v>12.799999999999999</v>
      </c>
      <c r="AG157">
        <f t="shared" si="5"/>
        <v>12.913600000000001</v>
      </c>
    </row>
    <row r="158" spans="1:33" x14ac:dyDescent="0.25">
      <c r="A158" t="s">
        <v>1800</v>
      </c>
      <c r="B158" t="s">
        <v>231</v>
      </c>
      <c r="C158" t="s">
        <v>1232</v>
      </c>
      <c r="D158" t="s">
        <v>111</v>
      </c>
      <c r="E158" t="s">
        <v>47</v>
      </c>
      <c r="F158" t="s">
        <v>1138</v>
      </c>
      <c r="G158" t="s">
        <v>1438</v>
      </c>
      <c r="H158" t="s">
        <v>1221</v>
      </c>
      <c r="I158" t="s">
        <v>1134</v>
      </c>
      <c r="J158" t="s">
        <v>1020</v>
      </c>
      <c r="K158" t="s">
        <v>1555</v>
      </c>
      <c r="L158" t="s">
        <v>1029</v>
      </c>
      <c r="M158" t="s">
        <v>1211</v>
      </c>
      <c r="N158" t="s">
        <v>1425</v>
      </c>
      <c r="O158" t="s">
        <v>946</v>
      </c>
      <c r="P158" t="s">
        <v>1079</v>
      </c>
      <c r="Q158" t="s">
        <v>1570</v>
      </c>
      <c r="R158" t="s">
        <v>1058</v>
      </c>
      <c r="S158" t="s">
        <v>1230</v>
      </c>
      <c r="T158" t="s">
        <v>956</v>
      </c>
      <c r="U158" t="s">
        <v>1801</v>
      </c>
      <c r="V158" t="s">
        <v>1064</v>
      </c>
      <c r="W158" t="s">
        <v>924</v>
      </c>
      <c r="X158" t="s">
        <v>992</v>
      </c>
      <c r="Y158" t="s">
        <v>945</v>
      </c>
      <c r="Z158" t="s">
        <v>1008</v>
      </c>
      <c r="AA158" t="s">
        <v>1065</v>
      </c>
      <c r="AB158" t="s">
        <v>945</v>
      </c>
      <c r="AC158" t="s">
        <v>956</v>
      </c>
      <c r="AD158" t="s">
        <v>1306</v>
      </c>
      <c r="AE158" t="s">
        <v>927</v>
      </c>
      <c r="AF158">
        <f t="shared" si="4"/>
        <v>12.6</v>
      </c>
      <c r="AG158">
        <f t="shared" si="5"/>
        <v>12.585000000000001</v>
      </c>
    </row>
    <row r="159" spans="1:33" x14ac:dyDescent="0.25">
      <c r="A159" t="s">
        <v>1802</v>
      </c>
      <c r="B159" t="s">
        <v>319</v>
      </c>
      <c r="C159" t="s">
        <v>1084</v>
      </c>
      <c r="D159" t="s">
        <v>156</v>
      </c>
      <c r="E159" t="s">
        <v>93</v>
      </c>
      <c r="F159" t="s">
        <v>1107</v>
      </c>
      <c r="G159" t="s">
        <v>1202</v>
      </c>
      <c r="H159" t="s">
        <v>1794</v>
      </c>
      <c r="I159" t="s">
        <v>1134</v>
      </c>
      <c r="J159" t="s">
        <v>1450</v>
      </c>
      <c r="K159" t="s">
        <v>1466</v>
      </c>
      <c r="L159" t="s">
        <v>968</v>
      </c>
      <c r="M159" t="s">
        <v>920</v>
      </c>
      <c r="N159" t="s">
        <v>981</v>
      </c>
      <c r="O159" t="s">
        <v>1135</v>
      </c>
      <c r="P159" t="s">
        <v>920</v>
      </c>
      <c r="Q159" t="s">
        <v>1541</v>
      </c>
      <c r="R159" t="s">
        <v>955</v>
      </c>
      <c r="S159" t="s">
        <v>923</v>
      </c>
      <c r="T159" t="s">
        <v>1230</v>
      </c>
      <c r="U159" t="s">
        <v>1803</v>
      </c>
      <c r="V159" t="s">
        <v>1230</v>
      </c>
      <c r="W159" t="s">
        <v>920</v>
      </c>
      <c r="X159" t="s">
        <v>921</v>
      </c>
      <c r="Y159" t="s">
        <v>964</v>
      </c>
      <c r="Z159" t="s">
        <v>987</v>
      </c>
      <c r="AA159" t="s">
        <v>991</v>
      </c>
      <c r="AB159" t="s">
        <v>1064</v>
      </c>
      <c r="AC159" t="s">
        <v>945</v>
      </c>
      <c r="AD159" t="s">
        <v>1236</v>
      </c>
      <c r="AE159" t="s">
        <v>927</v>
      </c>
      <c r="AF159">
        <f t="shared" si="4"/>
        <v>12.4</v>
      </c>
      <c r="AG159">
        <f t="shared" si="5"/>
        <v>12.477399999999999</v>
      </c>
    </row>
    <row r="160" spans="1:33" x14ac:dyDescent="0.25">
      <c r="A160" t="s">
        <v>1804</v>
      </c>
      <c r="B160" t="s">
        <v>1805</v>
      </c>
      <c r="C160" t="s">
        <v>1293</v>
      </c>
      <c r="D160" t="s">
        <v>85</v>
      </c>
      <c r="E160" t="s">
        <v>63</v>
      </c>
      <c r="F160" t="s">
        <v>951</v>
      </c>
      <c r="G160" t="s">
        <v>949</v>
      </c>
      <c r="H160" t="s">
        <v>1806</v>
      </c>
      <c r="I160" t="s">
        <v>1211</v>
      </c>
      <c r="J160" t="s">
        <v>916</v>
      </c>
      <c r="K160" t="s">
        <v>1180</v>
      </c>
      <c r="L160" t="s">
        <v>1029</v>
      </c>
      <c r="M160" t="s">
        <v>992</v>
      </c>
      <c r="N160" t="s">
        <v>1577</v>
      </c>
      <c r="O160" t="s">
        <v>1135</v>
      </c>
      <c r="P160" t="s">
        <v>962</v>
      </c>
      <c r="Q160" t="s">
        <v>1218</v>
      </c>
      <c r="R160" t="s">
        <v>1807</v>
      </c>
      <c r="S160" t="s">
        <v>968</v>
      </c>
      <c r="T160" t="s">
        <v>908</v>
      </c>
      <c r="U160" t="s">
        <v>1808</v>
      </c>
      <c r="V160" t="s">
        <v>1008</v>
      </c>
      <c r="W160" t="s">
        <v>968</v>
      </c>
      <c r="X160" t="s">
        <v>993</v>
      </c>
      <c r="Y160" t="s">
        <v>1000</v>
      </c>
      <c r="Z160" t="s">
        <v>1064</v>
      </c>
      <c r="AA160" t="s">
        <v>1600</v>
      </c>
      <c r="AB160" t="s">
        <v>1195</v>
      </c>
      <c r="AC160" t="s">
        <v>1310</v>
      </c>
      <c r="AD160" t="s">
        <v>1236</v>
      </c>
      <c r="AE160" t="s">
        <v>927</v>
      </c>
      <c r="AF160">
        <f t="shared" si="4"/>
        <v>12.600000000000001</v>
      </c>
      <c r="AG160">
        <f t="shared" si="5"/>
        <v>12.500400000000001</v>
      </c>
    </row>
    <row r="161" spans="1:33" x14ac:dyDescent="0.25">
      <c r="A161" t="s">
        <v>1809</v>
      </c>
      <c r="B161" t="s">
        <v>340</v>
      </c>
      <c r="C161" t="s">
        <v>1084</v>
      </c>
      <c r="D161" t="s">
        <v>121</v>
      </c>
      <c r="E161" t="s">
        <v>93</v>
      </c>
      <c r="F161" t="s">
        <v>903</v>
      </c>
      <c r="G161" t="s">
        <v>903</v>
      </c>
      <c r="H161" t="s">
        <v>1188</v>
      </c>
      <c r="I161" t="s">
        <v>1134</v>
      </c>
      <c r="J161" t="s">
        <v>1394</v>
      </c>
      <c r="K161" t="s">
        <v>1297</v>
      </c>
      <c r="L161" t="s">
        <v>956</v>
      </c>
      <c r="M161" t="s">
        <v>1126</v>
      </c>
      <c r="N161" t="s">
        <v>1056</v>
      </c>
      <c r="O161" t="s">
        <v>1104</v>
      </c>
      <c r="P161" t="s">
        <v>1046</v>
      </c>
      <c r="Q161" t="s">
        <v>1504</v>
      </c>
      <c r="R161" t="s">
        <v>1307</v>
      </c>
      <c r="S161" t="s">
        <v>987</v>
      </c>
      <c r="T161" t="s">
        <v>918</v>
      </c>
      <c r="U161" t="s">
        <v>1765</v>
      </c>
      <c r="V161" t="s">
        <v>1049</v>
      </c>
      <c r="W161" t="s">
        <v>1134</v>
      </c>
      <c r="X161" t="s">
        <v>1112</v>
      </c>
      <c r="Y161" t="s">
        <v>1230</v>
      </c>
      <c r="Z161" t="s">
        <v>987</v>
      </c>
      <c r="AA161" t="s">
        <v>918</v>
      </c>
      <c r="AB161" t="s">
        <v>987</v>
      </c>
      <c r="AC161" t="s">
        <v>924</v>
      </c>
      <c r="AD161" t="s">
        <v>1113</v>
      </c>
      <c r="AE161" t="s">
        <v>927</v>
      </c>
      <c r="AF161">
        <f t="shared" si="4"/>
        <v>12.4</v>
      </c>
      <c r="AG161">
        <f t="shared" si="5"/>
        <v>12.367600000000003</v>
      </c>
    </row>
    <row r="162" spans="1:33" x14ac:dyDescent="0.25">
      <c r="A162" t="s">
        <v>1810</v>
      </c>
      <c r="B162" t="s">
        <v>1811</v>
      </c>
      <c r="C162" t="s">
        <v>902</v>
      </c>
      <c r="D162" t="s">
        <v>108</v>
      </c>
      <c r="E162" t="s">
        <v>63</v>
      </c>
      <c r="F162" t="s">
        <v>1238</v>
      </c>
      <c r="G162" t="s">
        <v>1067</v>
      </c>
      <c r="H162" t="s">
        <v>1292</v>
      </c>
      <c r="I162" t="s">
        <v>1047</v>
      </c>
      <c r="J162" t="s">
        <v>941</v>
      </c>
      <c r="K162" t="s">
        <v>1240</v>
      </c>
      <c r="L162" t="s">
        <v>947</v>
      </c>
      <c r="M162" t="s">
        <v>921</v>
      </c>
      <c r="N162" t="s">
        <v>1001</v>
      </c>
      <c r="O162" t="s">
        <v>925</v>
      </c>
      <c r="P162" t="s">
        <v>1170</v>
      </c>
      <c r="Q162" t="s">
        <v>1395</v>
      </c>
      <c r="R162" t="s">
        <v>1239</v>
      </c>
      <c r="S162" t="s">
        <v>945</v>
      </c>
      <c r="T162" t="s">
        <v>1310</v>
      </c>
      <c r="U162" t="s">
        <v>963</v>
      </c>
      <c r="V162" t="s">
        <v>1094</v>
      </c>
      <c r="W162" t="s">
        <v>964</v>
      </c>
      <c r="X162" t="s">
        <v>1048</v>
      </c>
      <c r="Y162" t="s">
        <v>993</v>
      </c>
      <c r="Z162" t="s">
        <v>1065</v>
      </c>
      <c r="AA162" t="s">
        <v>1094</v>
      </c>
      <c r="AB162" t="s">
        <v>1195</v>
      </c>
      <c r="AC162" t="s">
        <v>1230</v>
      </c>
      <c r="AD162" t="s">
        <v>1113</v>
      </c>
      <c r="AE162" t="s">
        <v>927</v>
      </c>
      <c r="AF162">
        <f t="shared" si="4"/>
        <v>12.5</v>
      </c>
      <c r="AG162">
        <f t="shared" si="5"/>
        <v>12.347999999999999</v>
      </c>
    </row>
    <row r="163" spans="1:33" x14ac:dyDescent="0.25">
      <c r="A163" t="s">
        <v>1812</v>
      </c>
      <c r="B163" t="s">
        <v>69</v>
      </c>
      <c r="C163" t="s">
        <v>1204</v>
      </c>
      <c r="D163" t="s">
        <v>70</v>
      </c>
      <c r="E163" t="s">
        <v>93</v>
      </c>
      <c r="F163" t="s">
        <v>1416</v>
      </c>
      <c r="G163" t="s">
        <v>1416</v>
      </c>
      <c r="H163" t="s">
        <v>1583</v>
      </c>
      <c r="I163" t="s">
        <v>1081</v>
      </c>
      <c r="J163" t="s">
        <v>1010</v>
      </c>
      <c r="K163" t="s">
        <v>1471</v>
      </c>
      <c r="L163" t="s">
        <v>1049</v>
      </c>
      <c r="M163" t="s">
        <v>1103</v>
      </c>
      <c r="N163" t="s">
        <v>1784</v>
      </c>
      <c r="O163" t="s">
        <v>947</v>
      </c>
      <c r="P163" t="s">
        <v>1160</v>
      </c>
      <c r="Q163" t="s">
        <v>1813</v>
      </c>
      <c r="R163" t="s">
        <v>1814</v>
      </c>
      <c r="S163" t="s">
        <v>956</v>
      </c>
      <c r="T163" t="s">
        <v>924</v>
      </c>
      <c r="U163" t="s">
        <v>1468</v>
      </c>
      <c r="V163" t="s">
        <v>945</v>
      </c>
      <c r="W163" t="s">
        <v>1012</v>
      </c>
      <c r="X163" t="s">
        <v>1155</v>
      </c>
      <c r="Y163" t="s">
        <v>922</v>
      </c>
      <c r="Z163" t="s">
        <v>1065</v>
      </c>
      <c r="AA163" t="s">
        <v>934</v>
      </c>
      <c r="AB163" t="s">
        <v>969</v>
      </c>
      <c r="AC163" t="s">
        <v>918</v>
      </c>
      <c r="AD163" t="s">
        <v>1815</v>
      </c>
      <c r="AE163" t="s">
        <v>927</v>
      </c>
      <c r="AF163">
        <f t="shared" si="4"/>
        <v>12.3</v>
      </c>
      <c r="AG163">
        <f t="shared" si="5"/>
        <v>12.266999999999999</v>
      </c>
    </row>
    <row r="164" spans="1:33" x14ac:dyDescent="0.25">
      <c r="A164" t="s">
        <v>1816</v>
      </c>
      <c r="B164" t="s">
        <v>100</v>
      </c>
      <c r="C164" t="s">
        <v>1238</v>
      </c>
      <c r="D164" t="s">
        <v>77</v>
      </c>
      <c r="E164" t="s">
        <v>47</v>
      </c>
      <c r="F164" t="s">
        <v>1501</v>
      </c>
      <c r="G164" t="s">
        <v>1501</v>
      </c>
      <c r="H164" t="s">
        <v>1817</v>
      </c>
      <c r="I164" t="s">
        <v>1047</v>
      </c>
      <c r="J164" t="s">
        <v>941</v>
      </c>
      <c r="K164" t="s">
        <v>1818</v>
      </c>
      <c r="L164" t="s">
        <v>1064</v>
      </c>
      <c r="M164" t="s">
        <v>1155</v>
      </c>
      <c r="N164" t="s">
        <v>1662</v>
      </c>
      <c r="O164" t="s">
        <v>1000</v>
      </c>
      <c r="P164" t="s">
        <v>1172</v>
      </c>
      <c r="Q164" t="s">
        <v>1131</v>
      </c>
      <c r="R164" t="s">
        <v>1287</v>
      </c>
      <c r="S164" t="s">
        <v>947</v>
      </c>
      <c r="T164" t="s">
        <v>946</v>
      </c>
      <c r="U164" t="s">
        <v>1505</v>
      </c>
      <c r="V164" t="s">
        <v>1310</v>
      </c>
      <c r="W164" t="s">
        <v>1000</v>
      </c>
      <c r="X164" t="s">
        <v>920</v>
      </c>
      <c r="Y164" t="s">
        <v>1000</v>
      </c>
      <c r="Z164" t="s">
        <v>1195</v>
      </c>
      <c r="AA164" t="s">
        <v>1008</v>
      </c>
      <c r="AB164" t="s">
        <v>908</v>
      </c>
      <c r="AC164" t="s">
        <v>924</v>
      </c>
      <c r="AD164" t="s">
        <v>1815</v>
      </c>
      <c r="AE164" t="s">
        <v>927</v>
      </c>
      <c r="AF164">
        <f t="shared" si="4"/>
        <v>12.399999999999999</v>
      </c>
      <c r="AG164">
        <f t="shared" si="5"/>
        <v>12.315999999999999</v>
      </c>
    </row>
    <row r="165" spans="1:33" x14ac:dyDescent="0.25">
      <c r="A165" t="s">
        <v>1819</v>
      </c>
      <c r="B165" t="s">
        <v>1820</v>
      </c>
      <c r="C165" t="s">
        <v>973</v>
      </c>
      <c r="D165" t="s">
        <v>131</v>
      </c>
      <c r="E165" t="s">
        <v>63</v>
      </c>
      <c r="F165" t="s">
        <v>1123</v>
      </c>
      <c r="G165" t="s">
        <v>902</v>
      </c>
      <c r="H165" t="s">
        <v>1821</v>
      </c>
      <c r="I165" t="s">
        <v>1134</v>
      </c>
      <c r="J165" t="s">
        <v>997</v>
      </c>
      <c r="K165" t="s">
        <v>1299</v>
      </c>
      <c r="L165" t="s">
        <v>1195</v>
      </c>
      <c r="M165" t="s">
        <v>919</v>
      </c>
      <c r="N165" t="s">
        <v>1359</v>
      </c>
      <c r="O165" t="s">
        <v>979</v>
      </c>
      <c r="P165" t="s">
        <v>909</v>
      </c>
      <c r="Q165" t="s">
        <v>1822</v>
      </c>
      <c r="R165" t="s">
        <v>1559</v>
      </c>
      <c r="S165" t="s">
        <v>1195</v>
      </c>
      <c r="T165" t="s">
        <v>922</v>
      </c>
      <c r="U165" t="s">
        <v>1529</v>
      </c>
      <c r="V165" t="s">
        <v>969</v>
      </c>
      <c r="W165" t="s">
        <v>964</v>
      </c>
      <c r="X165" t="s">
        <v>979</v>
      </c>
      <c r="Y165" t="s">
        <v>1047</v>
      </c>
      <c r="Z165" t="s">
        <v>918</v>
      </c>
      <c r="AA165" t="s">
        <v>991</v>
      </c>
      <c r="AB165" t="s">
        <v>1310</v>
      </c>
      <c r="AC165" t="s">
        <v>947</v>
      </c>
      <c r="AD165" t="s">
        <v>1815</v>
      </c>
      <c r="AE165" t="s">
        <v>927</v>
      </c>
      <c r="AF165">
        <f t="shared" si="4"/>
        <v>12.200000000000001</v>
      </c>
      <c r="AG165">
        <f t="shared" si="5"/>
        <v>12.345700000000001</v>
      </c>
    </row>
    <row r="166" spans="1:33" x14ac:dyDescent="0.25">
      <c r="A166" t="s">
        <v>1823</v>
      </c>
      <c r="B166" t="s">
        <v>1824</v>
      </c>
      <c r="C166" t="s">
        <v>902</v>
      </c>
      <c r="D166" t="s">
        <v>151</v>
      </c>
      <c r="E166" t="s">
        <v>72</v>
      </c>
      <c r="F166" t="s">
        <v>1489</v>
      </c>
      <c r="G166" t="s">
        <v>1176</v>
      </c>
      <c r="H166" t="s">
        <v>1389</v>
      </c>
      <c r="I166" t="s">
        <v>920</v>
      </c>
      <c r="J166" t="s">
        <v>1128</v>
      </c>
      <c r="K166" t="s">
        <v>1825</v>
      </c>
      <c r="L166" t="s">
        <v>1600</v>
      </c>
      <c r="M166" t="s">
        <v>1600</v>
      </c>
      <c r="N166" t="s">
        <v>927</v>
      </c>
      <c r="O166" t="s">
        <v>920</v>
      </c>
      <c r="P166" t="s">
        <v>1128</v>
      </c>
      <c r="Q166" t="s">
        <v>1825</v>
      </c>
      <c r="R166" t="s">
        <v>1825</v>
      </c>
      <c r="S166" t="s">
        <v>924</v>
      </c>
      <c r="T166" t="s">
        <v>1000</v>
      </c>
      <c r="U166" t="s">
        <v>1826</v>
      </c>
      <c r="V166" t="s">
        <v>1220</v>
      </c>
      <c r="W166" t="s">
        <v>919</v>
      </c>
      <c r="X166" t="s">
        <v>1172</v>
      </c>
      <c r="Y166" t="s">
        <v>1230</v>
      </c>
      <c r="Z166" t="s">
        <v>991</v>
      </c>
      <c r="AA166" t="s">
        <v>968</v>
      </c>
      <c r="AB166" t="s">
        <v>945</v>
      </c>
      <c r="AC166" t="s">
        <v>1220</v>
      </c>
      <c r="AD166" t="s">
        <v>1815</v>
      </c>
      <c r="AE166" t="s">
        <v>927</v>
      </c>
      <c r="AF166">
        <f t="shared" si="4"/>
        <v>12.4</v>
      </c>
      <c r="AG166" t="e">
        <f t="shared" si="5"/>
        <v>#VALUE!</v>
      </c>
    </row>
    <row r="167" spans="1:33" x14ac:dyDescent="0.25">
      <c r="A167" t="s">
        <v>1827</v>
      </c>
      <c r="B167" t="s">
        <v>135</v>
      </c>
      <c r="C167" t="s">
        <v>1084</v>
      </c>
      <c r="D167" t="s">
        <v>102</v>
      </c>
      <c r="E167" t="s">
        <v>93</v>
      </c>
      <c r="F167" t="s">
        <v>1416</v>
      </c>
      <c r="G167" t="s">
        <v>1416</v>
      </c>
      <c r="H167" t="s">
        <v>1385</v>
      </c>
      <c r="I167" t="s">
        <v>1046</v>
      </c>
      <c r="J167" t="s">
        <v>967</v>
      </c>
      <c r="K167" t="s">
        <v>1358</v>
      </c>
      <c r="L167" t="s">
        <v>945</v>
      </c>
      <c r="M167" t="s">
        <v>1030</v>
      </c>
      <c r="N167" t="s">
        <v>1828</v>
      </c>
      <c r="O167" t="s">
        <v>992</v>
      </c>
      <c r="P167" t="s">
        <v>940</v>
      </c>
      <c r="Q167" t="s">
        <v>1559</v>
      </c>
      <c r="R167" t="s">
        <v>1058</v>
      </c>
      <c r="S167" t="s">
        <v>1195</v>
      </c>
      <c r="T167" t="s">
        <v>1029</v>
      </c>
      <c r="U167" t="s">
        <v>1421</v>
      </c>
      <c r="V167" t="s">
        <v>1029</v>
      </c>
      <c r="W167" t="s">
        <v>1081</v>
      </c>
      <c r="X167" t="s">
        <v>909</v>
      </c>
      <c r="Y167" t="s">
        <v>956</v>
      </c>
      <c r="Z167" t="s">
        <v>1195</v>
      </c>
      <c r="AA167" t="s">
        <v>918</v>
      </c>
      <c r="AB167" t="s">
        <v>945</v>
      </c>
      <c r="AC167" t="s">
        <v>1220</v>
      </c>
      <c r="AD167" t="s">
        <v>1241</v>
      </c>
      <c r="AE167" t="s">
        <v>927</v>
      </c>
      <c r="AF167">
        <f t="shared" si="4"/>
        <v>12.3</v>
      </c>
      <c r="AG167">
        <f t="shared" si="5"/>
        <v>12.2568</v>
      </c>
    </row>
    <row r="168" spans="1:33" x14ac:dyDescent="0.25">
      <c r="A168" t="s">
        <v>1829</v>
      </c>
      <c r="B168" t="s">
        <v>1830</v>
      </c>
      <c r="C168" t="s">
        <v>1245</v>
      </c>
      <c r="D168" t="s">
        <v>65</v>
      </c>
      <c r="E168" t="s">
        <v>93</v>
      </c>
      <c r="F168" t="s">
        <v>1489</v>
      </c>
      <c r="G168" t="s">
        <v>1390</v>
      </c>
      <c r="H168" t="s">
        <v>1550</v>
      </c>
      <c r="I168" t="s">
        <v>1103</v>
      </c>
      <c r="J168" t="s">
        <v>965</v>
      </c>
      <c r="K168" t="s">
        <v>1018</v>
      </c>
      <c r="L168" t="s">
        <v>922</v>
      </c>
      <c r="M168" t="s">
        <v>1046</v>
      </c>
      <c r="N168" t="s">
        <v>1001</v>
      </c>
      <c r="O168" t="s">
        <v>1012</v>
      </c>
      <c r="P168" t="s">
        <v>1005</v>
      </c>
      <c r="Q168" t="s">
        <v>907</v>
      </c>
      <c r="R168" t="s">
        <v>1144</v>
      </c>
      <c r="S168" t="s">
        <v>968</v>
      </c>
      <c r="T168" t="s">
        <v>925</v>
      </c>
      <c r="U168" t="s">
        <v>1326</v>
      </c>
      <c r="V168" t="s">
        <v>968</v>
      </c>
      <c r="W168" t="s">
        <v>962</v>
      </c>
      <c r="X168" t="s">
        <v>1023</v>
      </c>
      <c r="Y168" t="s">
        <v>1064</v>
      </c>
      <c r="Z168" t="s">
        <v>991</v>
      </c>
      <c r="AA168" t="s">
        <v>1008</v>
      </c>
      <c r="AB168" t="s">
        <v>1064</v>
      </c>
      <c r="AC168" t="s">
        <v>925</v>
      </c>
      <c r="AD168" t="s">
        <v>1241</v>
      </c>
      <c r="AE168" t="s">
        <v>927</v>
      </c>
      <c r="AF168">
        <f t="shared" si="4"/>
        <v>12.3</v>
      </c>
      <c r="AG168">
        <f t="shared" si="5"/>
        <v>12.2088</v>
      </c>
    </row>
    <row r="169" spans="1:33" x14ac:dyDescent="0.25">
      <c r="A169" t="s">
        <v>1831</v>
      </c>
      <c r="B169" t="s">
        <v>268</v>
      </c>
      <c r="C169" t="s">
        <v>929</v>
      </c>
      <c r="D169" t="s">
        <v>974</v>
      </c>
      <c r="E169" t="s">
        <v>63</v>
      </c>
      <c r="F169" t="s">
        <v>1446</v>
      </c>
      <c r="G169" t="s">
        <v>949</v>
      </c>
      <c r="H169" t="s">
        <v>1174</v>
      </c>
      <c r="I169" t="s">
        <v>1103</v>
      </c>
      <c r="J169" t="s">
        <v>1832</v>
      </c>
      <c r="K169" t="s">
        <v>1682</v>
      </c>
      <c r="L169" t="s">
        <v>922</v>
      </c>
      <c r="M169" t="s">
        <v>1103</v>
      </c>
      <c r="N169" t="s">
        <v>1411</v>
      </c>
      <c r="O169" t="s">
        <v>1220</v>
      </c>
      <c r="P169" t="s">
        <v>1046</v>
      </c>
      <c r="Q169" t="s">
        <v>1592</v>
      </c>
      <c r="R169" t="s">
        <v>1401</v>
      </c>
      <c r="S169" t="s">
        <v>922</v>
      </c>
      <c r="T169" t="s">
        <v>924</v>
      </c>
      <c r="U169" t="s">
        <v>1833</v>
      </c>
      <c r="V169" t="s">
        <v>969</v>
      </c>
      <c r="W169" t="s">
        <v>993</v>
      </c>
      <c r="X169" t="s">
        <v>1048</v>
      </c>
      <c r="Y169" t="s">
        <v>1000</v>
      </c>
      <c r="Z169" t="s">
        <v>918</v>
      </c>
      <c r="AA169" t="s">
        <v>1065</v>
      </c>
      <c r="AB169" t="s">
        <v>945</v>
      </c>
      <c r="AC169" t="s">
        <v>1310</v>
      </c>
      <c r="AD169" t="s">
        <v>1076</v>
      </c>
      <c r="AE169" t="s">
        <v>927</v>
      </c>
      <c r="AF169">
        <f t="shared" si="4"/>
        <v>12.2</v>
      </c>
      <c r="AG169">
        <f t="shared" si="5"/>
        <v>12.147600000000001</v>
      </c>
    </row>
    <row r="170" spans="1:33" x14ac:dyDescent="0.25">
      <c r="A170" t="s">
        <v>874</v>
      </c>
      <c r="B170" t="s">
        <v>171</v>
      </c>
      <c r="C170" t="s">
        <v>875</v>
      </c>
      <c r="D170" t="s">
        <v>172</v>
      </c>
      <c r="E170" t="s">
        <v>876</v>
      </c>
      <c r="F170" t="s">
        <v>392</v>
      </c>
      <c r="G170" t="s">
        <v>877</v>
      </c>
      <c r="H170" t="s">
        <v>878</v>
      </c>
      <c r="I170" t="s">
        <v>879</v>
      </c>
      <c r="J170" t="s">
        <v>880</v>
      </c>
      <c r="K170" t="s">
        <v>881</v>
      </c>
      <c r="L170" t="s">
        <v>882</v>
      </c>
      <c r="M170" t="s">
        <v>883</v>
      </c>
      <c r="N170" t="s">
        <v>884</v>
      </c>
      <c r="O170" t="s">
        <v>885</v>
      </c>
      <c r="P170" t="s">
        <v>886</v>
      </c>
      <c r="Q170" t="s">
        <v>887</v>
      </c>
      <c r="R170" t="s">
        <v>888</v>
      </c>
      <c r="S170" t="s">
        <v>889</v>
      </c>
      <c r="T170" t="s">
        <v>890</v>
      </c>
      <c r="U170" t="s">
        <v>891</v>
      </c>
      <c r="V170" t="s">
        <v>892</v>
      </c>
      <c r="W170" t="s">
        <v>893</v>
      </c>
      <c r="X170" t="s">
        <v>894</v>
      </c>
      <c r="Y170" t="s">
        <v>895</v>
      </c>
      <c r="Z170" t="s">
        <v>896</v>
      </c>
      <c r="AA170" t="s">
        <v>897</v>
      </c>
      <c r="AB170" t="s">
        <v>898</v>
      </c>
      <c r="AC170" t="s">
        <v>93</v>
      </c>
      <c r="AD170" t="s">
        <v>899</v>
      </c>
      <c r="AE170" t="s">
        <v>900</v>
      </c>
      <c r="AF170" t="e">
        <f t="shared" si="4"/>
        <v>#VALUE!</v>
      </c>
      <c r="AG170" t="e">
        <f t="shared" si="5"/>
        <v>#VALUE!</v>
      </c>
    </row>
    <row r="171" spans="1:33" x14ac:dyDescent="0.25">
      <c r="A171" t="s">
        <v>1831</v>
      </c>
      <c r="B171" t="s">
        <v>268</v>
      </c>
      <c r="C171" t="s">
        <v>929</v>
      </c>
      <c r="D171" t="s">
        <v>85</v>
      </c>
      <c r="E171" t="s">
        <v>47</v>
      </c>
      <c r="F171" t="s">
        <v>1384</v>
      </c>
      <c r="G171" t="s">
        <v>949</v>
      </c>
      <c r="H171" t="s">
        <v>1302</v>
      </c>
      <c r="I171" t="s">
        <v>992</v>
      </c>
      <c r="J171" t="s">
        <v>1011</v>
      </c>
      <c r="K171" t="s">
        <v>1440</v>
      </c>
      <c r="L171" t="s">
        <v>1029</v>
      </c>
      <c r="M171" t="s">
        <v>1160</v>
      </c>
      <c r="N171" t="s">
        <v>1154</v>
      </c>
      <c r="O171" t="s">
        <v>956</v>
      </c>
      <c r="P171" t="s">
        <v>1160</v>
      </c>
      <c r="Q171" t="s">
        <v>1131</v>
      </c>
      <c r="R171" t="s">
        <v>1656</v>
      </c>
      <c r="S171" t="s">
        <v>1310</v>
      </c>
      <c r="T171" t="s">
        <v>925</v>
      </c>
      <c r="U171" t="s">
        <v>1834</v>
      </c>
      <c r="V171" t="s">
        <v>969</v>
      </c>
      <c r="W171" t="s">
        <v>925</v>
      </c>
      <c r="X171" t="s">
        <v>1104</v>
      </c>
      <c r="Y171" t="s">
        <v>1030</v>
      </c>
      <c r="Z171" t="s">
        <v>918</v>
      </c>
      <c r="AA171" t="s">
        <v>1065</v>
      </c>
      <c r="AB171" t="s">
        <v>1195</v>
      </c>
      <c r="AC171" t="s">
        <v>1195</v>
      </c>
      <c r="AD171" t="s">
        <v>967</v>
      </c>
      <c r="AE171" t="s">
        <v>927</v>
      </c>
      <c r="AF171">
        <f t="shared" si="4"/>
        <v>10.3</v>
      </c>
      <c r="AG171">
        <f t="shared" si="5"/>
        <v>10.176300000000001</v>
      </c>
    </row>
    <row r="172" spans="1:33" x14ac:dyDescent="0.25">
      <c r="A172" t="s">
        <v>1831</v>
      </c>
      <c r="B172" t="s">
        <v>268</v>
      </c>
      <c r="C172" t="s">
        <v>929</v>
      </c>
      <c r="D172" t="s">
        <v>111</v>
      </c>
      <c r="E172" t="s">
        <v>63</v>
      </c>
      <c r="F172" t="s">
        <v>902</v>
      </c>
      <c r="G172" t="s">
        <v>1717</v>
      </c>
      <c r="H172" t="s">
        <v>1082</v>
      </c>
      <c r="I172" t="s">
        <v>1092</v>
      </c>
      <c r="J172" t="s">
        <v>936</v>
      </c>
      <c r="K172" t="s">
        <v>1420</v>
      </c>
      <c r="L172" t="s">
        <v>968</v>
      </c>
      <c r="M172" t="s">
        <v>962</v>
      </c>
      <c r="N172" t="s">
        <v>1835</v>
      </c>
      <c r="O172" t="s">
        <v>1155</v>
      </c>
      <c r="P172" t="s">
        <v>1044</v>
      </c>
      <c r="Q172" t="s">
        <v>1836</v>
      </c>
      <c r="R172" t="s">
        <v>1837</v>
      </c>
      <c r="S172" t="s">
        <v>956</v>
      </c>
      <c r="T172" t="s">
        <v>1104</v>
      </c>
      <c r="U172" t="s">
        <v>1680</v>
      </c>
      <c r="V172" t="s">
        <v>1008</v>
      </c>
      <c r="W172" t="s">
        <v>1135</v>
      </c>
      <c r="X172" t="s">
        <v>1030</v>
      </c>
      <c r="Y172" t="s">
        <v>964</v>
      </c>
      <c r="Z172" t="s">
        <v>918</v>
      </c>
      <c r="AA172" t="s">
        <v>1065</v>
      </c>
      <c r="AB172" t="s">
        <v>923</v>
      </c>
      <c r="AC172" t="s">
        <v>956</v>
      </c>
      <c r="AD172" t="s">
        <v>1498</v>
      </c>
      <c r="AE172" t="s">
        <v>927</v>
      </c>
      <c r="AF172">
        <f t="shared" si="4"/>
        <v>15</v>
      </c>
      <c r="AG172">
        <f t="shared" si="5"/>
        <v>14.974399999999999</v>
      </c>
    </row>
    <row r="173" spans="1:33" x14ac:dyDescent="0.25">
      <c r="A173" t="s">
        <v>1838</v>
      </c>
      <c r="B173" t="s">
        <v>1839</v>
      </c>
      <c r="C173" t="s">
        <v>1084</v>
      </c>
      <c r="D173" t="s">
        <v>1279</v>
      </c>
      <c r="E173" t="s">
        <v>93</v>
      </c>
      <c r="F173" t="s">
        <v>1096</v>
      </c>
      <c r="G173" t="s">
        <v>928</v>
      </c>
      <c r="H173" t="s">
        <v>994</v>
      </c>
      <c r="I173" t="s">
        <v>920</v>
      </c>
      <c r="J173" t="s">
        <v>905</v>
      </c>
      <c r="K173" t="s">
        <v>1840</v>
      </c>
      <c r="L173" t="s">
        <v>923</v>
      </c>
      <c r="M173" t="s">
        <v>1160</v>
      </c>
      <c r="N173" t="s">
        <v>1841</v>
      </c>
      <c r="O173" t="s">
        <v>1228</v>
      </c>
      <c r="P173" t="s">
        <v>988</v>
      </c>
      <c r="Q173" t="s">
        <v>1058</v>
      </c>
      <c r="R173" t="s">
        <v>1514</v>
      </c>
      <c r="S173" t="s">
        <v>1064</v>
      </c>
      <c r="T173" t="s">
        <v>968</v>
      </c>
      <c r="U173" t="s">
        <v>1842</v>
      </c>
      <c r="V173" t="s">
        <v>1049</v>
      </c>
      <c r="W173" t="s">
        <v>1043</v>
      </c>
      <c r="X173" t="s">
        <v>1026</v>
      </c>
      <c r="Y173" t="s">
        <v>925</v>
      </c>
      <c r="Z173" t="s">
        <v>991</v>
      </c>
      <c r="AA173" t="s">
        <v>1119</v>
      </c>
      <c r="AB173" t="s">
        <v>922</v>
      </c>
      <c r="AC173" t="s">
        <v>947</v>
      </c>
      <c r="AD173" t="s">
        <v>1076</v>
      </c>
      <c r="AE173" t="s">
        <v>927</v>
      </c>
      <c r="AF173">
        <f t="shared" si="4"/>
        <v>12.1</v>
      </c>
      <c r="AG173">
        <f t="shared" si="5"/>
        <v>12.079499999999999</v>
      </c>
    </row>
    <row r="174" spans="1:33" x14ac:dyDescent="0.25">
      <c r="A174" t="s">
        <v>1843</v>
      </c>
      <c r="B174" t="s">
        <v>1844</v>
      </c>
      <c r="C174" t="s">
        <v>1032</v>
      </c>
      <c r="D174" t="s">
        <v>65</v>
      </c>
      <c r="E174" t="s">
        <v>93</v>
      </c>
      <c r="F174" t="s">
        <v>1489</v>
      </c>
      <c r="G174" t="s">
        <v>1202</v>
      </c>
      <c r="H174" t="s">
        <v>1174</v>
      </c>
      <c r="I174" t="s">
        <v>1134</v>
      </c>
      <c r="J174" t="s">
        <v>997</v>
      </c>
      <c r="K174" t="s">
        <v>1845</v>
      </c>
      <c r="L174" t="s">
        <v>1064</v>
      </c>
      <c r="M174" t="s">
        <v>1048</v>
      </c>
      <c r="N174" t="s">
        <v>1756</v>
      </c>
      <c r="O174" t="s">
        <v>1030</v>
      </c>
      <c r="P174" t="s">
        <v>1006</v>
      </c>
      <c r="Q174" t="s">
        <v>1522</v>
      </c>
      <c r="R174" t="s">
        <v>1396</v>
      </c>
      <c r="S174" t="s">
        <v>1230</v>
      </c>
      <c r="T174" t="s">
        <v>968</v>
      </c>
      <c r="U174" t="s">
        <v>1846</v>
      </c>
      <c r="V174" t="s">
        <v>925</v>
      </c>
      <c r="W174" t="s">
        <v>919</v>
      </c>
      <c r="X174" t="s">
        <v>921</v>
      </c>
      <c r="Y174" t="s">
        <v>1310</v>
      </c>
      <c r="Z174" t="s">
        <v>922</v>
      </c>
      <c r="AA174" t="s">
        <v>918</v>
      </c>
      <c r="AB174" t="s">
        <v>1064</v>
      </c>
      <c r="AC174" t="s">
        <v>924</v>
      </c>
      <c r="AD174" t="s">
        <v>1380</v>
      </c>
      <c r="AE174" t="s">
        <v>927</v>
      </c>
      <c r="AF174">
        <f t="shared" si="4"/>
        <v>12.1</v>
      </c>
      <c r="AG174">
        <f t="shared" si="5"/>
        <v>12.0036</v>
      </c>
    </row>
    <row r="175" spans="1:33" x14ac:dyDescent="0.25">
      <c r="A175" t="s">
        <v>1847</v>
      </c>
      <c r="B175" t="s">
        <v>101</v>
      </c>
      <c r="C175" t="s">
        <v>1204</v>
      </c>
      <c r="D175" t="s">
        <v>102</v>
      </c>
      <c r="E175" t="s">
        <v>72</v>
      </c>
      <c r="F175" t="s">
        <v>1052</v>
      </c>
      <c r="G175" t="s">
        <v>1052</v>
      </c>
      <c r="H175" t="s">
        <v>1247</v>
      </c>
      <c r="I175" t="s">
        <v>957</v>
      </c>
      <c r="J175" t="s">
        <v>1128</v>
      </c>
      <c r="K175" t="s">
        <v>1848</v>
      </c>
      <c r="L175" t="s">
        <v>1600</v>
      </c>
      <c r="M175" t="s">
        <v>1600</v>
      </c>
      <c r="N175" t="s">
        <v>927</v>
      </c>
      <c r="O175" t="s">
        <v>957</v>
      </c>
      <c r="P175" t="s">
        <v>1128</v>
      </c>
      <c r="Q175" t="s">
        <v>1848</v>
      </c>
      <c r="R175" t="s">
        <v>1848</v>
      </c>
      <c r="S175" t="s">
        <v>1012</v>
      </c>
      <c r="T175" t="s">
        <v>1155</v>
      </c>
      <c r="U175" t="s">
        <v>1692</v>
      </c>
      <c r="V175" t="s">
        <v>1030</v>
      </c>
      <c r="W175" t="s">
        <v>1026</v>
      </c>
      <c r="X175" t="s">
        <v>982</v>
      </c>
      <c r="Y175" t="s">
        <v>968</v>
      </c>
      <c r="Z175" t="s">
        <v>987</v>
      </c>
      <c r="AA175" t="s">
        <v>1230</v>
      </c>
      <c r="AB175" t="s">
        <v>945</v>
      </c>
      <c r="AC175" t="s">
        <v>993</v>
      </c>
      <c r="AD175" t="s">
        <v>1380</v>
      </c>
      <c r="AE175" t="s">
        <v>927</v>
      </c>
      <c r="AF175">
        <f t="shared" si="4"/>
        <v>12</v>
      </c>
      <c r="AG175" t="e">
        <f t="shared" si="5"/>
        <v>#VALUE!</v>
      </c>
    </row>
    <row r="176" spans="1:33" x14ac:dyDescent="0.25">
      <c r="A176" t="s">
        <v>1849</v>
      </c>
      <c r="B176" t="s">
        <v>355</v>
      </c>
      <c r="C176" t="s">
        <v>973</v>
      </c>
      <c r="D176" t="s">
        <v>170</v>
      </c>
      <c r="E176" t="s">
        <v>47</v>
      </c>
      <c r="F176" t="s">
        <v>1312</v>
      </c>
      <c r="G176" t="s">
        <v>1376</v>
      </c>
      <c r="H176" t="s">
        <v>1317</v>
      </c>
      <c r="I176" t="s">
        <v>1170</v>
      </c>
      <c r="J176" t="s">
        <v>1132</v>
      </c>
      <c r="K176" t="s">
        <v>1262</v>
      </c>
      <c r="L176" t="s">
        <v>1049</v>
      </c>
      <c r="M176" t="s">
        <v>1170</v>
      </c>
      <c r="N176" t="s">
        <v>1448</v>
      </c>
      <c r="O176" t="s">
        <v>924</v>
      </c>
      <c r="P176" t="s">
        <v>919</v>
      </c>
      <c r="Q176" t="s">
        <v>1532</v>
      </c>
      <c r="R176" t="s">
        <v>942</v>
      </c>
      <c r="S176" t="s">
        <v>1029</v>
      </c>
      <c r="T176" t="s">
        <v>968</v>
      </c>
      <c r="U176" t="s">
        <v>1850</v>
      </c>
      <c r="V176" t="s">
        <v>987</v>
      </c>
      <c r="W176" t="s">
        <v>946</v>
      </c>
      <c r="X176" t="s">
        <v>1228</v>
      </c>
      <c r="Y176" t="s">
        <v>945</v>
      </c>
      <c r="Z176" t="s">
        <v>987</v>
      </c>
      <c r="AA176" t="s">
        <v>991</v>
      </c>
      <c r="AB176" t="s">
        <v>987</v>
      </c>
      <c r="AC176" t="s">
        <v>993</v>
      </c>
      <c r="AD176" t="s">
        <v>1380</v>
      </c>
      <c r="AE176" t="s">
        <v>927</v>
      </c>
      <c r="AF176">
        <f t="shared" si="4"/>
        <v>12.1</v>
      </c>
      <c r="AG176">
        <f t="shared" si="5"/>
        <v>12.0167</v>
      </c>
    </row>
    <row r="177" spans="1:33" x14ac:dyDescent="0.25">
      <c r="A177" t="s">
        <v>1851</v>
      </c>
      <c r="B177" t="s">
        <v>1852</v>
      </c>
      <c r="C177" t="s">
        <v>902</v>
      </c>
      <c r="D177" t="s">
        <v>48</v>
      </c>
      <c r="E177" t="s">
        <v>63</v>
      </c>
      <c r="F177" t="s">
        <v>903</v>
      </c>
      <c r="G177" t="s">
        <v>902</v>
      </c>
      <c r="H177" t="s">
        <v>1853</v>
      </c>
      <c r="I177" t="s">
        <v>957</v>
      </c>
      <c r="J177" t="s">
        <v>980</v>
      </c>
      <c r="K177" t="s">
        <v>1110</v>
      </c>
      <c r="L177" t="s">
        <v>922</v>
      </c>
      <c r="M177" t="s">
        <v>1047</v>
      </c>
      <c r="N177" t="s">
        <v>1111</v>
      </c>
      <c r="O177" t="s">
        <v>1135</v>
      </c>
      <c r="P177" t="s">
        <v>1005</v>
      </c>
      <c r="Q177" t="s">
        <v>1374</v>
      </c>
      <c r="R177" t="s">
        <v>1493</v>
      </c>
      <c r="S177" t="s">
        <v>923</v>
      </c>
      <c r="T177" t="s">
        <v>945</v>
      </c>
      <c r="U177" t="s">
        <v>1631</v>
      </c>
      <c r="V177" t="s">
        <v>1064</v>
      </c>
      <c r="W177" t="s">
        <v>1104</v>
      </c>
      <c r="X177" t="s">
        <v>1160</v>
      </c>
      <c r="Y177" t="s">
        <v>968</v>
      </c>
      <c r="Z177" t="s">
        <v>987</v>
      </c>
      <c r="AA177" t="s">
        <v>934</v>
      </c>
      <c r="AB177" t="s">
        <v>918</v>
      </c>
      <c r="AC177" t="s">
        <v>1195</v>
      </c>
      <c r="AD177" t="s">
        <v>1380</v>
      </c>
      <c r="AE177" t="s">
        <v>927</v>
      </c>
      <c r="AF177">
        <f t="shared" si="4"/>
        <v>12.1</v>
      </c>
      <c r="AG177">
        <f t="shared" si="5"/>
        <v>12.063299999999998</v>
      </c>
    </row>
    <row r="178" spans="1:33" x14ac:dyDescent="0.25">
      <c r="A178" t="s">
        <v>1854</v>
      </c>
      <c r="B178" t="s">
        <v>1855</v>
      </c>
      <c r="C178" t="s">
        <v>1355</v>
      </c>
      <c r="D178" t="s">
        <v>974</v>
      </c>
      <c r="E178" t="s">
        <v>47</v>
      </c>
      <c r="F178" t="s">
        <v>1376</v>
      </c>
      <c r="G178" t="s">
        <v>1245</v>
      </c>
      <c r="H178" t="s">
        <v>1347</v>
      </c>
      <c r="I178" t="s">
        <v>1170</v>
      </c>
      <c r="J178" t="s">
        <v>1035</v>
      </c>
      <c r="K178" t="s">
        <v>1426</v>
      </c>
      <c r="L178" t="s">
        <v>1195</v>
      </c>
      <c r="M178" t="s">
        <v>992</v>
      </c>
      <c r="N178" t="s">
        <v>1400</v>
      </c>
      <c r="O178" t="s">
        <v>1135</v>
      </c>
      <c r="P178" t="s">
        <v>1291</v>
      </c>
      <c r="Q178" t="s">
        <v>1209</v>
      </c>
      <c r="R178" t="s">
        <v>1193</v>
      </c>
      <c r="S178" t="s">
        <v>1049</v>
      </c>
      <c r="T178" t="s">
        <v>947</v>
      </c>
      <c r="U178" t="s">
        <v>1361</v>
      </c>
      <c r="V178" t="s">
        <v>991</v>
      </c>
      <c r="W178" t="s">
        <v>1000</v>
      </c>
      <c r="X178" t="s">
        <v>1030</v>
      </c>
      <c r="Y178" t="s">
        <v>919</v>
      </c>
      <c r="Z178" t="s">
        <v>918</v>
      </c>
      <c r="AA178" t="s">
        <v>934</v>
      </c>
      <c r="AB178" t="s">
        <v>1310</v>
      </c>
      <c r="AC178" t="s">
        <v>956</v>
      </c>
      <c r="AD178" t="s">
        <v>944</v>
      </c>
      <c r="AE178" t="s">
        <v>927</v>
      </c>
      <c r="AF178">
        <f t="shared" si="4"/>
        <v>11.8</v>
      </c>
      <c r="AG178">
        <f t="shared" si="5"/>
        <v>11.908900000000001</v>
      </c>
    </row>
    <row r="179" spans="1:33" x14ac:dyDescent="0.25">
      <c r="A179" t="s">
        <v>1854</v>
      </c>
      <c r="B179" t="s">
        <v>1855</v>
      </c>
      <c r="C179" t="s">
        <v>1355</v>
      </c>
      <c r="D179" t="s">
        <v>105</v>
      </c>
      <c r="E179" t="s">
        <v>47</v>
      </c>
      <c r="F179" t="s">
        <v>1032</v>
      </c>
      <c r="G179" t="s">
        <v>1067</v>
      </c>
      <c r="H179" t="s">
        <v>1342</v>
      </c>
      <c r="I179" t="s">
        <v>957</v>
      </c>
      <c r="J179" t="s">
        <v>911</v>
      </c>
      <c r="K179" t="s">
        <v>1274</v>
      </c>
      <c r="L179" t="s">
        <v>1310</v>
      </c>
      <c r="M179" t="s">
        <v>1030</v>
      </c>
      <c r="N179" t="s">
        <v>1704</v>
      </c>
      <c r="O179" t="s">
        <v>1048</v>
      </c>
      <c r="P179" t="s">
        <v>1329</v>
      </c>
      <c r="Q179" t="s">
        <v>1242</v>
      </c>
      <c r="R179" t="s">
        <v>1856</v>
      </c>
      <c r="S179" t="s">
        <v>922</v>
      </c>
      <c r="T179" t="s">
        <v>956</v>
      </c>
      <c r="U179" t="s">
        <v>1495</v>
      </c>
      <c r="V179" t="s">
        <v>934</v>
      </c>
      <c r="W179" t="s">
        <v>979</v>
      </c>
      <c r="X179" t="s">
        <v>1030</v>
      </c>
      <c r="Y179" t="s">
        <v>1103</v>
      </c>
      <c r="Z179" t="s">
        <v>1008</v>
      </c>
      <c r="AA179" t="s">
        <v>934</v>
      </c>
      <c r="AB179" t="s">
        <v>1029</v>
      </c>
      <c r="AC179" t="s">
        <v>947</v>
      </c>
      <c r="AD179" t="s">
        <v>1306</v>
      </c>
      <c r="AE179" t="s">
        <v>927</v>
      </c>
      <c r="AF179">
        <f t="shared" si="4"/>
        <v>12.6</v>
      </c>
      <c r="AG179">
        <f t="shared" si="5"/>
        <v>12.637699999999997</v>
      </c>
    </row>
    <row r="180" spans="1:33" x14ac:dyDescent="0.25">
      <c r="A180" t="s">
        <v>1854</v>
      </c>
      <c r="B180" t="s">
        <v>1855</v>
      </c>
      <c r="C180" t="s">
        <v>1355</v>
      </c>
      <c r="D180" t="s">
        <v>77</v>
      </c>
      <c r="E180" t="s">
        <v>47</v>
      </c>
      <c r="F180" t="s">
        <v>1162</v>
      </c>
      <c r="G180" t="s">
        <v>1162</v>
      </c>
      <c r="H180" t="s">
        <v>1857</v>
      </c>
      <c r="I180" t="s">
        <v>1030</v>
      </c>
      <c r="J180" t="s">
        <v>1108</v>
      </c>
      <c r="K180" t="s">
        <v>1767</v>
      </c>
      <c r="L180" t="s">
        <v>918</v>
      </c>
      <c r="M180" t="s">
        <v>1000</v>
      </c>
      <c r="N180" t="s">
        <v>1858</v>
      </c>
      <c r="O180" t="s">
        <v>1104</v>
      </c>
      <c r="P180" t="s">
        <v>1092</v>
      </c>
      <c r="Q180" t="s">
        <v>1158</v>
      </c>
      <c r="R180" t="s">
        <v>999</v>
      </c>
      <c r="S180" t="s">
        <v>924</v>
      </c>
      <c r="T180" t="s">
        <v>1220</v>
      </c>
      <c r="U180" t="s">
        <v>1859</v>
      </c>
      <c r="V180" t="s">
        <v>969</v>
      </c>
      <c r="W180" t="s">
        <v>946</v>
      </c>
      <c r="X180" t="s">
        <v>1030</v>
      </c>
      <c r="Y180" t="s">
        <v>1000</v>
      </c>
      <c r="Z180" t="s">
        <v>1195</v>
      </c>
      <c r="AA180" t="s">
        <v>934</v>
      </c>
      <c r="AB180" t="s">
        <v>1230</v>
      </c>
      <c r="AC180" t="s">
        <v>1029</v>
      </c>
      <c r="AD180" t="s">
        <v>1655</v>
      </c>
      <c r="AE180" t="s">
        <v>927</v>
      </c>
      <c r="AF180">
        <f t="shared" si="4"/>
        <v>10.700000000000001</v>
      </c>
      <c r="AG180">
        <f t="shared" si="5"/>
        <v>10.7018</v>
      </c>
    </row>
    <row r="181" spans="1:33" x14ac:dyDescent="0.25">
      <c r="A181" t="s">
        <v>1860</v>
      </c>
      <c r="B181" t="s">
        <v>96</v>
      </c>
      <c r="C181" t="s">
        <v>1245</v>
      </c>
      <c r="D181" t="s">
        <v>97</v>
      </c>
      <c r="E181" t="s">
        <v>72</v>
      </c>
      <c r="F181" t="s">
        <v>1459</v>
      </c>
      <c r="G181" t="s">
        <v>1459</v>
      </c>
      <c r="H181" t="s">
        <v>1105</v>
      </c>
      <c r="I181" t="s">
        <v>1134</v>
      </c>
      <c r="J181" t="s">
        <v>1023</v>
      </c>
      <c r="K181" t="s">
        <v>1488</v>
      </c>
      <c r="L181" t="s">
        <v>1600</v>
      </c>
      <c r="M181" t="s">
        <v>1600</v>
      </c>
      <c r="N181" t="s">
        <v>927</v>
      </c>
      <c r="O181" t="s">
        <v>1134</v>
      </c>
      <c r="P181" t="s">
        <v>1023</v>
      </c>
      <c r="Q181" t="s">
        <v>1488</v>
      </c>
      <c r="R181" t="s">
        <v>1488</v>
      </c>
      <c r="S181" t="s">
        <v>908</v>
      </c>
      <c r="T181" t="s">
        <v>946</v>
      </c>
      <c r="U181" t="s">
        <v>1848</v>
      </c>
      <c r="V181" t="s">
        <v>992</v>
      </c>
      <c r="W181" t="s">
        <v>1172</v>
      </c>
      <c r="X181" t="s">
        <v>1038</v>
      </c>
      <c r="Y181" t="s">
        <v>1220</v>
      </c>
      <c r="Z181" t="s">
        <v>1008</v>
      </c>
      <c r="AA181" t="s">
        <v>1064</v>
      </c>
      <c r="AB181" t="s">
        <v>922</v>
      </c>
      <c r="AC181" t="s">
        <v>1048</v>
      </c>
      <c r="AD181" t="s">
        <v>931</v>
      </c>
      <c r="AE181" t="s">
        <v>927</v>
      </c>
      <c r="AF181">
        <f t="shared" si="4"/>
        <v>11.7</v>
      </c>
      <c r="AG181" t="e">
        <f t="shared" si="5"/>
        <v>#VALUE!</v>
      </c>
    </row>
    <row r="182" spans="1:33" x14ac:dyDescent="0.25">
      <c r="A182" t="s">
        <v>1861</v>
      </c>
      <c r="B182" t="s">
        <v>1862</v>
      </c>
      <c r="C182" t="s">
        <v>1015</v>
      </c>
      <c r="D182" t="s">
        <v>102</v>
      </c>
      <c r="E182" t="s">
        <v>63</v>
      </c>
      <c r="F182" t="s">
        <v>1070</v>
      </c>
      <c r="G182" t="s">
        <v>1106</v>
      </c>
      <c r="H182" t="s">
        <v>1136</v>
      </c>
      <c r="I182" t="s">
        <v>1228</v>
      </c>
      <c r="J182" t="s">
        <v>980</v>
      </c>
      <c r="K182" t="s">
        <v>1863</v>
      </c>
      <c r="L182" t="s">
        <v>1104</v>
      </c>
      <c r="M182" t="s">
        <v>1128</v>
      </c>
      <c r="N182" t="s">
        <v>1225</v>
      </c>
      <c r="O182" t="s">
        <v>945</v>
      </c>
      <c r="P182" t="s">
        <v>993</v>
      </c>
      <c r="Q182" t="s">
        <v>1565</v>
      </c>
      <c r="R182" t="s">
        <v>1462</v>
      </c>
      <c r="S182" t="s">
        <v>987</v>
      </c>
      <c r="T182" t="s">
        <v>923</v>
      </c>
      <c r="U182" t="s">
        <v>1864</v>
      </c>
      <c r="V182" t="s">
        <v>1065</v>
      </c>
      <c r="W182" t="s">
        <v>1048</v>
      </c>
      <c r="X182" t="s">
        <v>1030</v>
      </c>
      <c r="Y182" t="s">
        <v>992</v>
      </c>
      <c r="Z182" t="s">
        <v>945</v>
      </c>
      <c r="AA182" t="s">
        <v>1094</v>
      </c>
      <c r="AB182" t="s">
        <v>1029</v>
      </c>
      <c r="AC182" t="s">
        <v>968</v>
      </c>
      <c r="AD182" t="s">
        <v>1207</v>
      </c>
      <c r="AE182" t="s">
        <v>927</v>
      </c>
      <c r="AF182">
        <f t="shared" si="4"/>
        <v>11.6</v>
      </c>
      <c r="AG182">
        <f t="shared" si="5"/>
        <v>11.684100000000003</v>
      </c>
    </row>
    <row r="183" spans="1:33" x14ac:dyDescent="0.25">
      <c r="A183" t="s">
        <v>1865</v>
      </c>
      <c r="B183" t="s">
        <v>288</v>
      </c>
      <c r="C183" t="s">
        <v>1245</v>
      </c>
      <c r="D183" t="s">
        <v>1223</v>
      </c>
      <c r="E183" t="s">
        <v>63</v>
      </c>
      <c r="F183" t="s">
        <v>1446</v>
      </c>
      <c r="G183" t="s">
        <v>1355</v>
      </c>
      <c r="H183" t="s">
        <v>1066</v>
      </c>
      <c r="I183" t="s">
        <v>1103</v>
      </c>
      <c r="J183" t="s">
        <v>997</v>
      </c>
      <c r="K183" t="s">
        <v>1575</v>
      </c>
      <c r="L183" t="s">
        <v>968</v>
      </c>
      <c r="M183" t="s">
        <v>1134</v>
      </c>
      <c r="N183" t="s">
        <v>1558</v>
      </c>
      <c r="O183" t="s">
        <v>1012</v>
      </c>
      <c r="P183" t="s">
        <v>920</v>
      </c>
      <c r="Q183" t="s">
        <v>1180</v>
      </c>
      <c r="R183" t="s">
        <v>1058</v>
      </c>
      <c r="S183" t="s">
        <v>1064</v>
      </c>
      <c r="T183" t="s">
        <v>1310</v>
      </c>
      <c r="U183" t="s">
        <v>1866</v>
      </c>
      <c r="V183" t="s">
        <v>923</v>
      </c>
      <c r="W183" t="s">
        <v>919</v>
      </c>
      <c r="X183" t="s">
        <v>1005</v>
      </c>
      <c r="Y183" t="s">
        <v>1000</v>
      </c>
      <c r="Z183" t="s">
        <v>1064</v>
      </c>
      <c r="AA183" t="s">
        <v>934</v>
      </c>
      <c r="AB183" t="s">
        <v>945</v>
      </c>
      <c r="AC183" t="s">
        <v>1310</v>
      </c>
      <c r="AD183" t="s">
        <v>1207</v>
      </c>
      <c r="AE183" t="s">
        <v>927</v>
      </c>
      <c r="AF183">
        <f t="shared" si="4"/>
        <v>11.700000000000001</v>
      </c>
      <c r="AG183">
        <f t="shared" si="5"/>
        <v>11.6538</v>
      </c>
    </row>
    <row r="184" spans="1:33" x14ac:dyDescent="0.25">
      <c r="A184" t="s">
        <v>1867</v>
      </c>
      <c r="B184" t="s">
        <v>1868</v>
      </c>
      <c r="C184" t="s">
        <v>973</v>
      </c>
      <c r="D184" t="s">
        <v>77</v>
      </c>
      <c r="E184" t="s">
        <v>47</v>
      </c>
      <c r="F184" t="s">
        <v>1512</v>
      </c>
      <c r="G184" t="s">
        <v>1717</v>
      </c>
      <c r="H184" t="s">
        <v>1095</v>
      </c>
      <c r="I184" t="s">
        <v>1081</v>
      </c>
      <c r="J184" t="s">
        <v>959</v>
      </c>
      <c r="K184" t="s">
        <v>1869</v>
      </c>
      <c r="L184" t="s">
        <v>956</v>
      </c>
      <c r="M184" t="s">
        <v>1329</v>
      </c>
      <c r="N184" t="s">
        <v>1870</v>
      </c>
      <c r="O184" t="s">
        <v>925</v>
      </c>
      <c r="P184" t="s">
        <v>1160</v>
      </c>
      <c r="Q184" t="s">
        <v>1077</v>
      </c>
      <c r="R184" t="s">
        <v>1837</v>
      </c>
      <c r="S184" t="s">
        <v>945</v>
      </c>
      <c r="T184" t="s">
        <v>1230</v>
      </c>
      <c r="U184" t="s">
        <v>1871</v>
      </c>
      <c r="V184" t="s">
        <v>969</v>
      </c>
      <c r="W184" t="s">
        <v>924</v>
      </c>
      <c r="X184" t="s">
        <v>1135</v>
      </c>
      <c r="Y184" t="s">
        <v>922</v>
      </c>
      <c r="Z184" t="s">
        <v>991</v>
      </c>
      <c r="AA184" t="s">
        <v>934</v>
      </c>
      <c r="AB184" t="s">
        <v>923</v>
      </c>
      <c r="AC184" t="s">
        <v>1029</v>
      </c>
      <c r="AD184" t="s">
        <v>936</v>
      </c>
      <c r="AE184" t="s">
        <v>927</v>
      </c>
      <c r="AF184">
        <f t="shared" si="4"/>
        <v>11.6</v>
      </c>
      <c r="AG184">
        <f t="shared" si="5"/>
        <v>11.566799999999999</v>
      </c>
    </row>
    <row r="185" spans="1:33" x14ac:dyDescent="0.25">
      <c r="A185" t="s">
        <v>1872</v>
      </c>
      <c r="B185" t="s">
        <v>1873</v>
      </c>
      <c r="C185" t="s">
        <v>1245</v>
      </c>
      <c r="D185" t="s">
        <v>70</v>
      </c>
      <c r="E185" t="s">
        <v>93</v>
      </c>
      <c r="F185" t="s">
        <v>1477</v>
      </c>
      <c r="G185" t="s">
        <v>1032</v>
      </c>
      <c r="H185" t="s">
        <v>1874</v>
      </c>
      <c r="I185" t="s">
        <v>1211</v>
      </c>
      <c r="J185" t="s">
        <v>1062</v>
      </c>
      <c r="K185" t="s">
        <v>1261</v>
      </c>
      <c r="L185" t="s">
        <v>1065</v>
      </c>
      <c r="M185" t="s">
        <v>922</v>
      </c>
      <c r="N185" t="s">
        <v>1567</v>
      </c>
      <c r="O185" t="s">
        <v>919</v>
      </c>
      <c r="P185" t="s">
        <v>1023</v>
      </c>
      <c r="Q185" t="s">
        <v>1482</v>
      </c>
      <c r="R185" t="s">
        <v>1288</v>
      </c>
      <c r="S185" t="s">
        <v>1029</v>
      </c>
      <c r="T185" t="s">
        <v>947</v>
      </c>
      <c r="U185" t="s">
        <v>1875</v>
      </c>
      <c r="V185" t="s">
        <v>924</v>
      </c>
      <c r="W185" t="s">
        <v>1081</v>
      </c>
      <c r="X185" t="s">
        <v>940</v>
      </c>
      <c r="Y185" t="s">
        <v>924</v>
      </c>
      <c r="Z185" t="s">
        <v>987</v>
      </c>
      <c r="AA185" t="s">
        <v>1065</v>
      </c>
      <c r="AB185" t="s">
        <v>1029</v>
      </c>
      <c r="AC185" t="s">
        <v>924</v>
      </c>
      <c r="AD185" t="s">
        <v>1546</v>
      </c>
      <c r="AE185" t="s">
        <v>927</v>
      </c>
      <c r="AF185">
        <f t="shared" si="4"/>
        <v>11.299999999999999</v>
      </c>
      <c r="AG185">
        <f t="shared" si="5"/>
        <v>11.431599999999998</v>
      </c>
    </row>
    <row r="186" spans="1:33" x14ac:dyDescent="0.25">
      <c r="A186" t="s">
        <v>1876</v>
      </c>
      <c r="B186" t="s">
        <v>338</v>
      </c>
      <c r="C186" t="s">
        <v>1084</v>
      </c>
      <c r="D186" t="s">
        <v>95</v>
      </c>
      <c r="E186" t="s">
        <v>93</v>
      </c>
      <c r="F186" t="s">
        <v>1459</v>
      </c>
      <c r="G186" t="s">
        <v>1459</v>
      </c>
      <c r="H186" t="s">
        <v>926</v>
      </c>
      <c r="I186" t="s">
        <v>1081</v>
      </c>
      <c r="J186" t="s">
        <v>911</v>
      </c>
      <c r="K186" t="s">
        <v>1555</v>
      </c>
      <c r="L186" t="s">
        <v>922</v>
      </c>
      <c r="M186" t="s">
        <v>1211</v>
      </c>
      <c r="N186" t="s">
        <v>910</v>
      </c>
      <c r="O186" t="s">
        <v>993</v>
      </c>
      <c r="P186" t="s">
        <v>1211</v>
      </c>
      <c r="Q186" t="s">
        <v>1143</v>
      </c>
      <c r="R186" t="s">
        <v>1592</v>
      </c>
      <c r="S186" t="s">
        <v>945</v>
      </c>
      <c r="T186" t="s">
        <v>1029</v>
      </c>
      <c r="U186" t="s">
        <v>1680</v>
      </c>
      <c r="V186" t="s">
        <v>925</v>
      </c>
      <c r="W186" t="s">
        <v>992</v>
      </c>
      <c r="X186" t="s">
        <v>1079</v>
      </c>
      <c r="Y186" t="s">
        <v>925</v>
      </c>
      <c r="Z186" t="s">
        <v>1310</v>
      </c>
      <c r="AA186" t="s">
        <v>969</v>
      </c>
      <c r="AB186" t="s">
        <v>1230</v>
      </c>
      <c r="AC186" t="s">
        <v>964</v>
      </c>
      <c r="AD186" t="s">
        <v>905</v>
      </c>
      <c r="AE186" t="s">
        <v>927</v>
      </c>
      <c r="AF186">
        <f t="shared" si="4"/>
        <v>11.299999999999999</v>
      </c>
      <c r="AG186">
        <f t="shared" si="5"/>
        <v>11.316600000000001</v>
      </c>
    </row>
    <row r="187" spans="1:33" x14ac:dyDescent="0.25">
      <c r="A187" t="s">
        <v>1877</v>
      </c>
      <c r="B187" t="s">
        <v>1878</v>
      </c>
      <c r="C187" t="s">
        <v>902</v>
      </c>
      <c r="D187" t="s">
        <v>48</v>
      </c>
      <c r="E187" t="s">
        <v>72</v>
      </c>
      <c r="F187" t="s">
        <v>1489</v>
      </c>
      <c r="G187" t="s">
        <v>1399</v>
      </c>
      <c r="H187" t="s">
        <v>1536</v>
      </c>
      <c r="I187" t="s">
        <v>1046</v>
      </c>
      <c r="J187" t="s">
        <v>1132</v>
      </c>
      <c r="K187" t="s">
        <v>1520</v>
      </c>
      <c r="L187" t="s">
        <v>1600</v>
      </c>
      <c r="M187" t="s">
        <v>1094</v>
      </c>
      <c r="N187" t="s">
        <v>1646</v>
      </c>
      <c r="O187" t="s">
        <v>1046</v>
      </c>
      <c r="P187" t="s">
        <v>1027</v>
      </c>
      <c r="Q187" t="s">
        <v>1879</v>
      </c>
      <c r="R187" t="s">
        <v>1520</v>
      </c>
      <c r="S187" t="s">
        <v>1230</v>
      </c>
      <c r="T187" t="s">
        <v>908</v>
      </c>
      <c r="U187" t="s">
        <v>1880</v>
      </c>
      <c r="V187" t="s">
        <v>964</v>
      </c>
      <c r="W187" t="s">
        <v>915</v>
      </c>
      <c r="X187" t="s">
        <v>1655</v>
      </c>
      <c r="Y187" t="s">
        <v>1155</v>
      </c>
      <c r="Z187" t="s">
        <v>987</v>
      </c>
      <c r="AA187" t="s">
        <v>1064</v>
      </c>
      <c r="AB187" t="s">
        <v>922</v>
      </c>
      <c r="AC187" t="s">
        <v>1135</v>
      </c>
      <c r="AD187" t="s">
        <v>953</v>
      </c>
      <c r="AE187" t="s">
        <v>927</v>
      </c>
      <c r="AF187">
        <f t="shared" si="4"/>
        <v>11.200000000000001</v>
      </c>
      <c r="AG187">
        <f t="shared" si="5"/>
        <v>11.218500000000001</v>
      </c>
    </row>
    <row r="188" spans="1:33" x14ac:dyDescent="0.25">
      <c r="A188" t="s">
        <v>1881</v>
      </c>
      <c r="B188" t="s">
        <v>1882</v>
      </c>
      <c r="C188" t="s">
        <v>1204</v>
      </c>
      <c r="D188" t="s">
        <v>1223</v>
      </c>
      <c r="E188" t="s">
        <v>63</v>
      </c>
      <c r="F188" t="s">
        <v>1416</v>
      </c>
      <c r="G188" t="s">
        <v>995</v>
      </c>
      <c r="H188" t="s">
        <v>1883</v>
      </c>
      <c r="I188" t="s">
        <v>1228</v>
      </c>
      <c r="J188" t="s">
        <v>980</v>
      </c>
      <c r="K188" t="s">
        <v>958</v>
      </c>
      <c r="L188" t="s">
        <v>993</v>
      </c>
      <c r="M188" t="s">
        <v>1112</v>
      </c>
      <c r="N188" t="s">
        <v>1441</v>
      </c>
      <c r="O188" t="s">
        <v>1310</v>
      </c>
      <c r="P188" t="s">
        <v>964</v>
      </c>
      <c r="Q188" t="s">
        <v>1074</v>
      </c>
      <c r="R188" t="s">
        <v>1193</v>
      </c>
      <c r="S188" t="s">
        <v>969</v>
      </c>
      <c r="T188" t="s">
        <v>987</v>
      </c>
      <c r="U188" t="s">
        <v>1884</v>
      </c>
      <c r="V188" t="s">
        <v>969</v>
      </c>
      <c r="W188" t="s">
        <v>1012</v>
      </c>
      <c r="X188" t="s">
        <v>1048</v>
      </c>
      <c r="Y188" t="s">
        <v>1029</v>
      </c>
      <c r="Z188" t="s">
        <v>987</v>
      </c>
      <c r="AA188" t="s">
        <v>1094</v>
      </c>
      <c r="AB188" t="s">
        <v>1064</v>
      </c>
      <c r="AC188" t="s">
        <v>1029</v>
      </c>
      <c r="AD188" t="s">
        <v>1368</v>
      </c>
      <c r="AE188" t="s">
        <v>927</v>
      </c>
      <c r="AF188">
        <f t="shared" si="4"/>
        <v>11.1</v>
      </c>
      <c r="AG188">
        <f t="shared" si="5"/>
        <v>11.156000000000001</v>
      </c>
    </row>
    <row r="189" spans="1:33" x14ac:dyDescent="0.25">
      <c r="A189" t="s">
        <v>1885</v>
      </c>
      <c r="B189" t="s">
        <v>305</v>
      </c>
      <c r="C189" t="s">
        <v>1164</v>
      </c>
      <c r="D189" t="s">
        <v>113</v>
      </c>
      <c r="E189" t="s">
        <v>56</v>
      </c>
      <c r="F189" t="s">
        <v>1070</v>
      </c>
      <c r="G189" t="s">
        <v>1070</v>
      </c>
      <c r="H189" t="s">
        <v>1569</v>
      </c>
      <c r="I189" t="s">
        <v>919</v>
      </c>
      <c r="J189" t="s">
        <v>911</v>
      </c>
      <c r="K189" t="s">
        <v>1273</v>
      </c>
      <c r="L189" t="s">
        <v>922</v>
      </c>
      <c r="M189" t="s">
        <v>1046</v>
      </c>
      <c r="N189" t="s">
        <v>1886</v>
      </c>
      <c r="O189" t="s">
        <v>924</v>
      </c>
      <c r="P189" t="s">
        <v>1170</v>
      </c>
      <c r="Q189" t="s">
        <v>1042</v>
      </c>
      <c r="R189" t="s">
        <v>1307</v>
      </c>
      <c r="S189" t="s">
        <v>1064</v>
      </c>
      <c r="T189" t="s">
        <v>945</v>
      </c>
      <c r="U189" t="s">
        <v>1887</v>
      </c>
      <c r="V189" t="s">
        <v>945</v>
      </c>
      <c r="W189" t="s">
        <v>1135</v>
      </c>
      <c r="X189" t="s">
        <v>1170</v>
      </c>
      <c r="Y189" t="s">
        <v>1160</v>
      </c>
      <c r="Z189" t="s">
        <v>1064</v>
      </c>
      <c r="AA189" t="s">
        <v>991</v>
      </c>
      <c r="AB189" t="s">
        <v>945</v>
      </c>
      <c r="AC189" t="s">
        <v>1029</v>
      </c>
      <c r="AD189" t="s">
        <v>1368</v>
      </c>
      <c r="AE189" t="s">
        <v>927</v>
      </c>
      <c r="AF189">
        <f t="shared" si="4"/>
        <v>10.999999999999998</v>
      </c>
      <c r="AG189">
        <f t="shared" si="5"/>
        <v>10.9841</v>
      </c>
    </row>
    <row r="190" spans="1:33" x14ac:dyDescent="0.25">
      <c r="A190" t="s">
        <v>1888</v>
      </c>
      <c r="B190" t="s">
        <v>1889</v>
      </c>
      <c r="C190" t="s">
        <v>1032</v>
      </c>
      <c r="D190" t="s">
        <v>45</v>
      </c>
      <c r="E190" t="s">
        <v>72</v>
      </c>
      <c r="F190" t="s">
        <v>1165</v>
      </c>
      <c r="G190" t="s">
        <v>1165</v>
      </c>
      <c r="H190" t="s">
        <v>1591</v>
      </c>
      <c r="I190" t="s">
        <v>1134</v>
      </c>
      <c r="J190" t="s">
        <v>1026</v>
      </c>
      <c r="K190" t="s">
        <v>1668</v>
      </c>
      <c r="L190" t="s">
        <v>1119</v>
      </c>
      <c r="M190" t="s">
        <v>969</v>
      </c>
      <c r="N190" t="s">
        <v>1890</v>
      </c>
      <c r="O190" t="s">
        <v>957</v>
      </c>
      <c r="P190" t="s">
        <v>1006</v>
      </c>
      <c r="Q190" t="s">
        <v>1743</v>
      </c>
      <c r="R190" t="s">
        <v>1891</v>
      </c>
      <c r="S190" t="s">
        <v>1230</v>
      </c>
      <c r="T190" t="s">
        <v>1012</v>
      </c>
      <c r="U190" t="s">
        <v>1667</v>
      </c>
      <c r="V190" t="s">
        <v>1211</v>
      </c>
      <c r="W190" t="s">
        <v>1009</v>
      </c>
      <c r="X190" t="s">
        <v>1241</v>
      </c>
      <c r="Y190" t="s">
        <v>922</v>
      </c>
      <c r="Z190" t="s">
        <v>969</v>
      </c>
      <c r="AA190" t="s">
        <v>924</v>
      </c>
      <c r="AB190" t="s">
        <v>1310</v>
      </c>
      <c r="AC190" t="s">
        <v>925</v>
      </c>
      <c r="AD190" t="s">
        <v>1368</v>
      </c>
      <c r="AE190" t="s">
        <v>927</v>
      </c>
      <c r="AF190">
        <f t="shared" si="4"/>
        <v>11.100000000000001</v>
      </c>
      <c r="AG190">
        <f t="shared" si="5"/>
        <v>10.988000000000001</v>
      </c>
    </row>
    <row r="191" spans="1:33" x14ac:dyDescent="0.25">
      <c r="A191" t="s">
        <v>1892</v>
      </c>
      <c r="B191" t="s">
        <v>284</v>
      </c>
      <c r="C191" t="s">
        <v>902</v>
      </c>
      <c r="D191" t="s">
        <v>105</v>
      </c>
      <c r="E191" t="s">
        <v>63</v>
      </c>
      <c r="F191" t="s">
        <v>1322</v>
      </c>
      <c r="G191" t="s">
        <v>1096</v>
      </c>
      <c r="H191" t="s">
        <v>1146</v>
      </c>
      <c r="I191" t="s">
        <v>1155</v>
      </c>
      <c r="J191" t="s">
        <v>1024</v>
      </c>
      <c r="K191" t="s">
        <v>1448</v>
      </c>
      <c r="L191" t="s">
        <v>924</v>
      </c>
      <c r="M191" t="s">
        <v>1126</v>
      </c>
      <c r="N191" t="s">
        <v>1608</v>
      </c>
      <c r="O191" t="s">
        <v>1230</v>
      </c>
      <c r="P191" t="s">
        <v>1135</v>
      </c>
      <c r="Q191" t="s">
        <v>1455</v>
      </c>
      <c r="R191" t="s">
        <v>1462</v>
      </c>
      <c r="S191" t="s">
        <v>1064</v>
      </c>
      <c r="T191" t="s">
        <v>945</v>
      </c>
      <c r="U191" t="s">
        <v>1495</v>
      </c>
      <c r="V191" t="s">
        <v>1094</v>
      </c>
      <c r="W191" t="s">
        <v>956</v>
      </c>
      <c r="X191" t="s">
        <v>947</v>
      </c>
      <c r="Y191" t="s">
        <v>945</v>
      </c>
      <c r="Z191" t="s">
        <v>923</v>
      </c>
      <c r="AA191" t="s">
        <v>1119</v>
      </c>
      <c r="AB191" t="s">
        <v>969</v>
      </c>
      <c r="AC191" t="s">
        <v>922</v>
      </c>
      <c r="AD191" t="s">
        <v>1368</v>
      </c>
      <c r="AE191" t="s">
        <v>927</v>
      </c>
      <c r="AF191">
        <f t="shared" si="4"/>
        <v>11.1</v>
      </c>
      <c r="AG191">
        <f t="shared" si="5"/>
        <v>11.1408</v>
      </c>
    </row>
    <row r="192" spans="1:33" x14ac:dyDescent="0.25">
      <c r="A192" t="s">
        <v>1893</v>
      </c>
      <c r="B192" t="s">
        <v>158</v>
      </c>
      <c r="C192" t="s">
        <v>1176</v>
      </c>
      <c r="D192" t="s">
        <v>151</v>
      </c>
      <c r="E192" t="s">
        <v>56</v>
      </c>
      <c r="F192" t="s">
        <v>1033</v>
      </c>
      <c r="G192" t="s">
        <v>929</v>
      </c>
      <c r="H192" t="s">
        <v>1894</v>
      </c>
      <c r="I192" t="s">
        <v>992</v>
      </c>
      <c r="J192" t="s">
        <v>1152</v>
      </c>
      <c r="K192" t="s">
        <v>1608</v>
      </c>
      <c r="L192" t="s">
        <v>1230</v>
      </c>
      <c r="M192" t="s">
        <v>919</v>
      </c>
      <c r="N192" t="s">
        <v>1895</v>
      </c>
      <c r="O192" t="s">
        <v>925</v>
      </c>
      <c r="P192" t="s">
        <v>1047</v>
      </c>
      <c r="Q192" t="s">
        <v>1299</v>
      </c>
      <c r="R192" t="s">
        <v>1476</v>
      </c>
      <c r="S192" t="s">
        <v>993</v>
      </c>
      <c r="T192" t="s">
        <v>946</v>
      </c>
      <c r="U192" t="s">
        <v>1896</v>
      </c>
      <c r="V192" t="s">
        <v>934</v>
      </c>
      <c r="W192" t="s">
        <v>924</v>
      </c>
      <c r="X192" t="s">
        <v>1012</v>
      </c>
      <c r="Y192" t="s">
        <v>1103</v>
      </c>
      <c r="Z192" t="s">
        <v>918</v>
      </c>
      <c r="AA192" t="s">
        <v>934</v>
      </c>
      <c r="AB192" t="s">
        <v>1195</v>
      </c>
      <c r="AC192" t="s">
        <v>1310</v>
      </c>
      <c r="AD192" t="s">
        <v>1253</v>
      </c>
      <c r="AE192" t="s">
        <v>927</v>
      </c>
      <c r="AF192">
        <f t="shared" si="4"/>
        <v>11.1</v>
      </c>
      <c r="AG192">
        <f t="shared" si="5"/>
        <v>11.022400000000001</v>
      </c>
    </row>
    <row r="193" spans="1:33" x14ac:dyDescent="0.25">
      <c r="A193" t="s">
        <v>1897</v>
      </c>
      <c r="B193" t="s">
        <v>275</v>
      </c>
      <c r="C193" t="s">
        <v>1204</v>
      </c>
      <c r="D193" t="s">
        <v>97</v>
      </c>
      <c r="E193" t="s">
        <v>63</v>
      </c>
      <c r="F193" t="s">
        <v>1285</v>
      </c>
      <c r="G193" t="s">
        <v>1285</v>
      </c>
      <c r="H193" t="s">
        <v>1742</v>
      </c>
      <c r="I193" t="s">
        <v>992</v>
      </c>
      <c r="J193" t="s">
        <v>916</v>
      </c>
      <c r="K193" t="s">
        <v>1538</v>
      </c>
      <c r="L193" t="s">
        <v>925</v>
      </c>
      <c r="M193" t="s">
        <v>1126</v>
      </c>
      <c r="N193" t="s">
        <v>981</v>
      </c>
      <c r="O193" t="s">
        <v>1230</v>
      </c>
      <c r="P193" t="s">
        <v>964</v>
      </c>
      <c r="Q193" t="s">
        <v>1200</v>
      </c>
      <c r="R193" t="s">
        <v>1352</v>
      </c>
      <c r="S193" t="s">
        <v>1029</v>
      </c>
      <c r="T193" t="s">
        <v>1049</v>
      </c>
      <c r="U193" t="s">
        <v>1366</v>
      </c>
      <c r="V193" t="s">
        <v>934</v>
      </c>
      <c r="W193" t="s">
        <v>908</v>
      </c>
      <c r="X193" t="s">
        <v>924</v>
      </c>
      <c r="Y193" t="s">
        <v>1029</v>
      </c>
      <c r="Z193" t="s">
        <v>1065</v>
      </c>
      <c r="AA193" t="s">
        <v>1119</v>
      </c>
      <c r="AB193" t="s">
        <v>969</v>
      </c>
      <c r="AC193" t="s">
        <v>945</v>
      </c>
      <c r="AD193" t="s">
        <v>1253</v>
      </c>
      <c r="AE193" t="s">
        <v>927</v>
      </c>
      <c r="AF193">
        <f t="shared" si="4"/>
        <v>11</v>
      </c>
      <c r="AG193">
        <f t="shared" si="5"/>
        <v>10.9453</v>
      </c>
    </row>
    <row r="194" spans="1:33" x14ac:dyDescent="0.25">
      <c r="A194" t="s">
        <v>1898</v>
      </c>
      <c r="B194" t="s">
        <v>225</v>
      </c>
      <c r="C194" t="s">
        <v>929</v>
      </c>
      <c r="D194" t="s">
        <v>133</v>
      </c>
      <c r="E194" t="s">
        <v>47</v>
      </c>
      <c r="F194" t="s">
        <v>1322</v>
      </c>
      <c r="G194" t="s">
        <v>1376</v>
      </c>
      <c r="H194" t="s">
        <v>1899</v>
      </c>
      <c r="I194" t="s">
        <v>1160</v>
      </c>
      <c r="J194" t="s">
        <v>1108</v>
      </c>
      <c r="K194" t="s">
        <v>1088</v>
      </c>
      <c r="L194" t="s">
        <v>1012</v>
      </c>
      <c r="M194" t="s">
        <v>940</v>
      </c>
      <c r="N194" t="s">
        <v>1393</v>
      </c>
      <c r="O194" t="s">
        <v>1230</v>
      </c>
      <c r="P194" t="s">
        <v>924</v>
      </c>
      <c r="Q194" t="s">
        <v>1401</v>
      </c>
      <c r="R194" t="s">
        <v>1520</v>
      </c>
      <c r="S194" t="s">
        <v>969</v>
      </c>
      <c r="T194" t="s">
        <v>1008</v>
      </c>
      <c r="U194" t="s">
        <v>1402</v>
      </c>
      <c r="V194" t="s">
        <v>934</v>
      </c>
      <c r="W194" t="s">
        <v>956</v>
      </c>
      <c r="X194" t="s">
        <v>947</v>
      </c>
      <c r="Y194" t="s">
        <v>924</v>
      </c>
      <c r="Z194" t="s">
        <v>1065</v>
      </c>
      <c r="AA194" t="s">
        <v>1119</v>
      </c>
      <c r="AB194" t="s">
        <v>945</v>
      </c>
      <c r="AC194" t="s">
        <v>968</v>
      </c>
      <c r="AD194" t="s">
        <v>1253</v>
      </c>
      <c r="AE194" t="s">
        <v>927</v>
      </c>
      <c r="AF194">
        <f t="shared" si="4"/>
        <v>11</v>
      </c>
      <c r="AG194">
        <f t="shared" si="5"/>
        <v>11.064400000000001</v>
      </c>
    </row>
    <row r="195" spans="1:33" x14ac:dyDescent="0.25">
      <c r="A195" t="s">
        <v>1900</v>
      </c>
      <c r="B195" t="s">
        <v>1901</v>
      </c>
      <c r="C195" t="s">
        <v>950</v>
      </c>
      <c r="D195" t="s">
        <v>108</v>
      </c>
      <c r="E195" t="s">
        <v>72</v>
      </c>
      <c r="F195" t="s">
        <v>951</v>
      </c>
      <c r="G195" t="s">
        <v>1414</v>
      </c>
      <c r="H195" t="s">
        <v>1774</v>
      </c>
      <c r="I195" t="s">
        <v>1228</v>
      </c>
      <c r="J195" t="s">
        <v>1061</v>
      </c>
      <c r="K195" t="s">
        <v>1041</v>
      </c>
      <c r="L195" t="s">
        <v>1310</v>
      </c>
      <c r="M195" t="s">
        <v>1160</v>
      </c>
      <c r="N195" t="s">
        <v>1902</v>
      </c>
      <c r="O195" t="s">
        <v>993</v>
      </c>
      <c r="P195" t="s">
        <v>919</v>
      </c>
      <c r="Q195" t="s">
        <v>1780</v>
      </c>
      <c r="R195" t="s">
        <v>1605</v>
      </c>
      <c r="S195" t="s">
        <v>1230</v>
      </c>
      <c r="T195" t="s">
        <v>956</v>
      </c>
      <c r="U195" t="s">
        <v>1525</v>
      </c>
      <c r="V195" t="s">
        <v>1049</v>
      </c>
      <c r="W195" t="s">
        <v>1030</v>
      </c>
      <c r="X195" t="s">
        <v>1092</v>
      </c>
      <c r="Y195" t="s">
        <v>908</v>
      </c>
      <c r="Z195" t="s">
        <v>987</v>
      </c>
      <c r="AA195" t="s">
        <v>1094</v>
      </c>
      <c r="AB195" t="s">
        <v>945</v>
      </c>
      <c r="AC195" t="s">
        <v>947</v>
      </c>
      <c r="AD195" t="s">
        <v>1253</v>
      </c>
      <c r="AE195" t="s">
        <v>927</v>
      </c>
      <c r="AF195">
        <f t="shared" ref="AF195:AF258" si="6">(L195 * 3) + ((I195 - L195) * 2) + S195</f>
        <v>10.9</v>
      </c>
      <c r="AG195">
        <f t="shared" ref="AG195:AG258" si="7">(M195 * N195 * 3) + ((J195 - M195) * Q195 * 2) + (T195 * U195)</f>
        <v>10.947199999999999</v>
      </c>
    </row>
    <row r="196" spans="1:33" x14ac:dyDescent="0.25">
      <c r="A196" t="s">
        <v>1903</v>
      </c>
      <c r="B196" t="s">
        <v>234</v>
      </c>
      <c r="C196" t="s">
        <v>1245</v>
      </c>
      <c r="D196" t="s">
        <v>45</v>
      </c>
      <c r="E196" t="s">
        <v>47</v>
      </c>
      <c r="F196" t="s">
        <v>1271</v>
      </c>
      <c r="G196" t="s">
        <v>1175</v>
      </c>
      <c r="H196" t="s">
        <v>1458</v>
      </c>
      <c r="I196" t="s">
        <v>1160</v>
      </c>
      <c r="J196" t="s">
        <v>1132</v>
      </c>
      <c r="K196" t="s">
        <v>1904</v>
      </c>
      <c r="L196" t="s">
        <v>925</v>
      </c>
      <c r="M196" t="s">
        <v>962</v>
      </c>
      <c r="N196" t="s">
        <v>1863</v>
      </c>
      <c r="O196" t="s">
        <v>922</v>
      </c>
      <c r="P196" t="s">
        <v>1048</v>
      </c>
      <c r="Q196" t="s">
        <v>1667</v>
      </c>
      <c r="R196" t="s">
        <v>1482</v>
      </c>
      <c r="S196" t="s">
        <v>918</v>
      </c>
      <c r="T196" t="s">
        <v>923</v>
      </c>
      <c r="U196" t="s">
        <v>1905</v>
      </c>
      <c r="V196" t="s">
        <v>969</v>
      </c>
      <c r="W196" t="s">
        <v>924</v>
      </c>
      <c r="X196" t="s">
        <v>1135</v>
      </c>
      <c r="Y196" t="s">
        <v>1310</v>
      </c>
      <c r="Z196" t="s">
        <v>969</v>
      </c>
      <c r="AA196" t="s">
        <v>1119</v>
      </c>
      <c r="AB196" t="s">
        <v>1310</v>
      </c>
      <c r="AC196" t="s">
        <v>1029</v>
      </c>
      <c r="AD196" t="s">
        <v>982</v>
      </c>
      <c r="AE196" t="s">
        <v>927</v>
      </c>
      <c r="AF196">
        <f t="shared" si="6"/>
        <v>10.9</v>
      </c>
      <c r="AG196">
        <f t="shared" si="7"/>
        <v>10.801200000000001</v>
      </c>
    </row>
    <row r="197" spans="1:33" x14ac:dyDescent="0.25">
      <c r="A197" t="s">
        <v>1906</v>
      </c>
      <c r="B197" t="s">
        <v>1907</v>
      </c>
      <c r="C197" t="s">
        <v>1204</v>
      </c>
      <c r="D197" t="s">
        <v>974</v>
      </c>
      <c r="E197" t="s">
        <v>63</v>
      </c>
      <c r="F197" t="s">
        <v>1477</v>
      </c>
      <c r="G197" t="s">
        <v>972</v>
      </c>
      <c r="H197" t="s">
        <v>1317</v>
      </c>
      <c r="I197" t="s">
        <v>1160</v>
      </c>
      <c r="J197" t="s">
        <v>1035</v>
      </c>
      <c r="K197" t="s">
        <v>1908</v>
      </c>
      <c r="L197" t="s">
        <v>1049</v>
      </c>
      <c r="M197" t="s">
        <v>1329</v>
      </c>
      <c r="N197" t="s">
        <v>1475</v>
      </c>
      <c r="O197" t="s">
        <v>1049</v>
      </c>
      <c r="P197" t="s">
        <v>1155</v>
      </c>
      <c r="Q197" t="s">
        <v>1208</v>
      </c>
      <c r="R197" t="s">
        <v>1226</v>
      </c>
      <c r="S197" t="s">
        <v>1064</v>
      </c>
      <c r="T197" t="s">
        <v>945</v>
      </c>
      <c r="U197" t="s">
        <v>1093</v>
      </c>
      <c r="V197" t="s">
        <v>991</v>
      </c>
      <c r="W197" t="s">
        <v>993</v>
      </c>
      <c r="X197" t="s">
        <v>964</v>
      </c>
      <c r="Y197" t="s">
        <v>1220</v>
      </c>
      <c r="Z197" t="s">
        <v>987</v>
      </c>
      <c r="AA197" t="s">
        <v>934</v>
      </c>
      <c r="AB197" t="s">
        <v>1230</v>
      </c>
      <c r="AC197" t="s">
        <v>924</v>
      </c>
      <c r="AD197" t="s">
        <v>1394</v>
      </c>
      <c r="AE197" t="s">
        <v>927</v>
      </c>
      <c r="AF197">
        <f t="shared" si="6"/>
        <v>10.799999999999999</v>
      </c>
      <c r="AG197">
        <f t="shared" si="7"/>
        <v>10.761199999999999</v>
      </c>
    </row>
    <row r="198" spans="1:33" x14ac:dyDescent="0.25">
      <c r="A198" t="s">
        <v>1906</v>
      </c>
      <c r="B198" t="s">
        <v>1907</v>
      </c>
      <c r="C198" t="s">
        <v>1204</v>
      </c>
      <c r="D198" t="s">
        <v>111</v>
      </c>
      <c r="E198" t="s">
        <v>63</v>
      </c>
      <c r="F198" t="s">
        <v>1084</v>
      </c>
      <c r="G198" t="s">
        <v>1717</v>
      </c>
      <c r="H198" t="s">
        <v>1174</v>
      </c>
      <c r="I198" t="s">
        <v>979</v>
      </c>
      <c r="J198" t="s">
        <v>959</v>
      </c>
      <c r="K198" t="s">
        <v>1909</v>
      </c>
      <c r="L198" t="s">
        <v>968</v>
      </c>
      <c r="M198" t="s">
        <v>1059</v>
      </c>
      <c r="N198" t="s">
        <v>1910</v>
      </c>
      <c r="O198" t="s">
        <v>1029</v>
      </c>
      <c r="P198" t="s">
        <v>970</v>
      </c>
      <c r="Q198" t="s">
        <v>1131</v>
      </c>
      <c r="R198" t="s">
        <v>1099</v>
      </c>
      <c r="S198" t="s">
        <v>1195</v>
      </c>
      <c r="T198" t="s">
        <v>1230</v>
      </c>
      <c r="U198" t="s">
        <v>1301</v>
      </c>
      <c r="V198" t="s">
        <v>1065</v>
      </c>
      <c r="W198" t="s">
        <v>947</v>
      </c>
      <c r="X198" t="s">
        <v>1104</v>
      </c>
      <c r="Y198" t="s">
        <v>956</v>
      </c>
      <c r="Z198" t="s">
        <v>987</v>
      </c>
      <c r="AA198" t="s">
        <v>1094</v>
      </c>
      <c r="AB198" t="s">
        <v>1310</v>
      </c>
      <c r="AC198" t="s">
        <v>924</v>
      </c>
      <c r="AD198" t="s">
        <v>1450</v>
      </c>
      <c r="AE198" t="s">
        <v>927</v>
      </c>
      <c r="AF198">
        <f t="shared" si="6"/>
        <v>10.100000000000001</v>
      </c>
      <c r="AG198">
        <f t="shared" si="7"/>
        <v>9.9431000000000012</v>
      </c>
    </row>
    <row r="199" spans="1:33" x14ac:dyDescent="0.25">
      <c r="A199" t="s">
        <v>1906</v>
      </c>
      <c r="B199" t="s">
        <v>1907</v>
      </c>
      <c r="C199" t="s">
        <v>1204</v>
      </c>
      <c r="D199" t="s">
        <v>79</v>
      </c>
      <c r="E199" t="s">
        <v>63</v>
      </c>
      <c r="F199" t="s">
        <v>929</v>
      </c>
      <c r="G199" t="s">
        <v>972</v>
      </c>
      <c r="H199" t="s">
        <v>1317</v>
      </c>
      <c r="I199" t="s">
        <v>1081</v>
      </c>
      <c r="J199" t="s">
        <v>1024</v>
      </c>
      <c r="K199" t="s">
        <v>1268</v>
      </c>
      <c r="L199" t="s">
        <v>956</v>
      </c>
      <c r="M199" t="s">
        <v>1134</v>
      </c>
      <c r="N199" t="s">
        <v>1908</v>
      </c>
      <c r="O199" t="s">
        <v>925</v>
      </c>
      <c r="P199" t="s">
        <v>1081</v>
      </c>
      <c r="Q199" t="s">
        <v>1171</v>
      </c>
      <c r="R199" t="s">
        <v>1911</v>
      </c>
      <c r="S199" t="s">
        <v>918</v>
      </c>
      <c r="T199" t="s">
        <v>1064</v>
      </c>
      <c r="U199" t="s">
        <v>1270</v>
      </c>
      <c r="V199" t="s">
        <v>991</v>
      </c>
      <c r="W199" t="s">
        <v>1220</v>
      </c>
      <c r="X199" t="s">
        <v>946</v>
      </c>
      <c r="Y199" t="s">
        <v>1048</v>
      </c>
      <c r="Z199" t="s">
        <v>1008</v>
      </c>
      <c r="AA199" t="s">
        <v>934</v>
      </c>
      <c r="AB199" t="s">
        <v>945</v>
      </c>
      <c r="AC199" t="s">
        <v>947</v>
      </c>
      <c r="AD199" t="s">
        <v>1546</v>
      </c>
      <c r="AE199" t="s">
        <v>927</v>
      </c>
      <c r="AF199">
        <f t="shared" si="6"/>
        <v>11.3</v>
      </c>
      <c r="AG199">
        <f t="shared" si="7"/>
        <v>11.440900000000001</v>
      </c>
    </row>
    <row r="200" spans="1:33" x14ac:dyDescent="0.25">
      <c r="A200" t="s">
        <v>1912</v>
      </c>
      <c r="B200" t="s">
        <v>1913</v>
      </c>
      <c r="C200" t="s">
        <v>995</v>
      </c>
      <c r="D200" t="s">
        <v>83</v>
      </c>
      <c r="E200" t="s">
        <v>63</v>
      </c>
      <c r="F200" t="s">
        <v>1410</v>
      </c>
      <c r="G200" t="s">
        <v>1096</v>
      </c>
      <c r="H200" t="s">
        <v>1914</v>
      </c>
      <c r="I200" t="s">
        <v>1030</v>
      </c>
      <c r="J200" t="s">
        <v>965</v>
      </c>
      <c r="K200" t="s">
        <v>1558</v>
      </c>
      <c r="L200" t="s">
        <v>956</v>
      </c>
      <c r="M200" t="s">
        <v>1126</v>
      </c>
      <c r="N200" t="s">
        <v>1915</v>
      </c>
      <c r="O200" t="s">
        <v>922</v>
      </c>
      <c r="P200" t="s">
        <v>1228</v>
      </c>
      <c r="Q200" t="s">
        <v>1784</v>
      </c>
      <c r="R200" t="s">
        <v>1916</v>
      </c>
      <c r="S200" t="s">
        <v>1230</v>
      </c>
      <c r="T200" t="s">
        <v>968</v>
      </c>
      <c r="U200" t="s">
        <v>1917</v>
      </c>
      <c r="V200" t="s">
        <v>991</v>
      </c>
      <c r="W200" t="s">
        <v>924</v>
      </c>
      <c r="X200" t="s">
        <v>1104</v>
      </c>
      <c r="Y200" t="s">
        <v>945</v>
      </c>
      <c r="Z200" t="s">
        <v>1065</v>
      </c>
      <c r="AA200" t="s">
        <v>991</v>
      </c>
      <c r="AB200" t="s">
        <v>923</v>
      </c>
      <c r="AC200" t="s">
        <v>918</v>
      </c>
      <c r="AD200" t="s">
        <v>1394</v>
      </c>
      <c r="AE200" t="s">
        <v>927</v>
      </c>
      <c r="AF200">
        <f t="shared" si="6"/>
        <v>10.8</v>
      </c>
      <c r="AG200">
        <f t="shared" si="7"/>
        <v>10.791500000000001</v>
      </c>
    </row>
    <row r="201" spans="1:33" x14ac:dyDescent="0.25">
      <c r="A201" t="s">
        <v>1918</v>
      </c>
      <c r="B201" t="s">
        <v>1919</v>
      </c>
      <c r="C201" t="s">
        <v>1032</v>
      </c>
      <c r="D201" t="s">
        <v>83</v>
      </c>
      <c r="E201" t="s">
        <v>63</v>
      </c>
      <c r="F201" t="s">
        <v>1187</v>
      </c>
      <c r="G201" t="s">
        <v>1106</v>
      </c>
      <c r="H201" t="s">
        <v>1914</v>
      </c>
      <c r="I201" t="s">
        <v>1228</v>
      </c>
      <c r="J201" t="s">
        <v>1035</v>
      </c>
      <c r="K201" t="s">
        <v>1659</v>
      </c>
      <c r="L201" t="s">
        <v>945</v>
      </c>
      <c r="M201" t="s">
        <v>970</v>
      </c>
      <c r="N201" t="s">
        <v>1406</v>
      </c>
      <c r="O201" t="s">
        <v>1104</v>
      </c>
      <c r="P201" t="s">
        <v>909</v>
      </c>
      <c r="Q201" t="s">
        <v>1514</v>
      </c>
      <c r="R201" t="s">
        <v>1131</v>
      </c>
      <c r="S201" t="s">
        <v>1029</v>
      </c>
      <c r="T201" t="s">
        <v>956</v>
      </c>
      <c r="U201" t="s">
        <v>1194</v>
      </c>
      <c r="V201" t="s">
        <v>1008</v>
      </c>
      <c r="W201" t="s">
        <v>993</v>
      </c>
      <c r="X201" t="s">
        <v>1048</v>
      </c>
      <c r="Y201" t="s">
        <v>925</v>
      </c>
      <c r="Z201" t="s">
        <v>1195</v>
      </c>
      <c r="AA201" t="s">
        <v>934</v>
      </c>
      <c r="AB201" t="s">
        <v>945</v>
      </c>
      <c r="AC201" t="s">
        <v>922</v>
      </c>
      <c r="AD201" t="s">
        <v>1655</v>
      </c>
      <c r="AE201" t="s">
        <v>927</v>
      </c>
      <c r="AF201">
        <f t="shared" si="6"/>
        <v>10.799999999999999</v>
      </c>
      <c r="AG201">
        <f t="shared" si="7"/>
        <v>10.667</v>
      </c>
    </row>
    <row r="202" spans="1:33" x14ac:dyDescent="0.25">
      <c r="A202" t="s">
        <v>1920</v>
      </c>
      <c r="B202" t="s">
        <v>1921</v>
      </c>
      <c r="C202" t="s">
        <v>1245</v>
      </c>
      <c r="D202" t="s">
        <v>133</v>
      </c>
      <c r="E202" t="s">
        <v>93</v>
      </c>
      <c r="F202" t="s">
        <v>1123</v>
      </c>
      <c r="G202" t="s">
        <v>1106</v>
      </c>
      <c r="H202" t="s">
        <v>1922</v>
      </c>
      <c r="I202" t="s">
        <v>1030</v>
      </c>
      <c r="J202" t="s">
        <v>989</v>
      </c>
      <c r="K202" t="s">
        <v>1923</v>
      </c>
      <c r="L202" t="s">
        <v>922</v>
      </c>
      <c r="M202" t="s">
        <v>1211</v>
      </c>
      <c r="N202" t="s">
        <v>1909</v>
      </c>
      <c r="O202" t="s">
        <v>956</v>
      </c>
      <c r="P202" t="s">
        <v>992</v>
      </c>
      <c r="Q202" t="s">
        <v>1289</v>
      </c>
      <c r="R202" t="s">
        <v>1192</v>
      </c>
      <c r="S202" t="s">
        <v>1029</v>
      </c>
      <c r="T202" t="s">
        <v>1049</v>
      </c>
      <c r="U202" t="s">
        <v>1884</v>
      </c>
      <c r="V202" t="s">
        <v>969</v>
      </c>
      <c r="W202" t="s">
        <v>970</v>
      </c>
      <c r="X202" t="s">
        <v>1160</v>
      </c>
      <c r="Y202" t="s">
        <v>1104</v>
      </c>
      <c r="Z202" t="s">
        <v>987</v>
      </c>
      <c r="AA202" t="s">
        <v>1094</v>
      </c>
      <c r="AB202" t="s">
        <v>1195</v>
      </c>
      <c r="AC202" t="s">
        <v>968</v>
      </c>
      <c r="AD202" t="s">
        <v>1655</v>
      </c>
      <c r="AE202" t="s">
        <v>927</v>
      </c>
      <c r="AF202">
        <f t="shared" si="6"/>
        <v>10.7</v>
      </c>
      <c r="AG202">
        <f t="shared" si="7"/>
        <v>10.746599999999999</v>
      </c>
    </row>
    <row r="203" spans="1:33" x14ac:dyDescent="0.25">
      <c r="A203" t="s">
        <v>1924</v>
      </c>
      <c r="B203" t="s">
        <v>212</v>
      </c>
      <c r="C203" t="s">
        <v>950</v>
      </c>
      <c r="D203" t="s">
        <v>1069</v>
      </c>
      <c r="E203" t="s">
        <v>63</v>
      </c>
      <c r="F203" t="s">
        <v>1446</v>
      </c>
      <c r="G203" t="s">
        <v>1067</v>
      </c>
      <c r="H203" t="s">
        <v>1899</v>
      </c>
      <c r="I203" t="s">
        <v>1000</v>
      </c>
      <c r="J203" t="s">
        <v>1009</v>
      </c>
      <c r="K203" t="s">
        <v>1168</v>
      </c>
      <c r="L203" t="s">
        <v>947</v>
      </c>
      <c r="M203" t="s">
        <v>1291</v>
      </c>
      <c r="N203" t="s">
        <v>1474</v>
      </c>
      <c r="O203" t="s">
        <v>1064</v>
      </c>
      <c r="P203" t="s">
        <v>925</v>
      </c>
      <c r="Q203" t="s">
        <v>1340</v>
      </c>
      <c r="R203" t="s">
        <v>1836</v>
      </c>
      <c r="S203" t="s">
        <v>1310</v>
      </c>
      <c r="T203" t="s">
        <v>968</v>
      </c>
      <c r="U203" t="s">
        <v>1917</v>
      </c>
      <c r="V203" t="s">
        <v>1065</v>
      </c>
      <c r="W203" t="s">
        <v>993</v>
      </c>
      <c r="X203" t="s">
        <v>1135</v>
      </c>
      <c r="Y203" t="s">
        <v>908</v>
      </c>
      <c r="Z203" t="s">
        <v>987</v>
      </c>
      <c r="AA203" t="s">
        <v>1094</v>
      </c>
      <c r="AB203" t="s">
        <v>945</v>
      </c>
      <c r="AC203" t="s">
        <v>1310</v>
      </c>
      <c r="AD203" t="s">
        <v>941</v>
      </c>
      <c r="AE203" t="s">
        <v>927</v>
      </c>
      <c r="AF203">
        <f t="shared" si="6"/>
        <v>10.6</v>
      </c>
      <c r="AG203">
        <f t="shared" si="7"/>
        <v>10.614599999999999</v>
      </c>
    </row>
    <row r="204" spans="1:33" x14ac:dyDescent="0.25">
      <c r="A204" t="s">
        <v>1925</v>
      </c>
      <c r="B204" t="s">
        <v>1926</v>
      </c>
      <c r="C204" t="s">
        <v>995</v>
      </c>
      <c r="D204" t="s">
        <v>1279</v>
      </c>
      <c r="E204" t="s">
        <v>63</v>
      </c>
      <c r="F204" t="s">
        <v>1033</v>
      </c>
      <c r="G204" t="s">
        <v>1410</v>
      </c>
      <c r="H204" t="s">
        <v>1237</v>
      </c>
      <c r="I204" t="s">
        <v>1155</v>
      </c>
      <c r="J204" t="s">
        <v>965</v>
      </c>
      <c r="K204" t="s">
        <v>1461</v>
      </c>
      <c r="L204" t="s">
        <v>1029</v>
      </c>
      <c r="M204" t="s">
        <v>1005</v>
      </c>
      <c r="N204" t="s">
        <v>1628</v>
      </c>
      <c r="O204" t="s">
        <v>925</v>
      </c>
      <c r="P204" t="s">
        <v>1134</v>
      </c>
      <c r="Q204" t="s">
        <v>1405</v>
      </c>
      <c r="R204" t="s">
        <v>1584</v>
      </c>
      <c r="S204" t="s">
        <v>1230</v>
      </c>
      <c r="T204" t="s">
        <v>968</v>
      </c>
      <c r="U204" t="s">
        <v>1769</v>
      </c>
      <c r="V204" t="s">
        <v>987</v>
      </c>
      <c r="W204" t="s">
        <v>1135</v>
      </c>
      <c r="X204" t="s">
        <v>1155</v>
      </c>
      <c r="Y204" t="s">
        <v>925</v>
      </c>
      <c r="Z204" t="s">
        <v>923</v>
      </c>
      <c r="AA204" t="s">
        <v>991</v>
      </c>
      <c r="AB204" t="s">
        <v>1310</v>
      </c>
      <c r="AC204" t="s">
        <v>1012</v>
      </c>
      <c r="AD204" t="s">
        <v>941</v>
      </c>
      <c r="AE204" t="s">
        <v>927</v>
      </c>
      <c r="AF204">
        <f t="shared" si="6"/>
        <v>10.6</v>
      </c>
      <c r="AG204">
        <f t="shared" si="7"/>
        <v>10.683</v>
      </c>
    </row>
    <row r="205" spans="1:33" x14ac:dyDescent="0.25">
      <c r="A205" t="s">
        <v>1927</v>
      </c>
      <c r="B205" t="s">
        <v>1928</v>
      </c>
      <c r="C205" t="s">
        <v>929</v>
      </c>
      <c r="D205" t="s">
        <v>133</v>
      </c>
      <c r="E205" t="s">
        <v>56</v>
      </c>
      <c r="F205" t="s">
        <v>1446</v>
      </c>
      <c r="G205" t="s">
        <v>1032</v>
      </c>
      <c r="H205" t="s">
        <v>1136</v>
      </c>
      <c r="I205" t="s">
        <v>1160</v>
      </c>
      <c r="J205" t="s">
        <v>965</v>
      </c>
      <c r="K205" t="s">
        <v>1595</v>
      </c>
      <c r="L205" t="s">
        <v>1230</v>
      </c>
      <c r="M205" t="s">
        <v>1134</v>
      </c>
      <c r="N205" t="s">
        <v>1259</v>
      </c>
      <c r="O205" t="s">
        <v>993</v>
      </c>
      <c r="P205" t="s">
        <v>1005</v>
      </c>
      <c r="Q205" t="s">
        <v>1537</v>
      </c>
      <c r="R205" t="s">
        <v>1709</v>
      </c>
      <c r="S205" t="s">
        <v>1230</v>
      </c>
      <c r="T205" t="s">
        <v>922</v>
      </c>
      <c r="U205" t="s">
        <v>1871</v>
      </c>
      <c r="V205" t="s">
        <v>1008</v>
      </c>
      <c r="W205" t="s">
        <v>1135</v>
      </c>
      <c r="X205" t="s">
        <v>1030</v>
      </c>
      <c r="Y205" t="s">
        <v>1012</v>
      </c>
      <c r="Z205" t="s">
        <v>969</v>
      </c>
      <c r="AA205" t="s">
        <v>934</v>
      </c>
      <c r="AB205" t="s">
        <v>945</v>
      </c>
      <c r="AC205" t="s">
        <v>1064</v>
      </c>
      <c r="AD205" t="s">
        <v>941</v>
      </c>
      <c r="AE205" t="s">
        <v>927</v>
      </c>
      <c r="AF205">
        <f t="shared" si="6"/>
        <v>10.6</v>
      </c>
      <c r="AG205">
        <f t="shared" si="7"/>
        <v>10.592399999999998</v>
      </c>
    </row>
    <row r="206" spans="1:33" x14ac:dyDescent="0.25">
      <c r="A206" t="s">
        <v>1929</v>
      </c>
      <c r="B206" t="s">
        <v>311</v>
      </c>
      <c r="C206" t="s">
        <v>902</v>
      </c>
      <c r="D206" t="s">
        <v>170</v>
      </c>
      <c r="E206" t="s">
        <v>93</v>
      </c>
      <c r="F206" t="s">
        <v>1033</v>
      </c>
      <c r="G206" t="s">
        <v>972</v>
      </c>
      <c r="H206" t="s">
        <v>1314</v>
      </c>
      <c r="I206" t="s">
        <v>1228</v>
      </c>
      <c r="J206" t="s">
        <v>1009</v>
      </c>
      <c r="K206" t="s">
        <v>1352</v>
      </c>
      <c r="L206" t="s">
        <v>1230</v>
      </c>
      <c r="M206" t="s">
        <v>1155</v>
      </c>
      <c r="N206" t="s">
        <v>1379</v>
      </c>
      <c r="O206" t="s">
        <v>1012</v>
      </c>
      <c r="P206" t="s">
        <v>1155</v>
      </c>
      <c r="Q206" t="s">
        <v>1930</v>
      </c>
      <c r="R206" t="s">
        <v>1523</v>
      </c>
      <c r="S206" t="s">
        <v>1064</v>
      </c>
      <c r="T206" t="s">
        <v>1230</v>
      </c>
      <c r="U206" t="s">
        <v>1371</v>
      </c>
      <c r="V206" t="s">
        <v>1008</v>
      </c>
      <c r="W206" t="s">
        <v>970</v>
      </c>
      <c r="X206" t="s">
        <v>1228</v>
      </c>
      <c r="Y206" t="s">
        <v>1029</v>
      </c>
      <c r="Z206" t="s">
        <v>969</v>
      </c>
      <c r="AA206" t="s">
        <v>991</v>
      </c>
      <c r="AB206" t="s">
        <v>918</v>
      </c>
      <c r="AC206" t="s">
        <v>1230</v>
      </c>
      <c r="AD206" t="s">
        <v>1483</v>
      </c>
      <c r="AE206" t="s">
        <v>927</v>
      </c>
      <c r="AF206">
        <f t="shared" si="6"/>
        <v>10.499999999999998</v>
      </c>
      <c r="AG206">
        <f t="shared" si="7"/>
        <v>10.536399999999997</v>
      </c>
    </row>
    <row r="207" spans="1:33" x14ac:dyDescent="0.25">
      <c r="A207" t="s">
        <v>1931</v>
      </c>
      <c r="B207" t="s">
        <v>356</v>
      </c>
      <c r="C207" t="s">
        <v>1204</v>
      </c>
      <c r="D207" t="s">
        <v>974</v>
      </c>
      <c r="E207" t="s">
        <v>72</v>
      </c>
      <c r="F207" t="s">
        <v>1598</v>
      </c>
      <c r="G207" t="s">
        <v>1245</v>
      </c>
      <c r="H207" t="s">
        <v>1304</v>
      </c>
      <c r="I207" t="s">
        <v>1170</v>
      </c>
      <c r="J207" t="s">
        <v>990</v>
      </c>
      <c r="K207" t="s">
        <v>1442</v>
      </c>
      <c r="L207" t="s">
        <v>1119</v>
      </c>
      <c r="M207" t="s">
        <v>1065</v>
      </c>
      <c r="N207" t="s">
        <v>1932</v>
      </c>
      <c r="O207" t="s">
        <v>1081</v>
      </c>
      <c r="P207" t="s">
        <v>1118</v>
      </c>
      <c r="Q207" t="s">
        <v>913</v>
      </c>
      <c r="R207" t="s">
        <v>1522</v>
      </c>
      <c r="S207" t="s">
        <v>968</v>
      </c>
      <c r="T207" t="s">
        <v>956</v>
      </c>
      <c r="U207" t="s">
        <v>1093</v>
      </c>
      <c r="V207" t="s">
        <v>947</v>
      </c>
      <c r="W207" t="s">
        <v>1329</v>
      </c>
      <c r="X207" t="s">
        <v>990</v>
      </c>
      <c r="Y207" t="s">
        <v>956</v>
      </c>
      <c r="Z207" t="s">
        <v>1065</v>
      </c>
      <c r="AA207" t="s">
        <v>969</v>
      </c>
      <c r="AB207" t="s">
        <v>1310</v>
      </c>
      <c r="AC207" t="s">
        <v>925</v>
      </c>
      <c r="AD207" t="s">
        <v>1020</v>
      </c>
      <c r="AE207" t="s">
        <v>927</v>
      </c>
      <c r="AF207">
        <f t="shared" si="6"/>
        <v>10.500000000000002</v>
      </c>
      <c r="AG207">
        <f t="shared" si="7"/>
        <v>10.304400000000001</v>
      </c>
    </row>
    <row r="208" spans="1:33" x14ac:dyDescent="0.25">
      <c r="A208" t="s">
        <v>1931</v>
      </c>
      <c r="B208" t="s">
        <v>356</v>
      </c>
      <c r="C208" t="s">
        <v>1204</v>
      </c>
      <c r="D208" t="s">
        <v>77</v>
      </c>
      <c r="E208" t="s">
        <v>72</v>
      </c>
      <c r="F208" t="s">
        <v>1453</v>
      </c>
      <c r="G208" t="s">
        <v>1137</v>
      </c>
      <c r="H208" t="s">
        <v>1933</v>
      </c>
      <c r="I208" t="s">
        <v>957</v>
      </c>
      <c r="J208" t="s">
        <v>1152</v>
      </c>
      <c r="K208" t="s">
        <v>1042</v>
      </c>
      <c r="L208" t="s">
        <v>1119</v>
      </c>
      <c r="M208" t="s">
        <v>969</v>
      </c>
      <c r="N208" t="s">
        <v>1934</v>
      </c>
      <c r="O208" t="s">
        <v>1211</v>
      </c>
      <c r="P208" t="s">
        <v>1027</v>
      </c>
      <c r="Q208" t="s">
        <v>1215</v>
      </c>
      <c r="R208" t="s">
        <v>1401</v>
      </c>
      <c r="S208" t="s">
        <v>1049</v>
      </c>
      <c r="T208" t="s">
        <v>925</v>
      </c>
      <c r="U208" t="s">
        <v>1935</v>
      </c>
      <c r="V208" t="s">
        <v>924</v>
      </c>
      <c r="W208" t="s">
        <v>1079</v>
      </c>
      <c r="X208" t="s">
        <v>989</v>
      </c>
      <c r="Y208" t="s">
        <v>925</v>
      </c>
      <c r="Z208" t="s">
        <v>991</v>
      </c>
      <c r="AA208" t="s">
        <v>969</v>
      </c>
      <c r="AB208" t="s">
        <v>968</v>
      </c>
      <c r="AC208" t="s">
        <v>956</v>
      </c>
      <c r="AD208" t="s">
        <v>1002</v>
      </c>
      <c r="AE208" t="s">
        <v>927</v>
      </c>
      <c r="AF208">
        <f t="shared" si="6"/>
        <v>11.400000000000002</v>
      </c>
      <c r="AG208">
        <f t="shared" si="7"/>
        <v>11.509399999999999</v>
      </c>
    </row>
    <row r="209" spans="1:33" x14ac:dyDescent="0.25">
      <c r="A209" t="s">
        <v>1931</v>
      </c>
      <c r="B209" t="s">
        <v>356</v>
      </c>
      <c r="C209" t="s">
        <v>1204</v>
      </c>
      <c r="D209" t="s">
        <v>121</v>
      </c>
      <c r="E209" t="s">
        <v>72</v>
      </c>
      <c r="F209" t="s">
        <v>1204</v>
      </c>
      <c r="G209" t="s">
        <v>1096</v>
      </c>
      <c r="H209" t="s">
        <v>1197</v>
      </c>
      <c r="I209" t="s">
        <v>992</v>
      </c>
      <c r="J209" t="s">
        <v>921</v>
      </c>
      <c r="K209" t="s">
        <v>1401</v>
      </c>
      <c r="L209" t="s">
        <v>1600</v>
      </c>
      <c r="M209" t="s">
        <v>1094</v>
      </c>
      <c r="N209" t="s">
        <v>1936</v>
      </c>
      <c r="O209" t="s">
        <v>979</v>
      </c>
      <c r="P209" t="s">
        <v>1059</v>
      </c>
      <c r="Q209" t="s">
        <v>1610</v>
      </c>
      <c r="R209" t="s">
        <v>1057</v>
      </c>
      <c r="S209" t="s">
        <v>1029</v>
      </c>
      <c r="T209" t="s">
        <v>968</v>
      </c>
      <c r="U209" t="s">
        <v>1937</v>
      </c>
      <c r="V209" t="s">
        <v>925</v>
      </c>
      <c r="W209" t="s">
        <v>1134</v>
      </c>
      <c r="X209" t="s">
        <v>1023</v>
      </c>
      <c r="Y209" t="s">
        <v>968</v>
      </c>
      <c r="Z209" t="s">
        <v>1065</v>
      </c>
      <c r="AA209" t="s">
        <v>969</v>
      </c>
      <c r="AB209" t="s">
        <v>923</v>
      </c>
      <c r="AC209" t="s">
        <v>1012</v>
      </c>
      <c r="AD209" t="s">
        <v>1062</v>
      </c>
      <c r="AE209" t="s">
        <v>927</v>
      </c>
      <c r="AF209">
        <f t="shared" si="6"/>
        <v>8.8000000000000007</v>
      </c>
      <c r="AG209">
        <f t="shared" si="7"/>
        <v>8.6783999999999999</v>
      </c>
    </row>
    <row r="210" spans="1:33" x14ac:dyDescent="0.25">
      <c r="A210" t="s">
        <v>1938</v>
      </c>
      <c r="B210" t="s">
        <v>200</v>
      </c>
      <c r="C210" t="s">
        <v>1084</v>
      </c>
      <c r="D210" t="s">
        <v>163</v>
      </c>
      <c r="E210" t="s">
        <v>63</v>
      </c>
      <c r="F210" t="s">
        <v>1446</v>
      </c>
      <c r="G210" t="s">
        <v>1312</v>
      </c>
      <c r="H210" t="s">
        <v>1583</v>
      </c>
      <c r="I210" t="s">
        <v>1081</v>
      </c>
      <c r="J210" t="s">
        <v>1010</v>
      </c>
      <c r="K210" t="s">
        <v>1387</v>
      </c>
      <c r="L210" t="s">
        <v>1029</v>
      </c>
      <c r="M210" t="s">
        <v>1228</v>
      </c>
      <c r="N210" t="s">
        <v>1492</v>
      </c>
      <c r="O210" t="s">
        <v>1012</v>
      </c>
      <c r="P210" t="s">
        <v>1103</v>
      </c>
      <c r="Q210" t="s">
        <v>1532</v>
      </c>
      <c r="R210" t="s">
        <v>1605</v>
      </c>
      <c r="S210" t="s">
        <v>1065</v>
      </c>
      <c r="T210" t="s">
        <v>987</v>
      </c>
      <c r="U210" t="s">
        <v>1939</v>
      </c>
      <c r="V210" t="s">
        <v>923</v>
      </c>
      <c r="W210" t="s">
        <v>1104</v>
      </c>
      <c r="X210" t="s">
        <v>1155</v>
      </c>
      <c r="Y210" t="s">
        <v>1310</v>
      </c>
      <c r="Z210" t="s">
        <v>918</v>
      </c>
      <c r="AA210" t="s">
        <v>1065</v>
      </c>
      <c r="AB210" t="s">
        <v>987</v>
      </c>
      <c r="AC210" t="s">
        <v>956</v>
      </c>
      <c r="AD210" t="s">
        <v>1020</v>
      </c>
      <c r="AE210" t="s">
        <v>927</v>
      </c>
      <c r="AF210">
        <f t="shared" si="6"/>
        <v>10.5</v>
      </c>
      <c r="AG210">
        <f t="shared" si="7"/>
        <v>10.402600000000001</v>
      </c>
    </row>
    <row r="211" spans="1:33" x14ac:dyDescent="0.25">
      <c r="A211" t="s">
        <v>1940</v>
      </c>
      <c r="B211" t="s">
        <v>161</v>
      </c>
      <c r="C211" t="s">
        <v>1245</v>
      </c>
      <c r="D211" t="s">
        <v>156</v>
      </c>
      <c r="E211" t="s">
        <v>63</v>
      </c>
      <c r="F211" t="s">
        <v>1033</v>
      </c>
      <c r="G211" t="s">
        <v>1322</v>
      </c>
      <c r="H211" t="s">
        <v>1136</v>
      </c>
      <c r="I211" t="s">
        <v>992</v>
      </c>
      <c r="J211" t="s">
        <v>1152</v>
      </c>
      <c r="K211" t="s">
        <v>1941</v>
      </c>
      <c r="L211" t="s">
        <v>922</v>
      </c>
      <c r="M211" t="s">
        <v>920</v>
      </c>
      <c r="N211" t="s">
        <v>1250</v>
      </c>
      <c r="O211" t="s">
        <v>1049</v>
      </c>
      <c r="P211" t="s">
        <v>992</v>
      </c>
      <c r="Q211" t="s">
        <v>1144</v>
      </c>
      <c r="R211" t="s">
        <v>1074</v>
      </c>
      <c r="S211" t="s">
        <v>1230</v>
      </c>
      <c r="T211" t="s">
        <v>922</v>
      </c>
      <c r="U211" t="s">
        <v>1942</v>
      </c>
      <c r="V211" t="s">
        <v>1064</v>
      </c>
      <c r="W211" t="s">
        <v>947</v>
      </c>
      <c r="X211" t="s">
        <v>1000</v>
      </c>
      <c r="Y211" t="s">
        <v>922</v>
      </c>
      <c r="Z211" t="s">
        <v>969</v>
      </c>
      <c r="AA211" t="s">
        <v>1119</v>
      </c>
      <c r="AB211" t="s">
        <v>918</v>
      </c>
      <c r="AC211" t="s">
        <v>968</v>
      </c>
      <c r="AD211" t="s">
        <v>1020</v>
      </c>
      <c r="AE211" t="s">
        <v>927</v>
      </c>
      <c r="AF211">
        <f t="shared" si="6"/>
        <v>10.3</v>
      </c>
      <c r="AG211">
        <f t="shared" si="7"/>
        <v>10.457399999999998</v>
      </c>
    </row>
    <row r="212" spans="1:33" x14ac:dyDescent="0.25">
      <c r="A212" t="s">
        <v>1943</v>
      </c>
      <c r="B212" t="s">
        <v>1944</v>
      </c>
      <c r="C212" t="s">
        <v>902</v>
      </c>
      <c r="D212" t="s">
        <v>1149</v>
      </c>
      <c r="E212" t="s">
        <v>93</v>
      </c>
      <c r="F212" t="s">
        <v>1202</v>
      </c>
      <c r="G212" t="s">
        <v>1067</v>
      </c>
      <c r="H212" t="s">
        <v>1563</v>
      </c>
      <c r="I212" t="s">
        <v>1000</v>
      </c>
      <c r="J212" t="s">
        <v>990</v>
      </c>
      <c r="K212" t="s">
        <v>1577</v>
      </c>
      <c r="L212" t="s">
        <v>922</v>
      </c>
      <c r="M212" t="s">
        <v>1211</v>
      </c>
      <c r="N212" t="s">
        <v>1379</v>
      </c>
      <c r="O212" t="s">
        <v>922</v>
      </c>
      <c r="P212" t="s">
        <v>946</v>
      </c>
      <c r="Q212" t="s">
        <v>1115</v>
      </c>
      <c r="R212" t="s">
        <v>1209</v>
      </c>
      <c r="S212" t="s">
        <v>1049</v>
      </c>
      <c r="T212" t="s">
        <v>947</v>
      </c>
      <c r="U212" t="s">
        <v>1757</v>
      </c>
      <c r="V212" t="s">
        <v>1064</v>
      </c>
      <c r="W212" t="s">
        <v>1228</v>
      </c>
      <c r="X212" t="s">
        <v>1005</v>
      </c>
      <c r="Y212" t="s">
        <v>947</v>
      </c>
      <c r="Z212" t="s">
        <v>1064</v>
      </c>
      <c r="AA212" t="s">
        <v>987</v>
      </c>
      <c r="AB212" t="s">
        <v>968</v>
      </c>
      <c r="AC212" t="s">
        <v>964</v>
      </c>
      <c r="AD212" t="s">
        <v>1020</v>
      </c>
      <c r="AE212" t="s">
        <v>927</v>
      </c>
      <c r="AF212">
        <f t="shared" si="6"/>
        <v>10.4</v>
      </c>
      <c r="AG212">
        <f t="shared" si="7"/>
        <v>10.380599999999999</v>
      </c>
    </row>
    <row r="213" spans="1:33" x14ac:dyDescent="0.25">
      <c r="A213" t="s">
        <v>1945</v>
      </c>
      <c r="B213" t="s">
        <v>1946</v>
      </c>
      <c r="C213" t="s">
        <v>1084</v>
      </c>
      <c r="D213" t="s">
        <v>974</v>
      </c>
      <c r="E213" t="s">
        <v>63</v>
      </c>
      <c r="F213" t="s">
        <v>1138</v>
      </c>
      <c r="G213" t="s">
        <v>972</v>
      </c>
      <c r="H213" t="s">
        <v>1125</v>
      </c>
      <c r="I213" t="s">
        <v>1160</v>
      </c>
      <c r="J213" t="s">
        <v>1062</v>
      </c>
      <c r="K213" t="s">
        <v>1596</v>
      </c>
      <c r="L213" t="s">
        <v>1008</v>
      </c>
      <c r="M213" t="s">
        <v>924</v>
      </c>
      <c r="N213" t="s">
        <v>1528</v>
      </c>
      <c r="O213" t="s">
        <v>1048</v>
      </c>
      <c r="P213" t="s">
        <v>1044</v>
      </c>
      <c r="Q213" t="s">
        <v>1041</v>
      </c>
      <c r="R213" t="s">
        <v>1299</v>
      </c>
      <c r="S213" t="s">
        <v>922</v>
      </c>
      <c r="T213" t="s">
        <v>947</v>
      </c>
      <c r="U213" t="s">
        <v>1947</v>
      </c>
      <c r="V213" t="s">
        <v>969</v>
      </c>
      <c r="W213" t="s">
        <v>946</v>
      </c>
      <c r="X213" t="s">
        <v>1030</v>
      </c>
      <c r="Y213" t="s">
        <v>1000</v>
      </c>
      <c r="Z213" t="s">
        <v>1064</v>
      </c>
      <c r="AA213" t="s">
        <v>934</v>
      </c>
      <c r="AB213" t="s">
        <v>968</v>
      </c>
      <c r="AC213" t="s">
        <v>1029</v>
      </c>
      <c r="AD213" t="s">
        <v>1038</v>
      </c>
      <c r="AE213" t="s">
        <v>927</v>
      </c>
      <c r="AF213">
        <f t="shared" si="6"/>
        <v>10.199999999999999</v>
      </c>
      <c r="AG213">
        <f t="shared" si="7"/>
        <v>10.320499999999999</v>
      </c>
    </row>
    <row r="214" spans="1:33" x14ac:dyDescent="0.25">
      <c r="A214" t="s">
        <v>1945</v>
      </c>
      <c r="B214" t="s">
        <v>1946</v>
      </c>
      <c r="C214" t="s">
        <v>1084</v>
      </c>
      <c r="D214" t="s">
        <v>79</v>
      </c>
      <c r="E214" t="s">
        <v>63</v>
      </c>
      <c r="F214" t="s">
        <v>1312</v>
      </c>
      <c r="G214" t="s">
        <v>928</v>
      </c>
      <c r="H214" t="s">
        <v>1314</v>
      </c>
      <c r="I214" t="s">
        <v>1155</v>
      </c>
      <c r="J214" t="s">
        <v>1108</v>
      </c>
      <c r="K214" t="s">
        <v>1419</v>
      </c>
      <c r="L214" t="s">
        <v>969</v>
      </c>
      <c r="M214" t="s">
        <v>924</v>
      </c>
      <c r="N214" t="s">
        <v>1948</v>
      </c>
      <c r="O214" t="s">
        <v>1048</v>
      </c>
      <c r="P214" t="s">
        <v>1112</v>
      </c>
      <c r="Q214" t="s">
        <v>1514</v>
      </c>
      <c r="R214" t="s">
        <v>1665</v>
      </c>
      <c r="S214" t="s">
        <v>1064</v>
      </c>
      <c r="T214" t="s">
        <v>922</v>
      </c>
      <c r="U214" t="s">
        <v>1949</v>
      </c>
      <c r="V214" t="s">
        <v>969</v>
      </c>
      <c r="W214" t="s">
        <v>964</v>
      </c>
      <c r="X214" t="s">
        <v>992</v>
      </c>
      <c r="Y214" t="s">
        <v>1048</v>
      </c>
      <c r="Z214" t="s">
        <v>923</v>
      </c>
      <c r="AA214" t="s">
        <v>934</v>
      </c>
      <c r="AB214" t="s">
        <v>1049</v>
      </c>
      <c r="AC214" t="s">
        <v>1029</v>
      </c>
      <c r="AD214" t="s">
        <v>959</v>
      </c>
      <c r="AE214" t="s">
        <v>927</v>
      </c>
      <c r="AF214">
        <f t="shared" si="6"/>
        <v>9.2999999999999989</v>
      </c>
      <c r="AG214">
        <f t="shared" si="7"/>
        <v>9.2624999999999993</v>
      </c>
    </row>
    <row r="215" spans="1:33" x14ac:dyDescent="0.25">
      <c r="A215" t="s">
        <v>1945</v>
      </c>
      <c r="B215" t="s">
        <v>1946</v>
      </c>
      <c r="C215" t="s">
        <v>1084</v>
      </c>
      <c r="D215" t="s">
        <v>105</v>
      </c>
      <c r="E215" t="s">
        <v>63</v>
      </c>
      <c r="F215" t="s">
        <v>929</v>
      </c>
      <c r="G215" t="s">
        <v>928</v>
      </c>
      <c r="H215" t="s">
        <v>1806</v>
      </c>
      <c r="I215" t="s">
        <v>1228</v>
      </c>
      <c r="J215" t="s">
        <v>989</v>
      </c>
      <c r="K215" t="s">
        <v>1158</v>
      </c>
      <c r="L215" t="s">
        <v>923</v>
      </c>
      <c r="M215" t="s">
        <v>924</v>
      </c>
      <c r="N215" t="s">
        <v>1619</v>
      </c>
      <c r="O215" t="s">
        <v>946</v>
      </c>
      <c r="P215" t="s">
        <v>1079</v>
      </c>
      <c r="Q215" t="s">
        <v>1352</v>
      </c>
      <c r="R215" t="s">
        <v>1184</v>
      </c>
      <c r="S215" t="s">
        <v>1220</v>
      </c>
      <c r="T215" t="s">
        <v>946</v>
      </c>
      <c r="U215" t="s">
        <v>1263</v>
      </c>
      <c r="V215" t="s">
        <v>991</v>
      </c>
      <c r="W215" t="s">
        <v>979</v>
      </c>
      <c r="X215" t="s">
        <v>1160</v>
      </c>
      <c r="Y215" t="s">
        <v>1030</v>
      </c>
      <c r="Z215" t="s">
        <v>1195</v>
      </c>
      <c r="AA215" t="s">
        <v>1119</v>
      </c>
      <c r="AB215" t="s">
        <v>922</v>
      </c>
      <c r="AC215" t="s">
        <v>1029</v>
      </c>
      <c r="AD215" t="s">
        <v>1207</v>
      </c>
      <c r="AE215" t="s">
        <v>927</v>
      </c>
      <c r="AF215">
        <f t="shared" si="6"/>
        <v>11.7</v>
      </c>
      <c r="AG215">
        <f t="shared" si="7"/>
        <v>11.774099999999997</v>
      </c>
    </row>
    <row r="216" spans="1:33" x14ac:dyDescent="0.25">
      <c r="A216" t="s">
        <v>1950</v>
      </c>
      <c r="B216" t="s">
        <v>1951</v>
      </c>
      <c r="C216" t="s">
        <v>902</v>
      </c>
      <c r="D216" t="s">
        <v>83</v>
      </c>
      <c r="E216" t="s">
        <v>56</v>
      </c>
      <c r="F216" t="s">
        <v>1410</v>
      </c>
      <c r="G216" t="s">
        <v>1032</v>
      </c>
      <c r="H216" t="s">
        <v>1237</v>
      </c>
      <c r="I216" t="s">
        <v>992</v>
      </c>
      <c r="J216" t="s">
        <v>959</v>
      </c>
      <c r="K216" t="s">
        <v>1478</v>
      </c>
      <c r="L216" t="s">
        <v>956</v>
      </c>
      <c r="M216" t="s">
        <v>1291</v>
      </c>
      <c r="N216" t="s">
        <v>1952</v>
      </c>
      <c r="O216" t="s">
        <v>922</v>
      </c>
      <c r="P216" t="s">
        <v>1155</v>
      </c>
      <c r="Q216" t="s">
        <v>1577</v>
      </c>
      <c r="R216" t="s">
        <v>1387</v>
      </c>
      <c r="S216" t="s">
        <v>1064</v>
      </c>
      <c r="T216" t="s">
        <v>1195</v>
      </c>
      <c r="U216" t="s">
        <v>1953</v>
      </c>
      <c r="V216" t="s">
        <v>1065</v>
      </c>
      <c r="W216" t="s">
        <v>1049</v>
      </c>
      <c r="X216" t="s">
        <v>924</v>
      </c>
      <c r="Y216" t="s">
        <v>1211</v>
      </c>
      <c r="Z216" t="s">
        <v>1195</v>
      </c>
      <c r="AA216" t="s">
        <v>1094</v>
      </c>
      <c r="AB216" t="s">
        <v>1310</v>
      </c>
      <c r="AC216" t="s">
        <v>1029</v>
      </c>
      <c r="AD216" t="s">
        <v>1038</v>
      </c>
      <c r="AE216" t="s">
        <v>927</v>
      </c>
      <c r="AF216">
        <f t="shared" si="6"/>
        <v>10.299999999999999</v>
      </c>
      <c r="AG216">
        <f t="shared" si="7"/>
        <v>10.3142</v>
      </c>
    </row>
    <row r="217" spans="1:33" x14ac:dyDescent="0.25">
      <c r="A217" t="s">
        <v>1954</v>
      </c>
      <c r="B217" t="s">
        <v>1955</v>
      </c>
      <c r="C217" t="s">
        <v>973</v>
      </c>
      <c r="D217" t="s">
        <v>1279</v>
      </c>
      <c r="E217" t="s">
        <v>72</v>
      </c>
      <c r="F217" t="s">
        <v>951</v>
      </c>
      <c r="G217" t="s">
        <v>1070</v>
      </c>
      <c r="H217" t="s">
        <v>1956</v>
      </c>
      <c r="I217" t="s">
        <v>1211</v>
      </c>
      <c r="J217" t="s">
        <v>1027</v>
      </c>
      <c r="K217" t="s">
        <v>1289</v>
      </c>
      <c r="L217" t="s">
        <v>1119</v>
      </c>
      <c r="M217" t="s">
        <v>1094</v>
      </c>
      <c r="N217" t="s">
        <v>1957</v>
      </c>
      <c r="O217" t="s">
        <v>1047</v>
      </c>
      <c r="P217" t="s">
        <v>1011</v>
      </c>
      <c r="Q217" t="s">
        <v>955</v>
      </c>
      <c r="R217" t="s">
        <v>1462</v>
      </c>
      <c r="S217" t="s">
        <v>1064</v>
      </c>
      <c r="T217" t="s">
        <v>925</v>
      </c>
      <c r="U217" t="s">
        <v>1235</v>
      </c>
      <c r="V217" t="s">
        <v>925</v>
      </c>
      <c r="W217" t="s">
        <v>1005</v>
      </c>
      <c r="X217" t="s">
        <v>988</v>
      </c>
      <c r="Y217" t="s">
        <v>925</v>
      </c>
      <c r="Z217" t="s">
        <v>918</v>
      </c>
      <c r="AA217" t="s">
        <v>1230</v>
      </c>
      <c r="AB217" t="s">
        <v>945</v>
      </c>
      <c r="AC217" t="s">
        <v>908</v>
      </c>
      <c r="AD217" t="s">
        <v>1038</v>
      </c>
      <c r="AE217" t="s">
        <v>927</v>
      </c>
      <c r="AF217">
        <f t="shared" si="6"/>
        <v>10.4</v>
      </c>
      <c r="AG217">
        <f t="shared" si="7"/>
        <v>10.3284</v>
      </c>
    </row>
    <row r="218" spans="1:33" x14ac:dyDescent="0.25">
      <c r="A218" t="s">
        <v>1958</v>
      </c>
      <c r="B218" t="s">
        <v>1959</v>
      </c>
      <c r="C218" t="s">
        <v>902</v>
      </c>
      <c r="D218" t="s">
        <v>83</v>
      </c>
      <c r="E218" t="s">
        <v>47</v>
      </c>
      <c r="F218" t="s">
        <v>1238</v>
      </c>
      <c r="G218" t="s">
        <v>1238</v>
      </c>
      <c r="H218" t="s">
        <v>1378</v>
      </c>
      <c r="I218" t="s">
        <v>1155</v>
      </c>
      <c r="J218" t="s">
        <v>1152</v>
      </c>
      <c r="K218" t="s">
        <v>1659</v>
      </c>
      <c r="L218" t="s">
        <v>1064</v>
      </c>
      <c r="M218" t="s">
        <v>992</v>
      </c>
      <c r="N218" t="s">
        <v>1960</v>
      </c>
      <c r="O218" t="s">
        <v>1220</v>
      </c>
      <c r="P218" t="s">
        <v>920</v>
      </c>
      <c r="Q218" t="s">
        <v>1022</v>
      </c>
      <c r="R218" t="s">
        <v>1131</v>
      </c>
      <c r="S218" t="s">
        <v>922</v>
      </c>
      <c r="T218" t="s">
        <v>956</v>
      </c>
      <c r="U218" t="s">
        <v>1326</v>
      </c>
      <c r="V218" t="s">
        <v>1064</v>
      </c>
      <c r="W218" t="s">
        <v>1104</v>
      </c>
      <c r="X218" t="s">
        <v>1160</v>
      </c>
      <c r="Y218" t="s">
        <v>970</v>
      </c>
      <c r="Z218" t="s">
        <v>1049</v>
      </c>
      <c r="AA218" t="s">
        <v>1065</v>
      </c>
      <c r="AB218" t="s">
        <v>968</v>
      </c>
      <c r="AC218" t="s">
        <v>970</v>
      </c>
      <c r="AD218" t="s">
        <v>1038</v>
      </c>
      <c r="AE218" t="s">
        <v>927</v>
      </c>
      <c r="AF218">
        <f t="shared" si="6"/>
        <v>10.399999999999999</v>
      </c>
      <c r="AG218">
        <f t="shared" si="7"/>
        <v>10.254800000000001</v>
      </c>
    </row>
    <row r="219" spans="1:33" x14ac:dyDescent="0.25">
      <c r="A219" t="s">
        <v>1961</v>
      </c>
      <c r="B219" t="s">
        <v>1962</v>
      </c>
      <c r="C219" t="s">
        <v>902</v>
      </c>
      <c r="D219" t="s">
        <v>1223</v>
      </c>
      <c r="E219" t="s">
        <v>63</v>
      </c>
      <c r="F219" t="s">
        <v>1051</v>
      </c>
      <c r="G219" t="s">
        <v>928</v>
      </c>
      <c r="H219" t="s">
        <v>1458</v>
      </c>
      <c r="I219" t="s">
        <v>1030</v>
      </c>
      <c r="J219" t="s">
        <v>1108</v>
      </c>
      <c r="K219" t="s">
        <v>1704</v>
      </c>
      <c r="L219" t="s">
        <v>925</v>
      </c>
      <c r="M219" t="s">
        <v>1079</v>
      </c>
      <c r="N219" t="s">
        <v>1909</v>
      </c>
      <c r="O219" t="s">
        <v>1310</v>
      </c>
      <c r="P219" t="s">
        <v>1048</v>
      </c>
      <c r="Q219" t="s">
        <v>1268</v>
      </c>
      <c r="R219" t="s">
        <v>1171</v>
      </c>
      <c r="S219" t="s">
        <v>987</v>
      </c>
      <c r="T219" t="s">
        <v>1195</v>
      </c>
      <c r="U219" t="s">
        <v>1842</v>
      </c>
      <c r="V219" t="s">
        <v>923</v>
      </c>
      <c r="W219" t="s">
        <v>947</v>
      </c>
      <c r="X219" t="s">
        <v>970</v>
      </c>
      <c r="Y219" t="s">
        <v>1104</v>
      </c>
      <c r="Z219" t="s">
        <v>945</v>
      </c>
      <c r="AA219" t="s">
        <v>1094</v>
      </c>
      <c r="AB219" t="s">
        <v>922</v>
      </c>
      <c r="AC219" t="s">
        <v>1135</v>
      </c>
      <c r="AD219" t="s">
        <v>1038</v>
      </c>
      <c r="AE219" t="s">
        <v>927</v>
      </c>
      <c r="AF219">
        <f t="shared" si="6"/>
        <v>10.400000000000002</v>
      </c>
      <c r="AG219">
        <f t="shared" si="7"/>
        <v>10.301499999999999</v>
      </c>
    </row>
    <row r="220" spans="1:33" x14ac:dyDescent="0.25">
      <c r="A220" t="s">
        <v>1963</v>
      </c>
      <c r="B220" t="s">
        <v>1964</v>
      </c>
      <c r="C220" t="s">
        <v>973</v>
      </c>
      <c r="D220" t="s">
        <v>48</v>
      </c>
      <c r="E220" t="s">
        <v>63</v>
      </c>
      <c r="F220" t="s">
        <v>1322</v>
      </c>
      <c r="G220" t="s">
        <v>1202</v>
      </c>
      <c r="H220" t="s">
        <v>1965</v>
      </c>
      <c r="I220" t="s">
        <v>979</v>
      </c>
      <c r="J220" t="s">
        <v>915</v>
      </c>
      <c r="K220" t="s">
        <v>1966</v>
      </c>
      <c r="L220" t="s">
        <v>1012</v>
      </c>
      <c r="M220" t="s">
        <v>1044</v>
      </c>
      <c r="N220" t="s">
        <v>1467</v>
      </c>
      <c r="O220" t="s">
        <v>918</v>
      </c>
      <c r="P220" t="s">
        <v>1029</v>
      </c>
      <c r="Q220" t="s">
        <v>1209</v>
      </c>
      <c r="R220" t="s">
        <v>1524</v>
      </c>
      <c r="S220" t="s">
        <v>969</v>
      </c>
      <c r="T220" t="s">
        <v>987</v>
      </c>
      <c r="U220" t="s">
        <v>1117</v>
      </c>
      <c r="V220" t="s">
        <v>969</v>
      </c>
      <c r="W220" t="s">
        <v>908</v>
      </c>
      <c r="X220" t="s">
        <v>1012</v>
      </c>
      <c r="Y220" t="s">
        <v>1029</v>
      </c>
      <c r="Z220" t="s">
        <v>969</v>
      </c>
      <c r="AA220" t="s">
        <v>1119</v>
      </c>
      <c r="AB220" t="s">
        <v>1065</v>
      </c>
      <c r="AC220" t="s">
        <v>1310</v>
      </c>
      <c r="AD220" t="s">
        <v>967</v>
      </c>
      <c r="AE220" t="s">
        <v>927</v>
      </c>
      <c r="AF220">
        <f t="shared" si="6"/>
        <v>10.200000000000001</v>
      </c>
      <c r="AG220">
        <f t="shared" si="7"/>
        <v>10.2004</v>
      </c>
    </row>
    <row r="221" spans="1:33" x14ac:dyDescent="0.25">
      <c r="A221" t="s">
        <v>1967</v>
      </c>
      <c r="B221" t="s">
        <v>62</v>
      </c>
      <c r="C221" t="s">
        <v>1015</v>
      </c>
      <c r="D221" t="s">
        <v>1069</v>
      </c>
      <c r="E221" t="s">
        <v>56</v>
      </c>
      <c r="F221" t="s">
        <v>1598</v>
      </c>
      <c r="G221" t="s">
        <v>1165</v>
      </c>
      <c r="H221" t="s">
        <v>1066</v>
      </c>
      <c r="I221" t="s">
        <v>1155</v>
      </c>
      <c r="J221" t="s">
        <v>1132</v>
      </c>
      <c r="K221" t="s">
        <v>1168</v>
      </c>
      <c r="L221" t="s">
        <v>956</v>
      </c>
      <c r="M221" t="s">
        <v>920</v>
      </c>
      <c r="N221" t="s">
        <v>1968</v>
      </c>
      <c r="O221" t="s">
        <v>922</v>
      </c>
      <c r="P221" t="s">
        <v>979</v>
      </c>
      <c r="Q221" t="s">
        <v>1476</v>
      </c>
      <c r="R221" t="s">
        <v>1218</v>
      </c>
      <c r="S221" t="s">
        <v>969</v>
      </c>
      <c r="T221" t="s">
        <v>1008</v>
      </c>
      <c r="U221" t="s">
        <v>1969</v>
      </c>
      <c r="V221" t="s">
        <v>1065</v>
      </c>
      <c r="W221" t="s">
        <v>1049</v>
      </c>
      <c r="X221" t="s">
        <v>924</v>
      </c>
      <c r="Y221" t="s">
        <v>1043</v>
      </c>
      <c r="Z221" t="s">
        <v>918</v>
      </c>
      <c r="AA221" t="s">
        <v>1119</v>
      </c>
      <c r="AB221" t="s">
        <v>1064</v>
      </c>
      <c r="AC221" t="s">
        <v>987</v>
      </c>
      <c r="AD221" t="s">
        <v>967</v>
      </c>
      <c r="AE221" t="s">
        <v>927</v>
      </c>
      <c r="AF221">
        <f t="shared" si="6"/>
        <v>10.199999999999999</v>
      </c>
      <c r="AG221">
        <f t="shared" si="7"/>
        <v>10.209299999999999</v>
      </c>
    </row>
    <row r="222" spans="1:33" x14ac:dyDescent="0.25">
      <c r="A222" t="s">
        <v>1970</v>
      </c>
      <c r="B222" t="s">
        <v>1971</v>
      </c>
      <c r="C222" t="s">
        <v>1084</v>
      </c>
      <c r="D222" t="s">
        <v>1279</v>
      </c>
      <c r="E222" t="s">
        <v>93</v>
      </c>
      <c r="F222" t="s">
        <v>1422</v>
      </c>
      <c r="G222" t="s">
        <v>1051</v>
      </c>
      <c r="H222" t="s">
        <v>1098</v>
      </c>
      <c r="I222" t="s">
        <v>1030</v>
      </c>
      <c r="J222" t="s">
        <v>1061</v>
      </c>
      <c r="K222" t="s">
        <v>1099</v>
      </c>
      <c r="L222" t="s">
        <v>1008</v>
      </c>
      <c r="M222" t="s">
        <v>956</v>
      </c>
      <c r="N222" t="s">
        <v>1828</v>
      </c>
      <c r="O222" t="s">
        <v>946</v>
      </c>
      <c r="P222" t="s">
        <v>1063</v>
      </c>
      <c r="Q222" t="s">
        <v>1090</v>
      </c>
      <c r="R222" t="s">
        <v>1436</v>
      </c>
      <c r="S222" t="s">
        <v>908</v>
      </c>
      <c r="T222" t="s">
        <v>1104</v>
      </c>
      <c r="U222" t="s">
        <v>1972</v>
      </c>
      <c r="V222" t="s">
        <v>987</v>
      </c>
      <c r="W222" t="s">
        <v>1104</v>
      </c>
      <c r="X222" t="s">
        <v>992</v>
      </c>
      <c r="Y222" t="s">
        <v>1012</v>
      </c>
      <c r="Z222" t="s">
        <v>969</v>
      </c>
      <c r="AA222" t="s">
        <v>1094</v>
      </c>
      <c r="AB222" t="s">
        <v>1049</v>
      </c>
      <c r="AC222" t="s">
        <v>925</v>
      </c>
      <c r="AD222" t="s">
        <v>967</v>
      </c>
      <c r="AE222" t="s">
        <v>927</v>
      </c>
      <c r="AF222">
        <f t="shared" si="6"/>
        <v>10.199999999999999</v>
      </c>
      <c r="AG222">
        <f t="shared" si="7"/>
        <v>10.2936</v>
      </c>
    </row>
    <row r="223" spans="1:33" x14ac:dyDescent="0.25">
      <c r="A223" t="s">
        <v>1973</v>
      </c>
      <c r="B223" t="s">
        <v>1974</v>
      </c>
      <c r="C223" t="s">
        <v>1084</v>
      </c>
      <c r="D223" t="s">
        <v>83</v>
      </c>
      <c r="E223" t="s">
        <v>47</v>
      </c>
      <c r="F223" t="s">
        <v>1162</v>
      </c>
      <c r="G223" t="s">
        <v>1051</v>
      </c>
      <c r="H223" t="s">
        <v>1975</v>
      </c>
      <c r="I223" t="s">
        <v>1155</v>
      </c>
      <c r="J223" t="s">
        <v>1011</v>
      </c>
      <c r="K223" t="s">
        <v>1976</v>
      </c>
      <c r="L223" t="s">
        <v>923</v>
      </c>
      <c r="M223" t="s">
        <v>946</v>
      </c>
      <c r="N223" t="s">
        <v>1977</v>
      </c>
      <c r="O223" t="s">
        <v>1104</v>
      </c>
      <c r="P223" t="s">
        <v>957</v>
      </c>
      <c r="Q223" t="s">
        <v>1813</v>
      </c>
      <c r="R223" t="s">
        <v>1442</v>
      </c>
      <c r="S223" t="s">
        <v>1029</v>
      </c>
      <c r="T223" t="s">
        <v>908</v>
      </c>
      <c r="U223" t="s">
        <v>1566</v>
      </c>
      <c r="V223" t="s">
        <v>918</v>
      </c>
      <c r="W223" t="s">
        <v>970</v>
      </c>
      <c r="X223" t="s">
        <v>919</v>
      </c>
      <c r="Y223" t="s">
        <v>918</v>
      </c>
      <c r="Z223" t="s">
        <v>1008</v>
      </c>
      <c r="AA223" t="s">
        <v>1008</v>
      </c>
      <c r="AB223" t="s">
        <v>918</v>
      </c>
      <c r="AC223" t="s">
        <v>908</v>
      </c>
      <c r="AD223" t="s">
        <v>1040</v>
      </c>
      <c r="AE223" t="s">
        <v>927</v>
      </c>
      <c r="AF223">
        <f t="shared" si="6"/>
        <v>10.199999999999999</v>
      </c>
      <c r="AG223">
        <f t="shared" si="7"/>
        <v>10.1265</v>
      </c>
    </row>
    <row r="224" spans="1:33" x14ac:dyDescent="0.25">
      <c r="A224" t="s">
        <v>1978</v>
      </c>
      <c r="B224" t="s">
        <v>109</v>
      </c>
      <c r="C224" t="s">
        <v>973</v>
      </c>
      <c r="D224" t="s">
        <v>48</v>
      </c>
      <c r="E224" t="s">
        <v>47</v>
      </c>
      <c r="F224" t="s">
        <v>1271</v>
      </c>
      <c r="G224" t="s">
        <v>1271</v>
      </c>
      <c r="H224" t="s">
        <v>1979</v>
      </c>
      <c r="I224" t="s">
        <v>992</v>
      </c>
      <c r="J224" t="s">
        <v>1132</v>
      </c>
      <c r="K224" t="s">
        <v>1718</v>
      </c>
      <c r="L224" t="s">
        <v>924</v>
      </c>
      <c r="M224" t="s">
        <v>1079</v>
      </c>
      <c r="N224" t="s">
        <v>1467</v>
      </c>
      <c r="O224" t="s">
        <v>945</v>
      </c>
      <c r="P224" t="s">
        <v>993</v>
      </c>
      <c r="Q224" t="s">
        <v>1629</v>
      </c>
      <c r="R224" t="s">
        <v>1374</v>
      </c>
      <c r="S224" t="s">
        <v>1065</v>
      </c>
      <c r="T224" t="s">
        <v>969</v>
      </c>
      <c r="U224" t="s">
        <v>1413</v>
      </c>
      <c r="V224" t="s">
        <v>1195</v>
      </c>
      <c r="W224" t="s">
        <v>964</v>
      </c>
      <c r="X224" t="s">
        <v>919</v>
      </c>
      <c r="Y224" t="s">
        <v>1029</v>
      </c>
      <c r="Z224" t="s">
        <v>1064</v>
      </c>
      <c r="AA224" t="s">
        <v>1065</v>
      </c>
      <c r="AB224" t="s">
        <v>1008</v>
      </c>
      <c r="AC224" t="s">
        <v>964</v>
      </c>
      <c r="AD224" t="s">
        <v>1040</v>
      </c>
      <c r="AE224" t="s">
        <v>927</v>
      </c>
      <c r="AF224">
        <f t="shared" si="6"/>
        <v>10.1</v>
      </c>
      <c r="AG224">
        <f t="shared" si="7"/>
        <v>10.1418</v>
      </c>
    </row>
    <row r="225" spans="1:33" x14ac:dyDescent="0.25">
      <c r="A225" t="s">
        <v>1980</v>
      </c>
      <c r="B225" t="s">
        <v>248</v>
      </c>
      <c r="C225" t="s">
        <v>1245</v>
      </c>
      <c r="D225" t="s">
        <v>108</v>
      </c>
      <c r="E225" t="s">
        <v>47</v>
      </c>
      <c r="F225" t="s">
        <v>1422</v>
      </c>
      <c r="G225" t="s">
        <v>902</v>
      </c>
      <c r="H225" t="s">
        <v>1095</v>
      </c>
      <c r="I225" t="s">
        <v>1160</v>
      </c>
      <c r="J225" t="s">
        <v>1152</v>
      </c>
      <c r="K225" t="s">
        <v>1665</v>
      </c>
      <c r="L225" t="s">
        <v>1029</v>
      </c>
      <c r="M225" t="s">
        <v>1170</v>
      </c>
      <c r="N225" t="s">
        <v>1475</v>
      </c>
      <c r="O225" t="s">
        <v>947</v>
      </c>
      <c r="P225" t="s">
        <v>1170</v>
      </c>
      <c r="Q225" t="s">
        <v>1370</v>
      </c>
      <c r="R225" t="s">
        <v>1193</v>
      </c>
      <c r="S225" t="s">
        <v>1008</v>
      </c>
      <c r="T225" t="s">
        <v>923</v>
      </c>
      <c r="U225" t="s">
        <v>1875</v>
      </c>
      <c r="V225" t="s">
        <v>923</v>
      </c>
      <c r="W225" t="s">
        <v>947</v>
      </c>
      <c r="X225" t="s">
        <v>1000</v>
      </c>
      <c r="Y225" t="s">
        <v>1029</v>
      </c>
      <c r="Z225" t="s">
        <v>923</v>
      </c>
      <c r="AA225" t="s">
        <v>991</v>
      </c>
      <c r="AB225" t="s">
        <v>1064</v>
      </c>
      <c r="AC225" t="s">
        <v>925</v>
      </c>
      <c r="AD225" t="s">
        <v>1040</v>
      </c>
      <c r="AE225" t="s">
        <v>927</v>
      </c>
      <c r="AF225">
        <f t="shared" si="6"/>
        <v>10.1</v>
      </c>
      <c r="AG225">
        <f t="shared" si="7"/>
        <v>10.0915</v>
      </c>
    </row>
    <row r="226" spans="1:33" x14ac:dyDescent="0.25">
      <c r="A226" t="s">
        <v>874</v>
      </c>
      <c r="B226" t="s">
        <v>171</v>
      </c>
      <c r="C226" t="s">
        <v>875</v>
      </c>
      <c r="D226" t="s">
        <v>172</v>
      </c>
      <c r="E226" t="s">
        <v>876</v>
      </c>
      <c r="F226" t="s">
        <v>392</v>
      </c>
      <c r="G226" t="s">
        <v>877</v>
      </c>
      <c r="H226" t="s">
        <v>878</v>
      </c>
      <c r="I226" t="s">
        <v>879</v>
      </c>
      <c r="J226" t="s">
        <v>880</v>
      </c>
      <c r="K226" t="s">
        <v>881</v>
      </c>
      <c r="L226" t="s">
        <v>882</v>
      </c>
      <c r="M226" t="s">
        <v>883</v>
      </c>
      <c r="N226" t="s">
        <v>884</v>
      </c>
      <c r="O226" t="s">
        <v>885</v>
      </c>
      <c r="P226" t="s">
        <v>886</v>
      </c>
      <c r="Q226" t="s">
        <v>887</v>
      </c>
      <c r="R226" t="s">
        <v>888</v>
      </c>
      <c r="S226" t="s">
        <v>889</v>
      </c>
      <c r="T226" t="s">
        <v>890</v>
      </c>
      <c r="U226" t="s">
        <v>891</v>
      </c>
      <c r="V226" t="s">
        <v>892</v>
      </c>
      <c r="W226" t="s">
        <v>893</v>
      </c>
      <c r="X226" t="s">
        <v>894</v>
      </c>
      <c r="Y226" t="s">
        <v>895</v>
      </c>
      <c r="Z226" t="s">
        <v>896</v>
      </c>
      <c r="AA226" t="s">
        <v>897</v>
      </c>
      <c r="AB226" t="s">
        <v>898</v>
      </c>
      <c r="AC226" t="s">
        <v>93</v>
      </c>
      <c r="AD226" t="s">
        <v>899</v>
      </c>
      <c r="AE226" t="s">
        <v>900</v>
      </c>
      <c r="AF226" t="e">
        <f t="shared" si="6"/>
        <v>#VALUE!</v>
      </c>
      <c r="AG226" t="e">
        <f t="shared" si="7"/>
        <v>#VALUE!</v>
      </c>
    </row>
    <row r="227" spans="1:33" x14ac:dyDescent="0.25">
      <c r="A227" t="s">
        <v>1981</v>
      </c>
      <c r="B227" t="s">
        <v>1982</v>
      </c>
      <c r="C227" t="s">
        <v>1293</v>
      </c>
      <c r="D227" t="s">
        <v>79</v>
      </c>
      <c r="E227" t="s">
        <v>47</v>
      </c>
      <c r="F227" t="s">
        <v>1285</v>
      </c>
      <c r="G227" t="s">
        <v>1480</v>
      </c>
      <c r="H227" t="s">
        <v>1254</v>
      </c>
      <c r="I227" t="s">
        <v>1228</v>
      </c>
      <c r="J227" t="s">
        <v>1009</v>
      </c>
      <c r="K227" t="s">
        <v>1239</v>
      </c>
      <c r="L227" t="s">
        <v>923</v>
      </c>
      <c r="M227" t="s">
        <v>1104</v>
      </c>
      <c r="N227" t="s">
        <v>1100</v>
      </c>
      <c r="O227" t="s">
        <v>1135</v>
      </c>
      <c r="P227" t="s">
        <v>1134</v>
      </c>
      <c r="Q227" t="s">
        <v>961</v>
      </c>
      <c r="R227" t="s">
        <v>1605</v>
      </c>
      <c r="S227" t="s">
        <v>1064</v>
      </c>
      <c r="T227" t="s">
        <v>1310</v>
      </c>
      <c r="U227" t="s">
        <v>1983</v>
      </c>
      <c r="V227" t="s">
        <v>945</v>
      </c>
      <c r="W227" t="s">
        <v>925</v>
      </c>
      <c r="X227" t="s">
        <v>1000</v>
      </c>
      <c r="Y227" t="s">
        <v>987</v>
      </c>
      <c r="Z227" t="s">
        <v>923</v>
      </c>
      <c r="AA227" t="s">
        <v>991</v>
      </c>
      <c r="AB227" t="s">
        <v>918</v>
      </c>
      <c r="AC227" t="s">
        <v>956</v>
      </c>
      <c r="AD227" t="s">
        <v>1040</v>
      </c>
      <c r="AE227" t="s">
        <v>927</v>
      </c>
      <c r="AF227">
        <f t="shared" si="6"/>
        <v>10.1</v>
      </c>
      <c r="AG227">
        <f t="shared" si="7"/>
        <v>10.0641</v>
      </c>
    </row>
    <row r="228" spans="1:33" x14ac:dyDescent="0.25">
      <c r="A228" t="s">
        <v>1984</v>
      </c>
      <c r="B228" t="s">
        <v>290</v>
      </c>
      <c r="C228" t="s">
        <v>995</v>
      </c>
      <c r="D228" t="s">
        <v>97</v>
      </c>
      <c r="E228" t="s">
        <v>47</v>
      </c>
      <c r="F228" t="s">
        <v>1501</v>
      </c>
      <c r="G228" t="s">
        <v>1444</v>
      </c>
      <c r="H228" t="s">
        <v>1985</v>
      </c>
      <c r="I228" t="s">
        <v>1081</v>
      </c>
      <c r="J228" t="s">
        <v>1011</v>
      </c>
      <c r="K228" t="s">
        <v>1261</v>
      </c>
      <c r="L228" t="s">
        <v>934</v>
      </c>
      <c r="M228" t="s">
        <v>987</v>
      </c>
      <c r="N228" t="s">
        <v>1986</v>
      </c>
      <c r="O228" t="s">
        <v>1228</v>
      </c>
      <c r="P228" t="s">
        <v>1023</v>
      </c>
      <c r="Q228" t="s">
        <v>1227</v>
      </c>
      <c r="R228" t="s">
        <v>1042</v>
      </c>
      <c r="S228" t="s">
        <v>1310</v>
      </c>
      <c r="T228" t="s">
        <v>924</v>
      </c>
      <c r="U228" t="s">
        <v>1987</v>
      </c>
      <c r="V228" t="s">
        <v>1049</v>
      </c>
      <c r="W228" t="s">
        <v>970</v>
      </c>
      <c r="X228" t="s">
        <v>1005</v>
      </c>
      <c r="Y228" t="s">
        <v>947</v>
      </c>
      <c r="Z228" t="s">
        <v>922</v>
      </c>
      <c r="AA228" t="s">
        <v>1008</v>
      </c>
      <c r="AB228" t="s">
        <v>1230</v>
      </c>
      <c r="AC228" t="s">
        <v>1104</v>
      </c>
      <c r="AD228" t="s">
        <v>1040</v>
      </c>
      <c r="AE228" t="s">
        <v>927</v>
      </c>
      <c r="AF228">
        <f t="shared" si="6"/>
        <v>10.1</v>
      </c>
      <c r="AG228">
        <f t="shared" si="7"/>
        <v>10.083999999999998</v>
      </c>
    </row>
    <row r="229" spans="1:33" x14ac:dyDescent="0.25">
      <c r="A229" t="s">
        <v>1988</v>
      </c>
      <c r="B229" t="s">
        <v>1989</v>
      </c>
      <c r="C229" t="s">
        <v>1204</v>
      </c>
      <c r="D229" t="s">
        <v>163</v>
      </c>
      <c r="E229" t="s">
        <v>93</v>
      </c>
      <c r="F229" t="s">
        <v>975</v>
      </c>
      <c r="G229" t="s">
        <v>1717</v>
      </c>
      <c r="H229" t="s">
        <v>1579</v>
      </c>
      <c r="I229" t="s">
        <v>992</v>
      </c>
      <c r="J229" t="s">
        <v>988</v>
      </c>
      <c r="K229" t="s">
        <v>1299</v>
      </c>
      <c r="L229" t="s">
        <v>1230</v>
      </c>
      <c r="M229" t="s">
        <v>1160</v>
      </c>
      <c r="N229" t="s">
        <v>1475</v>
      </c>
      <c r="O229" t="s">
        <v>925</v>
      </c>
      <c r="P229" t="s">
        <v>979</v>
      </c>
      <c r="Q229" t="s">
        <v>1990</v>
      </c>
      <c r="R229" t="s">
        <v>1251</v>
      </c>
      <c r="S229" t="s">
        <v>1230</v>
      </c>
      <c r="T229" t="s">
        <v>922</v>
      </c>
      <c r="U229" t="s">
        <v>986</v>
      </c>
      <c r="V229" t="s">
        <v>1230</v>
      </c>
      <c r="W229" t="s">
        <v>946</v>
      </c>
      <c r="X229" t="s">
        <v>1047</v>
      </c>
      <c r="Y229" t="s">
        <v>1008</v>
      </c>
      <c r="Z229" t="s">
        <v>1065</v>
      </c>
      <c r="AA229" t="s">
        <v>1065</v>
      </c>
      <c r="AB229" t="s">
        <v>969</v>
      </c>
      <c r="AC229" t="s">
        <v>1230</v>
      </c>
      <c r="AD229" t="s">
        <v>1450</v>
      </c>
      <c r="AE229" t="s">
        <v>927</v>
      </c>
      <c r="AF229">
        <f t="shared" si="6"/>
        <v>10</v>
      </c>
      <c r="AG229">
        <f t="shared" si="7"/>
        <v>10.0075</v>
      </c>
    </row>
    <row r="230" spans="1:33" x14ac:dyDescent="0.25">
      <c r="A230" t="s">
        <v>1991</v>
      </c>
      <c r="B230" t="s">
        <v>376</v>
      </c>
      <c r="C230" t="s">
        <v>973</v>
      </c>
      <c r="D230" t="s">
        <v>170</v>
      </c>
      <c r="E230" t="s">
        <v>63</v>
      </c>
      <c r="F230" t="s">
        <v>1107</v>
      </c>
      <c r="G230" t="s">
        <v>1107</v>
      </c>
      <c r="H230" t="s">
        <v>1992</v>
      </c>
      <c r="I230" t="s">
        <v>1155</v>
      </c>
      <c r="J230" t="s">
        <v>1010</v>
      </c>
      <c r="K230" t="s">
        <v>1555</v>
      </c>
      <c r="L230" t="s">
        <v>987</v>
      </c>
      <c r="M230" t="s">
        <v>1220</v>
      </c>
      <c r="N230" t="s">
        <v>1993</v>
      </c>
      <c r="O230" t="s">
        <v>1135</v>
      </c>
      <c r="P230" t="s">
        <v>1092</v>
      </c>
      <c r="Q230" t="s">
        <v>1307</v>
      </c>
      <c r="R230" t="s">
        <v>1283</v>
      </c>
      <c r="S230" t="s">
        <v>922</v>
      </c>
      <c r="T230" t="s">
        <v>908</v>
      </c>
      <c r="U230" t="s">
        <v>1994</v>
      </c>
      <c r="V230" t="s">
        <v>1065</v>
      </c>
      <c r="W230" t="s">
        <v>1104</v>
      </c>
      <c r="X230" t="s">
        <v>970</v>
      </c>
      <c r="Y230" t="s">
        <v>920</v>
      </c>
      <c r="Z230" t="s">
        <v>945</v>
      </c>
      <c r="AA230" t="s">
        <v>934</v>
      </c>
      <c r="AB230" t="s">
        <v>922</v>
      </c>
      <c r="AC230" t="s">
        <v>947</v>
      </c>
      <c r="AD230" t="s">
        <v>1450</v>
      </c>
      <c r="AE230" t="s">
        <v>927</v>
      </c>
      <c r="AF230">
        <f t="shared" si="6"/>
        <v>10.1</v>
      </c>
      <c r="AG230">
        <f t="shared" si="7"/>
        <v>10.0501</v>
      </c>
    </row>
    <row r="231" spans="1:33" x14ac:dyDescent="0.25">
      <c r="A231" t="s">
        <v>1995</v>
      </c>
      <c r="B231" t="s">
        <v>1996</v>
      </c>
      <c r="C231" t="s">
        <v>1032</v>
      </c>
      <c r="D231" t="s">
        <v>1279</v>
      </c>
      <c r="E231" t="s">
        <v>47</v>
      </c>
      <c r="F231" t="s">
        <v>1349</v>
      </c>
      <c r="G231" t="s">
        <v>1312</v>
      </c>
      <c r="H231" t="s">
        <v>1231</v>
      </c>
      <c r="I231" t="s">
        <v>1000</v>
      </c>
      <c r="J231" t="s">
        <v>1010</v>
      </c>
      <c r="K231" t="s">
        <v>1467</v>
      </c>
      <c r="L231" t="s">
        <v>1029</v>
      </c>
      <c r="M231" t="s">
        <v>1134</v>
      </c>
      <c r="N231" t="s">
        <v>1997</v>
      </c>
      <c r="O231" t="s">
        <v>968</v>
      </c>
      <c r="P231" t="s">
        <v>979</v>
      </c>
      <c r="Q231" t="s">
        <v>1130</v>
      </c>
      <c r="R231" t="s">
        <v>1091</v>
      </c>
      <c r="S231" t="s">
        <v>1029</v>
      </c>
      <c r="T231" t="s">
        <v>956</v>
      </c>
      <c r="U231" t="s">
        <v>1117</v>
      </c>
      <c r="V231" t="s">
        <v>923</v>
      </c>
      <c r="W231" t="s">
        <v>992</v>
      </c>
      <c r="X231" t="s">
        <v>1211</v>
      </c>
      <c r="Y231" t="s">
        <v>1195</v>
      </c>
      <c r="Z231" t="s">
        <v>923</v>
      </c>
      <c r="AA231" t="s">
        <v>991</v>
      </c>
      <c r="AB231" t="s">
        <v>1064</v>
      </c>
      <c r="AC231" t="s">
        <v>924</v>
      </c>
      <c r="AD231" t="s">
        <v>1450</v>
      </c>
      <c r="AE231" t="s">
        <v>927</v>
      </c>
      <c r="AF231">
        <f t="shared" si="6"/>
        <v>10</v>
      </c>
      <c r="AG231">
        <f t="shared" si="7"/>
        <v>10.115400000000001</v>
      </c>
    </row>
    <row r="232" spans="1:33" x14ac:dyDescent="0.25">
      <c r="A232" t="s">
        <v>1998</v>
      </c>
      <c r="B232" t="s">
        <v>202</v>
      </c>
      <c r="C232" t="s">
        <v>902</v>
      </c>
      <c r="D232" t="s">
        <v>974</v>
      </c>
      <c r="E232" t="s">
        <v>63</v>
      </c>
      <c r="F232" t="s">
        <v>1377</v>
      </c>
      <c r="G232" t="s">
        <v>1176</v>
      </c>
      <c r="H232" t="s">
        <v>1254</v>
      </c>
      <c r="I232" t="s">
        <v>1030</v>
      </c>
      <c r="J232" t="s">
        <v>916</v>
      </c>
      <c r="K232" t="s">
        <v>1941</v>
      </c>
      <c r="L232" t="s">
        <v>1049</v>
      </c>
      <c r="M232" t="s">
        <v>909</v>
      </c>
      <c r="N232" t="s">
        <v>1835</v>
      </c>
      <c r="O232" t="s">
        <v>968</v>
      </c>
      <c r="P232" t="s">
        <v>946</v>
      </c>
      <c r="Q232" t="s">
        <v>1532</v>
      </c>
      <c r="R232" t="s">
        <v>1261</v>
      </c>
      <c r="S232" t="s">
        <v>1065</v>
      </c>
      <c r="T232" t="s">
        <v>1008</v>
      </c>
      <c r="U232" t="s">
        <v>1999</v>
      </c>
      <c r="V232" t="s">
        <v>991</v>
      </c>
      <c r="W232" t="s">
        <v>993</v>
      </c>
      <c r="X232" t="s">
        <v>1135</v>
      </c>
      <c r="Y232" t="s">
        <v>947</v>
      </c>
      <c r="Z232" t="s">
        <v>923</v>
      </c>
      <c r="AA232" t="s">
        <v>1094</v>
      </c>
      <c r="AB232" t="s">
        <v>923</v>
      </c>
      <c r="AC232" t="s">
        <v>968</v>
      </c>
      <c r="AD232" t="s">
        <v>965</v>
      </c>
      <c r="AE232" t="s">
        <v>927</v>
      </c>
      <c r="AF232">
        <f t="shared" si="6"/>
        <v>9.8000000000000007</v>
      </c>
      <c r="AG232">
        <f t="shared" si="7"/>
        <v>9.9190000000000005</v>
      </c>
    </row>
    <row r="233" spans="1:33" x14ac:dyDescent="0.25">
      <c r="A233" t="s">
        <v>1998</v>
      </c>
      <c r="B233" t="s">
        <v>202</v>
      </c>
      <c r="C233" t="s">
        <v>902</v>
      </c>
      <c r="D233" t="s">
        <v>121</v>
      </c>
      <c r="E233" t="s">
        <v>63</v>
      </c>
      <c r="F233" t="s">
        <v>1414</v>
      </c>
      <c r="G233" t="s">
        <v>1175</v>
      </c>
      <c r="H233" t="s">
        <v>2000</v>
      </c>
      <c r="I233" t="s">
        <v>1135</v>
      </c>
      <c r="J233" t="s">
        <v>1026</v>
      </c>
      <c r="K233" t="s">
        <v>1767</v>
      </c>
      <c r="L233" t="s">
        <v>1230</v>
      </c>
      <c r="M233" t="s">
        <v>1134</v>
      </c>
      <c r="N233" t="s">
        <v>1763</v>
      </c>
      <c r="O233" t="s">
        <v>1310</v>
      </c>
      <c r="P233" t="s">
        <v>924</v>
      </c>
      <c r="Q233" t="s">
        <v>2001</v>
      </c>
      <c r="R233" t="s">
        <v>1235</v>
      </c>
      <c r="S233" t="s">
        <v>1065</v>
      </c>
      <c r="T233" t="s">
        <v>1008</v>
      </c>
      <c r="U233" t="s">
        <v>1999</v>
      </c>
      <c r="V233" t="s">
        <v>991</v>
      </c>
      <c r="W233" t="s">
        <v>947</v>
      </c>
      <c r="X233" t="s">
        <v>1104</v>
      </c>
      <c r="Y233" t="s">
        <v>922</v>
      </c>
      <c r="Z233" t="s">
        <v>987</v>
      </c>
      <c r="AA233" t="s">
        <v>991</v>
      </c>
      <c r="AB233" t="s">
        <v>918</v>
      </c>
      <c r="AC233" t="s">
        <v>1029</v>
      </c>
      <c r="AD233" t="s">
        <v>915</v>
      </c>
      <c r="AE233" t="s">
        <v>927</v>
      </c>
      <c r="AF233">
        <f t="shared" si="6"/>
        <v>7.8999999999999995</v>
      </c>
      <c r="AG233">
        <f t="shared" si="7"/>
        <v>7.8677999999999999</v>
      </c>
    </row>
    <row r="234" spans="1:33" x14ac:dyDescent="0.25">
      <c r="A234" t="s">
        <v>1998</v>
      </c>
      <c r="B234" t="s">
        <v>202</v>
      </c>
      <c r="C234" t="s">
        <v>902</v>
      </c>
      <c r="D234" t="s">
        <v>131</v>
      </c>
      <c r="E234" t="s">
        <v>63</v>
      </c>
      <c r="F234" t="s">
        <v>902</v>
      </c>
      <c r="G234" t="s">
        <v>1202</v>
      </c>
      <c r="H234" t="s">
        <v>1591</v>
      </c>
      <c r="I234" t="s">
        <v>920</v>
      </c>
      <c r="J234" t="s">
        <v>905</v>
      </c>
      <c r="K234" t="s">
        <v>1577</v>
      </c>
      <c r="L234" t="s">
        <v>1220</v>
      </c>
      <c r="M234" t="s">
        <v>1026</v>
      </c>
      <c r="N234" t="s">
        <v>1169</v>
      </c>
      <c r="O234" t="s">
        <v>947</v>
      </c>
      <c r="P234" t="s">
        <v>1081</v>
      </c>
      <c r="Q234" t="s">
        <v>1193</v>
      </c>
      <c r="R234" t="s">
        <v>1837</v>
      </c>
      <c r="S234" t="s">
        <v>969</v>
      </c>
      <c r="T234" t="s">
        <v>987</v>
      </c>
      <c r="U234" t="s">
        <v>1999</v>
      </c>
      <c r="V234" t="s">
        <v>991</v>
      </c>
      <c r="W234" t="s">
        <v>1104</v>
      </c>
      <c r="X234" t="s">
        <v>970</v>
      </c>
      <c r="Y234" t="s">
        <v>1048</v>
      </c>
      <c r="Z234" t="s">
        <v>945</v>
      </c>
      <c r="AA234" t="s">
        <v>1094</v>
      </c>
      <c r="AB234" t="s">
        <v>945</v>
      </c>
      <c r="AC234" t="s">
        <v>956</v>
      </c>
      <c r="AD234" t="s">
        <v>1752</v>
      </c>
      <c r="AE234" t="s">
        <v>927</v>
      </c>
      <c r="AF234">
        <f t="shared" si="6"/>
        <v>13.3</v>
      </c>
      <c r="AG234">
        <f t="shared" si="7"/>
        <v>13.17</v>
      </c>
    </row>
    <row r="235" spans="1:33" x14ac:dyDescent="0.25">
      <c r="A235" t="s">
        <v>2002</v>
      </c>
      <c r="B235" t="s">
        <v>298</v>
      </c>
      <c r="C235" t="s">
        <v>1176</v>
      </c>
      <c r="D235" t="s">
        <v>974</v>
      </c>
      <c r="E235" t="s">
        <v>93</v>
      </c>
      <c r="F235" t="s">
        <v>1033</v>
      </c>
      <c r="G235" t="s">
        <v>949</v>
      </c>
      <c r="H235" t="s">
        <v>1389</v>
      </c>
      <c r="I235" t="s">
        <v>992</v>
      </c>
      <c r="J235" t="s">
        <v>1011</v>
      </c>
      <c r="K235" t="s">
        <v>1141</v>
      </c>
      <c r="L235" t="s">
        <v>908</v>
      </c>
      <c r="M235" t="s">
        <v>962</v>
      </c>
      <c r="N235" t="s">
        <v>1538</v>
      </c>
      <c r="O235" t="s">
        <v>1310</v>
      </c>
      <c r="P235" t="s">
        <v>1220</v>
      </c>
      <c r="Q235" t="s">
        <v>914</v>
      </c>
      <c r="R235" t="s">
        <v>1856</v>
      </c>
      <c r="S235" t="s">
        <v>969</v>
      </c>
      <c r="T235" t="s">
        <v>1008</v>
      </c>
      <c r="U235" t="s">
        <v>2003</v>
      </c>
      <c r="V235" t="s">
        <v>969</v>
      </c>
      <c r="W235" t="s">
        <v>1104</v>
      </c>
      <c r="X235" t="s">
        <v>1000</v>
      </c>
      <c r="Y235" t="s">
        <v>1230</v>
      </c>
      <c r="Z235" t="s">
        <v>991</v>
      </c>
      <c r="AA235" t="s">
        <v>934</v>
      </c>
      <c r="AB235" t="s">
        <v>923</v>
      </c>
      <c r="AC235" t="s">
        <v>993</v>
      </c>
      <c r="AD235" t="s">
        <v>965</v>
      </c>
      <c r="AE235" t="s">
        <v>927</v>
      </c>
      <c r="AF235">
        <f t="shared" si="6"/>
        <v>9.9</v>
      </c>
      <c r="AG235">
        <f t="shared" si="7"/>
        <v>9.8475000000000001</v>
      </c>
    </row>
    <row r="236" spans="1:33" x14ac:dyDescent="0.25">
      <c r="A236" t="s">
        <v>2002</v>
      </c>
      <c r="B236" t="s">
        <v>298</v>
      </c>
      <c r="C236" t="s">
        <v>1176</v>
      </c>
      <c r="D236" t="s">
        <v>85</v>
      </c>
      <c r="E236" t="s">
        <v>93</v>
      </c>
      <c r="F236" t="s">
        <v>1177</v>
      </c>
      <c r="G236" t="s">
        <v>901</v>
      </c>
      <c r="H236" t="s">
        <v>1430</v>
      </c>
      <c r="I236" t="s">
        <v>970</v>
      </c>
      <c r="J236" t="s">
        <v>1172</v>
      </c>
      <c r="K236" t="s">
        <v>1358</v>
      </c>
      <c r="L236" t="s">
        <v>968</v>
      </c>
      <c r="M236" t="s">
        <v>1103</v>
      </c>
      <c r="N236" t="s">
        <v>1719</v>
      </c>
      <c r="O236" t="s">
        <v>1310</v>
      </c>
      <c r="P236" t="s">
        <v>924</v>
      </c>
      <c r="Q236" t="s">
        <v>1740</v>
      </c>
      <c r="R236" t="s">
        <v>1807</v>
      </c>
      <c r="S236" t="s">
        <v>1065</v>
      </c>
      <c r="T236" t="s">
        <v>969</v>
      </c>
      <c r="U236" t="s">
        <v>2003</v>
      </c>
      <c r="V236" t="s">
        <v>1008</v>
      </c>
      <c r="W236" t="s">
        <v>1135</v>
      </c>
      <c r="X236" t="s">
        <v>1030</v>
      </c>
      <c r="Y236" t="s">
        <v>1195</v>
      </c>
      <c r="Z236" t="s">
        <v>1094</v>
      </c>
      <c r="AA236" t="s">
        <v>1119</v>
      </c>
      <c r="AB236" t="s">
        <v>918</v>
      </c>
      <c r="AC236" t="s">
        <v>993</v>
      </c>
      <c r="AD236" t="s">
        <v>1062</v>
      </c>
      <c r="AE236" t="s">
        <v>927</v>
      </c>
      <c r="AF236">
        <f t="shared" si="6"/>
        <v>8.9</v>
      </c>
      <c r="AG236">
        <f t="shared" si="7"/>
        <v>8.7222000000000008</v>
      </c>
    </row>
    <row r="237" spans="1:33" x14ac:dyDescent="0.25">
      <c r="A237" t="s">
        <v>2002</v>
      </c>
      <c r="B237" t="s">
        <v>298</v>
      </c>
      <c r="C237" t="s">
        <v>1176</v>
      </c>
      <c r="D237" t="s">
        <v>111</v>
      </c>
      <c r="E237" t="s">
        <v>93</v>
      </c>
      <c r="F237" t="s">
        <v>1015</v>
      </c>
      <c r="G237" t="s">
        <v>928</v>
      </c>
      <c r="H237" t="s">
        <v>2004</v>
      </c>
      <c r="I237" t="s">
        <v>1170</v>
      </c>
      <c r="J237" t="s">
        <v>943</v>
      </c>
      <c r="K237" t="s">
        <v>1840</v>
      </c>
      <c r="L237" t="s">
        <v>1220</v>
      </c>
      <c r="M237" t="s">
        <v>1006</v>
      </c>
      <c r="N237" t="s">
        <v>1767</v>
      </c>
      <c r="O237" t="s">
        <v>1029</v>
      </c>
      <c r="P237" t="s">
        <v>946</v>
      </c>
      <c r="Q237" t="s">
        <v>1131</v>
      </c>
      <c r="R237" t="s">
        <v>1520</v>
      </c>
      <c r="S237" t="s">
        <v>987</v>
      </c>
      <c r="T237" t="s">
        <v>923</v>
      </c>
      <c r="U237" t="s">
        <v>2003</v>
      </c>
      <c r="V237" t="s">
        <v>1065</v>
      </c>
      <c r="W237" t="s">
        <v>993</v>
      </c>
      <c r="X237" t="s">
        <v>1135</v>
      </c>
      <c r="Y237" t="s">
        <v>1029</v>
      </c>
      <c r="Z237" t="s">
        <v>991</v>
      </c>
      <c r="AA237" t="s">
        <v>1094</v>
      </c>
      <c r="AB237" t="s">
        <v>945</v>
      </c>
      <c r="AC237" t="s">
        <v>1012</v>
      </c>
      <c r="AD237" t="s">
        <v>1076</v>
      </c>
      <c r="AE237" t="s">
        <v>927</v>
      </c>
      <c r="AF237">
        <f t="shared" si="6"/>
        <v>12.100000000000001</v>
      </c>
      <c r="AG237">
        <f t="shared" si="7"/>
        <v>12.070399999999998</v>
      </c>
    </row>
    <row r="238" spans="1:33" x14ac:dyDescent="0.25">
      <c r="A238" t="s">
        <v>2005</v>
      </c>
      <c r="B238" t="s">
        <v>2006</v>
      </c>
      <c r="C238" t="s">
        <v>1032</v>
      </c>
      <c r="D238" t="s">
        <v>70</v>
      </c>
      <c r="E238" t="s">
        <v>47</v>
      </c>
      <c r="F238" t="s">
        <v>1416</v>
      </c>
      <c r="G238" t="s">
        <v>950</v>
      </c>
      <c r="H238" t="s">
        <v>1914</v>
      </c>
      <c r="I238" t="s">
        <v>1000</v>
      </c>
      <c r="J238" t="s">
        <v>1027</v>
      </c>
      <c r="K238" t="s">
        <v>1797</v>
      </c>
      <c r="L238" t="s">
        <v>925</v>
      </c>
      <c r="M238" t="s">
        <v>1126</v>
      </c>
      <c r="N238" t="s">
        <v>1909</v>
      </c>
      <c r="O238" t="s">
        <v>945</v>
      </c>
      <c r="P238" t="s">
        <v>947</v>
      </c>
      <c r="Q238" t="s">
        <v>1022</v>
      </c>
      <c r="R238" t="s">
        <v>1209</v>
      </c>
      <c r="S238" t="s">
        <v>923</v>
      </c>
      <c r="T238" t="s">
        <v>1064</v>
      </c>
      <c r="U238" t="s">
        <v>2007</v>
      </c>
      <c r="V238" t="s">
        <v>987</v>
      </c>
      <c r="W238" t="s">
        <v>946</v>
      </c>
      <c r="X238" t="s">
        <v>1160</v>
      </c>
      <c r="Y238" t="s">
        <v>1230</v>
      </c>
      <c r="Z238" t="s">
        <v>1008</v>
      </c>
      <c r="AA238" t="s">
        <v>991</v>
      </c>
      <c r="AB238" t="s">
        <v>918</v>
      </c>
      <c r="AC238" t="s">
        <v>1230</v>
      </c>
      <c r="AD238" t="s">
        <v>965</v>
      </c>
      <c r="AE238" t="s">
        <v>927</v>
      </c>
      <c r="AF238">
        <f t="shared" si="6"/>
        <v>10</v>
      </c>
      <c r="AG238">
        <f t="shared" si="7"/>
        <v>9.8931000000000004</v>
      </c>
    </row>
    <row r="239" spans="1:33" x14ac:dyDescent="0.25">
      <c r="A239" t="s">
        <v>2008</v>
      </c>
      <c r="B239" t="s">
        <v>350</v>
      </c>
      <c r="C239" t="s">
        <v>1084</v>
      </c>
      <c r="D239" t="s">
        <v>156</v>
      </c>
      <c r="E239" t="s">
        <v>56</v>
      </c>
      <c r="F239" t="s">
        <v>1033</v>
      </c>
      <c r="G239" t="s">
        <v>1245</v>
      </c>
      <c r="H239" t="s">
        <v>1153</v>
      </c>
      <c r="I239" t="s">
        <v>992</v>
      </c>
      <c r="J239" t="s">
        <v>1028</v>
      </c>
      <c r="K239" t="s">
        <v>1537</v>
      </c>
      <c r="L239" t="s">
        <v>1064</v>
      </c>
      <c r="M239" t="s">
        <v>1104</v>
      </c>
      <c r="N239" t="s">
        <v>1225</v>
      </c>
      <c r="O239" t="s">
        <v>993</v>
      </c>
      <c r="P239" t="s">
        <v>957</v>
      </c>
      <c r="Q239" t="s">
        <v>1171</v>
      </c>
      <c r="R239" t="s">
        <v>1184</v>
      </c>
      <c r="S239" t="s">
        <v>1310</v>
      </c>
      <c r="T239" t="s">
        <v>925</v>
      </c>
      <c r="U239" t="s">
        <v>2009</v>
      </c>
      <c r="V239" t="s">
        <v>987</v>
      </c>
      <c r="W239" t="s">
        <v>993</v>
      </c>
      <c r="X239" t="s">
        <v>970</v>
      </c>
      <c r="Y239" t="s">
        <v>1103</v>
      </c>
      <c r="Z239" t="s">
        <v>1195</v>
      </c>
      <c r="AA239" t="s">
        <v>991</v>
      </c>
      <c r="AB239" t="s">
        <v>922</v>
      </c>
      <c r="AC239" t="s">
        <v>1012</v>
      </c>
      <c r="AD239" t="s">
        <v>965</v>
      </c>
      <c r="AE239" t="s">
        <v>927</v>
      </c>
      <c r="AF239">
        <f t="shared" si="6"/>
        <v>9.8000000000000007</v>
      </c>
      <c r="AG239">
        <f t="shared" si="7"/>
        <v>9.8666</v>
      </c>
    </row>
    <row r="240" spans="1:33" x14ac:dyDescent="0.25">
      <c r="A240" t="s">
        <v>2010</v>
      </c>
      <c r="B240" t="s">
        <v>2011</v>
      </c>
      <c r="C240" t="s">
        <v>1238</v>
      </c>
      <c r="D240" t="s">
        <v>1149</v>
      </c>
      <c r="E240" t="s">
        <v>63</v>
      </c>
      <c r="F240" t="s">
        <v>1255</v>
      </c>
      <c r="G240" t="s">
        <v>1293</v>
      </c>
      <c r="H240" t="s">
        <v>1347</v>
      </c>
      <c r="I240" t="s">
        <v>1030</v>
      </c>
      <c r="J240" t="s">
        <v>1072</v>
      </c>
      <c r="K240" t="s">
        <v>1595</v>
      </c>
      <c r="L240" t="s">
        <v>922</v>
      </c>
      <c r="M240" t="s">
        <v>1005</v>
      </c>
      <c r="N240" t="s">
        <v>1267</v>
      </c>
      <c r="O240" t="s">
        <v>956</v>
      </c>
      <c r="P240" t="s">
        <v>1103</v>
      </c>
      <c r="Q240" t="s">
        <v>978</v>
      </c>
      <c r="R240" t="s">
        <v>1420</v>
      </c>
      <c r="S240" t="s">
        <v>1008</v>
      </c>
      <c r="T240" t="s">
        <v>987</v>
      </c>
      <c r="U240" t="s">
        <v>2012</v>
      </c>
      <c r="V240" t="s">
        <v>934</v>
      </c>
      <c r="W240" t="s">
        <v>1049</v>
      </c>
      <c r="X240" t="s">
        <v>908</v>
      </c>
      <c r="Y240" t="s">
        <v>924</v>
      </c>
      <c r="Z240" t="s">
        <v>1094</v>
      </c>
      <c r="AA240" t="s">
        <v>1119</v>
      </c>
      <c r="AB240" t="s">
        <v>1230</v>
      </c>
      <c r="AC240" t="s">
        <v>1195</v>
      </c>
      <c r="AD240" t="s">
        <v>965</v>
      </c>
      <c r="AE240" t="s">
        <v>927</v>
      </c>
      <c r="AF240">
        <f t="shared" si="6"/>
        <v>9.7999999999999989</v>
      </c>
      <c r="AG240">
        <f t="shared" si="7"/>
        <v>9.91</v>
      </c>
    </row>
    <row r="241" spans="1:33" x14ac:dyDescent="0.25">
      <c r="A241" t="s">
        <v>2013</v>
      </c>
      <c r="B241" t="s">
        <v>2014</v>
      </c>
      <c r="C241" t="s">
        <v>1232</v>
      </c>
      <c r="D241" t="s">
        <v>77</v>
      </c>
      <c r="E241" t="s">
        <v>56</v>
      </c>
      <c r="F241" t="s">
        <v>1416</v>
      </c>
      <c r="G241" t="s">
        <v>1489</v>
      </c>
      <c r="H241" t="s">
        <v>1591</v>
      </c>
      <c r="I241" t="s">
        <v>1030</v>
      </c>
      <c r="J241" t="s">
        <v>1035</v>
      </c>
      <c r="K241" t="s">
        <v>1206</v>
      </c>
      <c r="L241" t="s">
        <v>922</v>
      </c>
      <c r="M241" t="s">
        <v>920</v>
      </c>
      <c r="N241" t="s">
        <v>1156</v>
      </c>
      <c r="O241" t="s">
        <v>956</v>
      </c>
      <c r="P241" t="s">
        <v>1081</v>
      </c>
      <c r="Q241" t="s">
        <v>1426</v>
      </c>
      <c r="R241" t="s">
        <v>1021</v>
      </c>
      <c r="S241" t="s">
        <v>987</v>
      </c>
      <c r="T241" t="s">
        <v>923</v>
      </c>
      <c r="U241" t="s">
        <v>2015</v>
      </c>
      <c r="V241" t="s">
        <v>991</v>
      </c>
      <c r="W241" t="s">
        <v>1155</v>
      </c>
      <c r="X241" t="s">
        <v>1081</v>
      </c>
      <c r="Y241" t="s">
        <v>1103</v>
      </c>
      <c r="Z241" t="s">
        <v>1008</v>
      </c>
      <c r="AA241" t="s">
        <v>1094</v>
      </c>
      <c r="AB241" t="s">
        <v>922</v>
      </c>
      <c r="AC241" t="s">
        <v>947</v>
      </c>
      <c r="AD241" t="s">
        <v>997</v>
      </c>
      <c r="AE241" t="s">
        <v>927</v>
      </c>
      <c r="AF241">
        <f t="shared" si="6"/>
        <v>9.9</v>
      </c>
      <c r="AG241">
        <f t="shared" si="7"/>
        <v>9.7919999999999998</v>
      </c>
    </row>
    <row r="242" spans="1:33" x14ac:dyDescent="0.25">
      <c r="A242" t="s">
        <v>2016</v>
      </c>
      <c r="B242" t="s">
        <v>242</v>
      </c>
      <c r="C242" t="s">
        <v>995</v>
      </c>
      <c r="D242" t="s">
        <v>1223</v>
      </c>
      <c r="E242" t="s">
        <v>63</v>
      </c>
      <c r="F242" t="s">
        <v>1322</v>
      </c>
      <c r="G242" t="s">
        <v>1164</v>
      </c>
      <c r="H242" t="s">
        <v>2017</v>
      </c>
      <c r="I242" t="s">
        <v>970</v>
      </c>
      <c r="J242" t="s">
        <v>990</v>
      </c>
      <c r="K242" t="s">
        <v>1784</v>
      </c>
      <c r="L242" t="s">
        <v>922</v>
      </c>
      <c r="M242" t="s">
        <v>1211</v>
      </c>
      <c r="N242" t="s">
        <v>1365</v>
      </c>
      <c r="O242" t="s">
        <v>1029</v>
      </c>
      <c r="P242" t="s">
        <v>946</v>
      </c>
      <c r="Q242" t="s">
        <v>907</v>
      </c>
      <c r="R242" t="s">
        <v>1004</v>
      </c>
      <c r="S242" t="s">
        <v>1230</v>
      </c>
      <c r="T242" t="s">
        <v>968</v>
      </c>
      <c r="U242" t="s">
        <v>1330</v>
      </c>
      <c r="V242" t="s">
        <v>1008</v>
      </c>
      <c r="W242" t="s">
        <v>1049</v>
      </c>
      <c r="X242" t="s">
        <v>1012</v>
      </c>
      <c r="Y242" t="s">
        <v>1195</v>
      </c>
      <c r="Z242" t="s">
        <v>987</v>
      </c>
      <c r="AA242" t="s">
        <v>991</v>
      </c>
      <c r="AB242" t="s">
        <v>1008</v>
      </c>
      <c r="AC242" t="s">
        <v>1029</v>
      </c>
      <c r="AD242" t="s">
        <v>997</v>
      </c>
      <c r="AE242" t="s">
        <v>927</v>
      </c>
      <c r="AF242">
        <f t="shared" si="6"/>
        <v>9.6999999999999993</v>
      </c>
      <c r="AG242">
        <f t="shared" si="7"/>
        <v>9.813600000000001</v>
      </c>
    </row>
    <row r="243" spans="1:33" x14ac:dyDescent="0.25">
      <c r="A243" t="s">
        <v>2018</v>
      </c>
      <c r="B243" t="s">
        <v>2019</v>
      </c>
      <c r="C243" t="s">
        <v>1293</v>
      </c>
      <c r="D243" t="s">
        <v>79</v>
      </c>
      <c r="E243" t="s">
        <v>63</v>
      </c>
      <c r="F243" t="s">
        <v>1052</v>
      </c>
      <c r="G243" t="s">
        <v>1147</v>
      </c>
      <c r="H243" t="s">
        <v>1254</v>
      </c>
      <c r="I243" t="s">
        <v>970</v>
      </c>
      <c r="J243" t="s">
        <v>1128</v>
      </c>
      <c r="K243" t="s">
        <v>1916</v>
      </c>
      <c r="L243" t="s">
        <v>1230</v>
      </c>
      <c r="M243" t="s">
        <v>1000</v>
      </c>
      <c r="N243" t="s">
        <v>1564</v>
      </c>
      <c r="O243" t="s">
        <v>1049</v>
      </c>
      <c r="P243" t="s">
        <v>1030</v>
      </c>
      <c r="Q243" t="s">
        <v>1352</v>
      </c>
      <c r="R243" t="s">
        <v>1218</v>
      </c>
      <c r="S243" t="s">
        <v>1029</v>
      </c>
      <c r="T243" t="s">
        <v>968</v>
      </c>
      <c r="U243" t="s">
        <v>2020</v>
      </c>
      <c r="V243" t="s">
        <v>991</v>
      </c>
      <c r="W243" t="s">
        <v>968</v>
      </c>
      <c r="X243" t="s">
        <v>925</v>
      </c>
      <c r="Y243" t="s">
        <v>1064</v>
      </c>
      <c r="Z243" t="s">
        <v>969</v>
      </c>
      <c r="AA243" t="s">
        <v>1119</v>
      </c>
      <c r="AB243" t="s">
        <v>969</v>
      </c>
      <c r="AC243" t="s">
        <v>922</v>
      </c>
      <c r="AD243" t="s">
        <v>943</v>
      </c>
      <c r="AE243" t="s">
        <v>927</v>
      </c>
      <c r="AF243">
        <f t="shared" si="6"/>
        <v>9.6</v>
      </c>
      <c r="AG243">
        <f t="shared" si="7"/>
        <v>9.690199999999999</v>
      </c>
    </row>
    <row r="244" spans="1:33" x14ac:dyDescent="0.25">
      <c r="A244" t="s">
        <v>2021</v>
      </c>
      <c r="B244" t="s">
        <v>2022</v>
      </c>
      <c r="C244" t="s">
        <v>1245</v>
      </c>
      <c r="D244" t="s">
        <v>974</v>
      </c>
      <c r="E244" t="s">
        <v>63</v>
      </c>
      <c r="F244" t="s">
        <v>1459</v>
      </c>
      <c r="G244" t="s">
        <v>1068</v>
      </c>
      <c r="H244" t="s">
        <v>1734</v>
      </c>
      <c r="I244" t="s">
        <v>1048</v>
      </c>
      <c r="J244" t="s">
        <v>1009</v>
      </c>
      <c r="K244" t="s">
        <v>1908</v>
      </c>
      <c r="L244" t="s">
        <v>1310</v>
      </c>
      <c r="M244" t="s">
        <v>1228</v>
      </c>
      <c r="N244" t="s">
        <v>2023</v>
      </c>
      <c r="O244" t="s">
        <v>968</v>
      </c>
      <c r="P244" t="s">
        <v>979</v>
      </c>
      <c r="Q244" t="s">
        <v>1476</v>
      </c>
      <c r="R244" t="s">
        <v>1144</v>
      </c>
      <c r="S244" t="s">
        <v>922</v>
      </c>
      <c r="T244" t="s">
        <v>1049</v>
      </c>
      <c r="U244" t="s">
        <v>1366</v>
      </c>
      <c r="V244" t="s">
        <v>1065</v>
      </c>
      <c r="W244" t="s">
        <v>1104</v>
      </c>
      <c r="X244" t="s">
        <v>970</v>
      </c>
      <c r="Y244" t="s">
        <v>1049</v>
      </c>
      <c r="Z244" t="s">
        <v>987</v>
      </c>
      <c r="AA244" t="s">
        <v>991</v>
      </c>
      <c r="AB244" t="s">
        <v>1064</v>
      </c>
      <c r="AC244" t="s">
        <v>1310</v>
      </c>
      <c r="AD244" t="s">
        <v>980</v>
      </c>
      <c r="AE244" t="s">
        <v>927</v>
      </c>
      <c r="AF244">
        <f t="shared" si="6"/>
        <v>9.6</v>
      </c>
      <c r="AG244">
        <f t="shared" si="7"/>
        <v>9.5876999999999981</v>
      </c>
    </row>
    <row r="245" spans="1:33" x14ac:dyDescent="0.25">
      <c r="A245" t="s">
        <v>2021</v>
      </c>
      <c r="B245" t="s">
        <v>2022</v>
      </c>
      <c r="C245" t="s">
        <v>1245</v>
      </c>
      <c r="D245" t="s">
        <v>1014</v>
      </c>
      <c r="E245" t="s">
        <v>63</v>
      </c>
      <c r="F245" t="s">
        <v>1123</v>
      </c>
      <c r="G245" t="s">
        <v>973</v>
      </c>
      <c r="H245" t="s">
        <v>1922</v>
      </c>
      <c r="I245" t="s">
        <v>1104</v>
      </c>
      <c r="J245" t="s">
        <v>1044</v>
      </c>
      <c r="K245" t="s">
        <v>1297</v>
      </c>
      <c r="L245" t="s">
        <v>1195</v>
      </c>
      <c r="M245" t="s">
        <v>979</v>
      </c>
      <c r="N245" t="s">
        <v>981</v>
      </c>
      <c r="O245" t="s">
        <v>1310</v>
      </c>
      <c r="P245" t="s">
        <v>1220</v>
      </c>
      <c r="Q245" t="s">
        <v>1004</v>
      </c>
      <c r="R245" t="s">
        <v>1209</v>
      </c>
      <c r="S245" t="s">
        <v>1029</v>
      </c>
      <c r="T245" t="s">
        <v>1049</v>
      </c>
      <c r="U245" t="s">
        <v>1521</v>
      </c>
      <c r="V245" t="s">
        <v>1065</v>
      </c>
      <c r="W245" t="s">
        <v>908</v>
      </c>
      <c r="X245" t="s">
        <v>1220</v>
      </c>
      <c r="Y245" t="s">
        <v>1230</v>
      </c>
      <c r="Z245" t="s">
        <v>987</v>
      </c>
      <c r="AA245" t="s">
        <v>1065</v>
      </c>
      <c r="AB245" t="s">
        <v>987</v>
      </c>
      <c r="AC245" t="s">
        <v>1029</v>
      </c>
      <c r="AD245" t="s">
        <v>1182</v>
      </c>
      <c r="AE245" t="s">
        <v>927</v>
      </c>
      <c r="AF245">
        <f t="shared" si="6"/>
        <v>8.5</v>
      </c>
      <c r="AG245">
        <f t="shared" si="7"/>
        <v>8.5273000000000003</v>
      </c>
    </row>
    <row r="246" spans="1:33" x14ac:dyDescent="0.25">
      <c r="A246" t="s">
        <v>2021</v>
      </c>
      <c r="B246" t="s">
        <v>2022</v>
      </c>
      <c r="C246" t="s">
        <v>1245</v>
      </c>
      <c r="D246" t="s">
        <v>151</v>
      </c>
      <c r="E246" t="s">
        <v>63</v>
      </c>
      <c r="F246" t="s">
        <v>1204</v>
      </c>
      <c r="G246" t="s">
        <v>1121</v>
      </c>
      <c r="H246" t="s">
        <v>948</v>
      </c>
      <c r="I246" t="s">
        <v>1160</v>
      </c>
      <c r="J246" t="s">
        <v>1832</v>
      </c>
      <c r="K246" t="s">
        <v>1266</v>
      </c>
      <c r="L246" t="s">
        <v>922</v>
      </c>
      <c r="M246" t="s">
        <v>957</v>
      </c>
      <c r="N246" t="s">
        <v>1870</v>
      </c>
      <c r="O246" t="s">
        <v>925</v>
      </c>
      <c r="P246" t="s">
        <v>957</v>
      </c>
      <c r="Q246" t="s">
        <v>1776</v>
      </c>
      <c r="R246" t="s">
        <v>2024</v>
      </c>
      <c r="S246" t="s">
        <v>968</v>
      </c>
      <c r="T246" t="s">
        <v>956</v>
      </c>
      <c r="U246" t="s">
        <v>2025</v>
      </c>
      <c r="V246" t="s">
        <v>991</v>
      </c>
      <c r="W246" t="s">
        <v>1155</v>
      </c>
      <c r="X246" t="s">
        <v>1081</v>
      </c>
      <c r="Y246" t="s">
        <v>993</v>
      </c>
      <c r="Z246" t="s">
        <v>918</v>
      </c>
      <c r="AA246" t="s">
        <v>1094</v>
      </c>
      <c r="AB246" t="s">
        <v>1310</v>
      </c>
      <c r="AC246" t="s">
        <v>1195</v>
      </c>
      <c r="AD246" t="s">
        <v>953</v>
      </c>
      <c r="AE246" t="s">
        <v>927</v>
      </c>
      <c r="AF246">
        <f t="shared" si="6"/>
        <v>11.3</v>
      </c>
      <c r="AG246">
        <f t="shared" si="7"/>
        <v>11.152200000000001</v>
      </c>
    </row>
    <row r="247" spans="1:33" x14ac:dyDescent="0.25">
      <c r="A247" t="s">
        <v>2026</v>
      </c>
      <c r="B247" t="s">
        <v>185</v>
      </c>
      <c r="C247" t="s">
        <v>1245</v>
      </c>
      <c r="D247" t="s">
        <v>45</v>
      </c>
      <c r="E247" t="s">
        <v>72</v>
      </c>
      <c r="F247" t="s">
        <v>1052</v>
      </c>
      <c r="G247" t="s">
        <v>1293</v>
      </c>
      <c r="H247" t="s">
        <v>1408</v>
      </c>
      <c r="I247" t="s">
        <v>992</v>
      </c>
      <c r="J247" t="s">
        <v>1026</v>
      </c>
      <c r="K247" t="s">
        <v>2024</v>
      </c>
      <c r="L247" t="s">
        <v>1064</v>
      </c>
      <c r="M247" t="s">
        <v>946</v>
      </c>
      <c r="N247" t="s">
        <v>1406</v>
      </c>
      <c r="O247" t="s">
        <v>993</v>
      </c>
      <c r="P247" t="s">
        <v>919</v>
      </c>
      <c r="Q247" t="s">
        <v>2027</v>
      </c>
      <c r="R247" t="s">
        <v>955</v>
      </c>
      <c r="S247" t="s">
        <v>1195</v>
      </c>
      <c r="T247" t="s">
        <v>956</v>
      </c>
      <c r="U247" t="s">
        <v>2028</v>
      </c>
      <c r="V247" t="s">
        <v>1029</v>
      </c>
      <c r="W247" t="s">
        <v>1211</v>
      </c>
      <c r="X247" t="s">
        <v>1059</v>
      </c>
      <c r="Y247" t="s">
        <v>1049</v>
      </c>
      <c r="Z247" t="s">
        <v>1008</v>
      </c>
      <c r="AA247" t="s">
        <v>1094</v>
      </c>
      <c r="AB247" t="s">
        <v>1230</v>
      </c>
      <c r="AC247" t="s">
        <v>924</v>
      </c>
      <c r="AD247" t="s">
        <v>980</v>
      </c>
      <c r="AE247" t="s">
        <v>927</v>
      </c>
      <c r="AF247">
        <f t="shared" si="6"/>
        <v>9.6000000000000014</v>
      </c>
      <c r="AG247">
        <f t="shared" si="7"/>
        <v>9.5898000000000003</v>
      </c>
    </row>
    <row r="248" spans="1:33" x14ac:dyDescent="0.25">
      <c r="A248" t="s">
        <v>2029</v>
      </c>
      <c r="B248" t="s">
        <v>2030</v>
      </c>
      <c r="C248" t="s">
        <v>1032</v>
      </c>
      <c r="D248" t="s">
        <v>1279</v>
      </c>
      <c r="E248" t="s">
        <v>47</v>
      </c>
      <c r="F248" t="s">
        <v>1015</v>
      </c>
      <c r="G248" t="s">
        <v>1717</v>
      </c>
      <c r="H248" t="s">
        <v>1302</v>
      </c>
      <c r="I248" t="s">
        <v>1000</v>
      </c>
      <c r="J248" t="s">
        <v>915</v>
      </c>
      <c r="K248" t="s">
        <v>1908</v>
      </c>
      <c r="L248" t="s">
        <v>918</v>
      </c>
      <c r="M248" t="s">
        <v>1104</v>
      </c>
      <c r="N248" t="s">
        <v>1503</v>
      </c>
      <c r="O248" t="s">
        <v>993</v>
      </c>
      <c r="P248" t="s">
        <v>1005</v>
      </c>
      <c r="Q248" t="s">
        <v>1565</v>
      </c>
      <c r="R248" t="s">
        <v>1420</v>
      </c>
      <c r="S248" t="s">
        <v>956</v>
      </c>
      <c r="T248" t="s">
        <v>1012</v>
      </c>
      <c r="U248" t="s">
        <v>2031</v>
      </c>
      <c r="V248" t="s">
        <v>1064</v>
      </c>
      <c r="W248" t="s">
        <v>946</v>
      </c>
      <c r="X248" t="s">
        <v>1170</v>
      </c>
      <c r="Y248" t="s">
        <v>956</v>
      </c>
      <c r="Z248" t="s">
        <v>918</v>
      </c>
      <c r="AA248" t="s">
        <v>991</v>
      </c>
      <c r="AB248" t="s">
        <v>1230</v>
      </c>
      <c r="AC248" t="s">
        <v>956</v>
      </c>
      <c r="AD248" t="s">
        <v>1072</v>
      </c>
      <c r="AE248" t="s">
        <v>927</v>
      </c>
      <c r="AF248">
        <f t="shared" si="6"/>
        <v>9.6999999999999993</v>
      </c>
      <c r="AG248">
        <f t="shared" si="7"/>
        <v>9.5766000000000009</v>
      </c>
    </row>
    <row r="249" spans="1:33" x14ac:dyDescent="0.25">
      <c r="A249" t="s">
        <v>2032</v>
      </c>
      <c r="B249" t="s">
        <v>2033</v>
      </c>
      <c r="C249" t="s">
        <v>1084</v>
      </c>
      <c r="D249" t="s">
        <v>129</v>
      </c>
      <c r="E249" t="s">
        <v>56</v>
      </c>
      <c r="F249" t="s">
        <v>1446</v>
      </c>
      <c r="G249" t="s">
        <v>1106</v>
      </c>
      <c r="H249" t="s">
        <v>1174</v>
      </c>
      <c r="I249" t="s">
        <v>979</v>
      </c>
      <c r="J249" t="s">
        <v>1182</v>
      </c>
      <c r="K249" t="s">
        <v>1538</v>
      </c>
      <c r="L249" t="s">
        <v>968</v>
      </c>
      <c r="M249" t="s">
        <v>1046</v>
      </c>
      <c r="N249" t="s">
        <v>2034</v>
      </c>
      <c r="O249" t="s">
        <v>922</v>
      </c>
      <c r="P249" t="s">
        <v>1030</v>
      </c>
      <c r="Q249" t="s">
        <v>1665</v>
      </c>
      <c r="R249" t="s">
        <v>1091</v>
      </c>
      <c r="S249" t="s">
        <v>987</v>
      </c>
      <c r="T249" t="s">
        <v>923</v>
      </c>
      <c r="U249" t="s">
        <v>1421</v>
      </c>
      <c r="V249" t="s">
        <v>1008</v>
      </c>
      <c r="W249" t="s">
        <v>968</v>
      </c>
      <c r="X249" t="s">
        <v>993</v>
      </c>
      <c r="Y249" t="s">
        <v>964</v>
      </c>
      <c r="Z249" t="s">
        <v>923</v>
      </c>
      <c r="AA249" t="s">
        <v>1094</v>
      </c>
      <c r="AB249" t="s">
        <v>969</v>
      </c>
      <c r="AC249" t="s">
        <v>922</v>
      </c>
      <c r="AD249" t="s">
        <v>1072</v>
      </c>
      <c r="AE249" t="s">
        <v>927</v>
      </c>
      <c r="AF249">
        <f t="shared" si="6"/>
        <v>9.6000000000000014</v>
      </c>
      <c r="AG249">
        <f t="shared" si="7"/>
        <v>9.513300000000001</v>
      </c>
    </row>
    <row r="250" spans="1:33" x14ac:dyDescent="0.25">
      <c r="A250" t="s">
        <v>2035</v>
      </c>
      <c r="B250" t="s">
        <v>116</v>
      </c>
      <c r="C250" t="s">
        <v>1084</v>
      </c>
      <c r="D250" t="s">
        <v>1279</v>
      </c>
      <c r="E250" t="s">
        <v>93</v>
      </c>
      <c r="F250" t="s">
        <v>1033</v>
      </c>
      <c r="G250" t="s">
        <v>995</v>
      </c>
      <c r="H250" t="s">
        <v>1196</v>
      </c>
      <c r="I250" t="s">
        <v>946</v>
      </c>
      <c r="J250" t="s">
        <v>1011</v>
      </c>
      <c r="K250" t="s">
        <v>1225</v>
      </c>
      <c r="L250" t="s">
        <v>1310</v>
      </c>
      <c r="M250" t="s">
        <v>1211</v>
      </c>
      <c r="N250" t="s">
        <v>1089</v>
      </c>
      <c r="O250" t="s">
        <v>1029</v>
      </c>
      <c r="P250" t="s">
        <v>970</v>
      </c>
      <c r="Q250" t="s">
        <v>1300</v>
      </c>
      <c r="R250" t="s">
        <v>1451</v>
      </c>
      <c r="S250" t="s">
        <v>922</v>
      </c>
      <c r="T250" t="s">
        <v>908</v>
      </c>
      <c r="U250" t="s">
        <v>1597</v>
      </c>
      <c r="V250" t="s">
        <v>918</v>
      </c>
      <c r="W250" t="s">
        <v>993</v>
      </c>
      <c r="X250" t="s">
        <v>1000</v>
      </c>
      <c r="Y250" t="s">
        <v>968</v>
      </c>
      <c r="Z250" t="s">
        <v>1065</v>
      </c>
      <c r="AA250" t="s">
        <v>1119</v>
      </c>
      <c r="AB250" t="s">
        <v>923</v>
      </c>
      <c r="AC250" t="s">
        <v>908</v>
      </c>
      <c r="AD250" t="s">
        <v>1072</v>
      </c>
      <c r="AE250" t="s">
        <v>927</v>
      </c>
      <c r="AF250">
        <f t="shared" si="6"/>
        <v>9.4</v>
      </c>
      <c r="AG250">
        <f t="shared" si="7"/>
        <v>9.4467999999999996</v>
      </c>
    </row>
    <row r="251" spans="1:33" x14ac:dyDescent="0.25">
      <c r="A251" t="s">
        <v>2036</v>
      </c>
      <c r="B251" t="s">
        <v>2037</v>
      </c>
      <c r="C251" t="s">
        <v>902</v>
      </c>
      <c r="D251" t="s">
        <v>102</v>
      </c>
      <c r="E251" t="s">
        <v>63</v>
      </c>
      <c r="F251" t="s">
        <v>1416</v>
      </c>
      <c r="G251" t="s">
        <v>1106</v>
      </c>
      <c r="H251" t="s">
        <v>1874</v>
      </c>
      <c r="I251" t="s">
        <v>970</v>
      </c>
      <c r="J251" t="s">
        <v>1028</v>
      </c>
      <c r="K251" t="s">
        <v>1018</v>
      </c>
      <c r="L251" t="s">
        <v>922</v>
      </c>
      <c r="M251" t="s">
        <v>1047</v>
      </c>
      <c r="N251" t="s">
        <v>1679</v>
      </c>
      <c r="O251" t="s">
        <v>1029</v>
      </c>
      <c r="P251" t="s">
        <v>1135</v>
      </c>
      <c r="Q251" t="s">
        <v>1551</v>
      </c>
      <c r="R251" t="s">
        <v>1184</v>
      </c>
      <c r="S251" t="s">
        <v>1064</v>
      </c>
      <c r="T251" t="s">
        <v>1230</v>
      </c>
      <c r="U251" t="s">
        <v>1593</v>
      </c>
      <c r="V251" t="s">
        <v>1008</v>
      </c>
      <c r="W251" t="s">
        <v>1012</v>
      </c>
      <c r="X251" t="s">
        <v>1048</v>
      </c>
      <c r="Y251" t="s">
        <v>1220</v>
      </c>
      <c r="Z251" t="s">
        <v>969</v>
      </c>
      <c r="AA251" t="s">
        <v>991</v>
      </c>
      <c r="AB251" t="s">
        <v>945</v>
      </c>
      <c r="AC251" t="s">
        <v>922</v>
      </c>
      <c r="AD251" t="s">
        <v>1832</v>
      </c>
      <c r="AE251" t="s">
        <v>927</v>
      </c>
      <c r="AF251">
        <f t="shared" si="6"/>
        <v>9.3999999999999986</v>
      </c>
      <c r="AG251">
        <f t="shared" si="7"/>
        <v>9.3795000000000019</v>
      </c>
    </row>
    <row r="252" spans="1:33" x14ac:dyDescent="0.25">
      <c r="A252" t="s">
        <v>2038</v>
      </c>
      <c r="B252" t="s">
        <v>2039</v>
      </c>
      <c r="C252" t="s">
        <v>1084</v>
      </c>
      <c r="D252" t="s">
        <v>142</v>
      </c>
      <c r="E252" t="s">
        <v>56</v>
      </c>
      <c r="F252" t="s">
        <v>930</v>
      </c>
      <c r="G252" t="s">
        <v>995</v>
      </c>
      <c r="H252" t="s">
        <v>1540</v>
      </c>
      <c r="I252" t="s">
        <v>1000</v>
      </c>
      <c r="J252" t="s">
        <v>1027</v>
      </c>
      <c r="K252" t="s">
        <v>2040</v>
      </c>
      <c r="L252" t="s">
        <v>1064</v>
      </c>
      <c r="M252" t="s">
        <v>970</v>
      </c>
      <c r="N252" t="s">
        <v>1886</v>
      </c>
      <c r="O252" t="s">
        <v>947</v>
      </c>
      <c r="P252" t="s">
        <v>1046</v>
      </c>
      <c r="Q252" t="s">
        <v>1916</v>
      </c>
      <c r="R252" t="s">
        <v>1158</v>
      </c>
      <c r="S252" t="s">
        <v>1230</v>
      </c>
      <c r="T252" t="s">
        <v>922</v>
      </c>
      <c r="U252" t="s">
        <v>1276</v>
      </c>
      <c r="V252" t="s">
        <v>1008</v>
      </c>
      <c r="W252" t="s">
        <v>924</v>
      </c>
      <c r="X252" t="s">
        <v>1135</v>
      </c>
      <c r="Y252" t="s">
        <v>964</v>
      </c>
      <c r="Z252" t="s">
        <v>1008</v>
      </c>
      <c r="AA252" t="s">
        <v>1065</v>
      </c>
      <c r="AB252" t="s">
        <v>1310</v>
      </c>
      <c r="AC252" t="s">
        <v>947</v>
      </c>
      <c r="AD252" t="s">
        <v>1832</v>
      </c>
      <c r="AE252" t="s">
        <v>927</v>
      </c>
      <c r="AF252">
        <f t="shared" si="6"/>
        <v>9.3000000000000007</v>
      </c>
      <c r="AG252">
        <f t="shared" si="7"/>
        <v>9.4153999999999982</v>
      </c>
    </row>
    <row r="253" spans="1:33" x14ac:dyDescent="0.25">
      <c r="A253" t="s">
        <v>2041</v>
      </c>
      <c r="B253" t="s">
        <v>2042</v>
      </c>
      <c r="C253" t="s">
        <v>1245</v>
      </c>
      <c r="D253" t="s">
        <v>142</v>
      </c>
      <c r="E253" t="s">
        <v>56</v>
      </c>
      <c r="F253" t="s">
        <v>1459</v>
      </c>
      <c r="G253" t="s">
        <v>1106</v>
      </c>
      <c r="H253" t="s">
        <v>1264</v>
      </c>
      <c r="I253" t="s">
        <v>1000</v>
      </c>
      <c r="J253" t="s">
        <v>915</v>
      </c>
      <c r="K253" t="s">
        <v>1419</v>
      </c>
      <c r="L253" t="s">
        <v>987</v>
      </c>
      <c r="M253" t="s">
        <v>993</v>
      </c>
      <c r="N253" t="s">
        <v>1791</v>
      </c>
      <c r="O253" t="s">
        <v>1012</v>
      </c>
      <c r="P253" t="s">
        <v>1329</v>
      </c>
      <c r="Q253" t="s">
        <v>1916</v>
      </c>
      <c r="R253" t="s">
        <v>1205</v>
      </c>
      <c r="S253" t="s">
        <v>1049</v>
      </c>
      <c r="T253" t="s">
        <v>993</v>
      </c>
      <c r="U253" t="s">
        <v>2043</v>
      </c>
      <c r="V253" t="s">
        <v>1008</v>
      </c>
      <c r="W253" t="s">
        <v>947</v>
      </c>
      <c r="X253" t="s">
        <v>964</v>
      </c>
      <c r="Y253" t="s">
        <v>946</v>
      </c>
      <c r="Z253" t="s">
        <v>1064</v>
      </c>
      <c r="AA253" t="s">
        <v>969</v>
      </c>
      <c r="AB253" t="s">
        <v>968</v>
      </c>
      <c r="AC253" t="s">
        <v>908</v>
      </c>
      <c r="AD253" t="s">
        <v>1832</v>
      </c>
      <c r="AE253" t="s">
        <v>927</v>
      </c>
      <c r="AF253">
        <f t="shared" si="6"/>
        <v>9.5</v>
      </c>
      <c r="AG253">
        <f t="shared" si="7"/>
        <v>9.3742999999999999</v>
      </c>
    </row>
    <row r="254" spans="1:33" x14ac:dyDescent="0.25">
      <c r="A254" t="s">
        <v>2044</v>
      </c>
      <c r="B254" t="s">
        <v>479</v>
      </c>
      <c r="C254" t="s">
        <v>1015</v>
      </c>
      <c r="D254" t="s">
        <v>85</v>
      </c>
      <c r="E254" t="s">
        <v>47</v>
      </c>
      <c r="F254" t="s">
        <v>975</v>
      </c>
      <c r="G254" t="s">
        <v>1376</v>
      </c>
      <c r="H254" t="s">
        <v>1794</v>
      </c>
      <c r="I254" t="s">
        <v>970</v>
      </c>
      <c r="J254" t="s">
        <v>1028</v>
      </c>
      <c r="K254" t="s">
        <v>1603</v>
      </c>
      <c r="L254" t="s">
        <v>947</v>
      </c>
      <c r="M254" t="s">
        <v>1126</v>
      </c>
      <c r="N254" t="s">
        <v>1588</v>
      </c>
      <c r="O254" t="s">
        <v>923</v>
      </c>
      <c r="P254" t="s">
        <v>1029</v>
      </c>
      <c r="Q254" t="s">
        <v>2028</v>
      </c>
      <c r="R254" t="s">
        <v>1561</v>
      </c>
      <c r="S254" t="s">
        <v>969</v>
      </c>
      <c r="T254" t="s">
        <v>1008</v>
      </c>
      <c r="U254" t="s">
        <v>1341</v>
      </c>
      <c r="V254" t="s">
        <v>1064</v>
      </c>
      <c r="W254" t="s">
        <v>970</v>
      </c>
      <c r="X254" t="s">
        <v>1170</v>
      </c>
      <c r="Y254" t="s">
        <v>1048</v>
      </c>
      <c r="Z254" t="s">
        <v>1065</v>
      </c>
      <c r="AA254" t="s">
        <v>934</v>
      </c>
      <c r="AB254" t="s">
        <v>1064</v>
      </c>
      <c r="AC254" t="s">
        <v>908</v>
      </c>
      <c r="AD254" t="s">
        <v>1832</v>
      </c>
      <c r="AE254" t="s">
        <v>927</v>
      </c>
      <c r="AF254">
        <f t="shared" si="6"/>
        <v>9.4999999999999982</v>
      </c>
      <c r="AG254">
        <f t="shared" si="7"/>
        <v>9.4890000000000008</v>
      </c>
    </row>
    <row r="255" spans="1:33" x14ac:dyDescent="0.25">
      <c r="A255" t="s">
        <v>2045</v>
      </c>
      <c r="B255" t="s">
        <v>2046</v>
      </c>
      <c r="C255" t="s">
        <v>1245</v>
      </c>
      <c r="D255" t="s">
        <v>77</v>
      </c>
      <c r="E255" t="s">
        <v>72</v>
      </c>
      <c r="F255" t="s">
        <v>1343</v>
      </c>
      <c r="G255" t="s">
        <v>901</v>
      </c>
      <c r="H255" t="s">
        <v>1675</v>
      </c>
      <c r="I255" t="s">
        <v>1000</v>
      </c>
      <c r="J255" t="s">
        <v>1116</v>
      </c>
      <c r="K255" t="s">
        <v>1476</v>
      </c>
      <c r="L255" t="s">
        <v>1064</v>
      </c>
      <c r="M255" t="s">
        <v>964</v>
      </c>
      <c r="N255" t="s">
        <v>1411</v>
      </c>
      <c r="O255" t="s">
        <v>947</v>
      </c>
      <c r="P255" t="s">
        <v>1228</v>
      </c>
      <c r="Q255" t="s">
        <v>1251</v>
      </c>
      <c r="R255" t="s">
        <v>1077</v>
      </c>
      <c r="S255" t="s">
        <v>1310</v>
      </c>
      <c r="T255" t="s">
        <v>1049</v>
      </c>
      <c r="U255" t="s">
        <v>1710</v>
      </c>
      <c r="V255" t="s">
        <v>1008</v>
      </c>
      <c r="W255" t="s">
        <v>1135</v>
      </c>
      <c r="X255" t="s">
        <v>1030</v>
      </c>
      <c r="Y255" t="s">
        <v>1064</v>
      </c>
      <c r="Z255" t="s">
        <v>1094</v>
      </c>
      <c r="AA255" t="s">
        <v>1008</v>
      </c>
      <c r="AB255" t="s">
        <v>945</v>
      </c>
      <c r="AC255" t="s">
        <v>1029</v>
      </c>
      <c r="AD255" t="s">
        <v>1832</v>
      </c>
      <c r="AE255" t="s">
        <v>927</v>
      </c>
      <c r="AF255">
        <f t="shared" si="6"/>
        <v>9.4</v>
      </c>
      <c r="AG255">
        <f t="shared" si="7"/>
        <v>9.4074999999999989</v>
      </c>
    </row>
    <row r="256" spans="1:33" x14ac:dyDescent="0.25">
      <c r="A256" t="s">
        <v>2047</v>
      </c>
      <c r="B256" t="s">
        <v>2048</v>
      </c>
      <c r="C256" t="s">
        <v>1238</v>
      </c>
      <c r="D256" t="s">
        <v>65</v>
      </c>
      <c r="E256" t="s">
        <v>47</v>
      </c>
      <c r="F256" t="s">
        <v>1177</v>
      </c>
      <c r="G256" t="s">
        <v>949</v>
      </c>
      <c r="H256" t="s">
        <v>1621</v>
      </c>
      <c r="I256" t="s">
        <v>979</v>
      </c>
      <c r="J256" t="s">
        <v>915</v>
      </c>
      <c r="K256" t="s">
        <v>1297</v>
      </c>
      <c r="L256" t="s">
        <v>1195</v>
      </c>
      <c r="M256" t="s">
        <v>992</v>
      </c>
      <c r="N256" t="s">
        <v>1425</v>
      </c>
      <c r="O256" t="s">
        <v>925</v>
      </c>
      <c r="P256" t="s">
        <v>1170</v>
      </c>
      <c r="Q256" t="s">
        <v>1395</v>
      </c>
      <c r="R256" t="s">
        <v>1144</v>
      </c>
      <c r="S256" t="s">
        <v>1064</v>
      </c>
      <c r="T256" t="s">
        <v>1230</v>
      </c>
      <c r="U256" t="s">
        <v>2049</v>
      </c>
      <c r="V256" t="s">
        <v>1008</v>
      </c>
      <c r="W256" t="s">
        <v>947</v>
      </c>
      <c r="X256" t="s">
        <v>1135</v>
      </c>
      <c r="Y256" t="s">
        <v>923</v>
      </c>
      <c r="Z256" t="s">
        <v>969</v>
      </c>
      <c r="AA256" t="s">
        <v>1094</v>
      </c>
      <c r="AB256" t="s">
        <v>918</v>
      </c>
      <c r="AC256" t="s">
        <v>918</v>
      </c>
      <c r="AD256" t="s">
        <v>1832</v>
      </c>
      <c r="AE256" t="s">
        <v>927</v>
      </c>
      <c r="AF256">
        <f t="shared" si="6"/>
        <v>9.4</v>
      </c>
      <c r="AG256">
        <f t="shared" si="7"/>
        <v>9.3387999999999991</v>
      </c>
    </row>
    <row r="257" spans="1:33" x14ac:dyDescent="0.25">
      <c r="A257" t="s">
        <v>2050</v>
      </c>
      <c r="B257" t="s">
        <v>2051</v>
      </c>
      <c r="C257" t="s">
        <v>1293</v>
      </c>
      <c r="D257" t="s">
        <v>974</v>
      </c>
      <c r="E257" t="s">
        <v>72</v>
      </c>
      <c r="F257" t="s">
        <v>1489</v>
      </c>
      <c r="G257" t="s">
        <v>1414</v>
      </c>
      <c r="H257" t="s">
        <v>1732</v>
      </c>
      <c r="I257" t="s">
        <v>992</v>
      </c>
      <c r="J257" t="s">
        <v>1059</v>
      </c>
      <c r="K257" t="s">
        <v>1813</v>
      </c>
      <c r="L257" t="s">
        <v>1600</v>
      </c>
      <c r="M257" t="s">
        <v>1600</v>
      </c>
      <c r="N257" t="s">
        <v>1646</v>
      </c>
      <c r="O257" t="s">
        <v>992</v>
      </c>
      <c r="P257" t="s">
        <v>1059</v>
      </c>
      <c r="Q257" t="s">
        <v>1561</v>
      </c>
      <c r="R257" t="s">
        <v>1813</v>
      </c>
      <c r="S257" t="s">
        <v>908</v>
      </c>
      <c r="T257" t="s">
        <v>1104</v>
      </c>
      <c r="U257" t="s">
        <v>1762</v>
      </c>
      <c r="V257" t="s">
        <v>1012</v>
      </c>
      <c r="W257" t="s">
        <v>1092</v>
      </c>
      <c r="X257" t="s">
        <v>989</v>
      </c>
      <c r="Y257" t="s">
        <v>918</v>
      </c>
      <c r="Z257" t="s">
        <v>934</v>
      </c>
      <c r="AA257" t="s">
        <v>923</v>
      </c>
      <c r="AB257" t="s">
        <v>1230</v>
      </c>
      <c r="AC257" t="s">
        <v>993</v>
      </c>
      <c r="AD257" t="s">
        <v>959</v>
      </c>
      <c r="AE257" t="s">
        <v>927</v>
      </c>
      <c r="AF257">
        <f t="shared" si="6"/>
        <v>9.3000000000000007</v>
      </c>
      <c r="AG257">
        <f t="shared" si="7"/>
        <v>9.3299999999999983</v>
      </c>
    </row>
    <row r="258" spans="1:33" x14ac:dyDescent="0.25">
      <c r="A258" t="s">
        <v>2050</v>
      </c>
      <c r="B258" t="s">
        <v>2051</v>
      </c>
      <c r="C258" t="s">
        <v>1293</v>
      </c>
      <c r="D258" t="s">
        <v>1149</v>
      </c>
      <c r="E258" t="s">
        <v>72</v>
      </c>
      <c r="F258" t="s">
        <v>1245</v>
      </c>
      <c r="G258" t="s">
        <v>1096</v>
      </c>
      <c r="H258" t="s">
        <v>1087</v>
      </c>
      <c r="I258" t="s">
        <v>1135</v>
      </c>
      <c r="J258" t="s">
        <v>1329</v>
      </c>
      <c r="K258" t="s">
        <v>1559</v>
      </c>
      <c r="L258" t="s">
        <v>1600</v>
      </c>
      <c r="M258" t="s">
        <v>1600</v>
      </c>
      <c r="N258" t="s">
        <v>1646</v>
      </c>
      <c r="O258" t="s">
        <v>1135</v>
      </c>
      <c r="P258" t="s">
        <v>1329</v>
      </c>
      <c r="Q258" t="s">
        <v>1504</v>
      </c>
      <c r="R258" t="s">
        <v>1559</v>
      </c>
      <c r="S258" t="s">
        <v>1104</v>
      </c>
      <c r="T258" t="s">
        <v>919</v>
      </c>
      <c r="U258" t="s">
        <v>2052</v>
      </c>
      <c r="V258" t="s">
        <v>924</v>
      </c>
      <c r="W258" t="s">
        <v>1005</v>
      </c>
      <c r="X258" t="s">
        <v>1028</v>
      </c>
      <c r="Y258" t="s">
        <v>1195</v>
      </c>
      <c r="Z258" t="s">
        <v>1094</v>
      </c>
      <c r="AA258" t="s">
        <v>945</v>
      </c>
      <c r="AB258" t="s">
        <v>1029</v>
      </c>
      <c r="AC258" t="s">
        <v>947</v>
      </c>
      <c r="AD258" t="s">
        <v>1024</v>
      </c>
      <c r="AE258" t="s">
        <v>927</v>
      </c>
      <c r="AF258">
        <f t="shared" si="6"/>
        <v>8.8000000000000007</v>
      </c>
      <c r="AG258">
        <f t="shared" si="7"/>
        <v>8.8925999999999998</v>
      </c>
    </row>
    <row r="259" spans="1:33" x14ac:dyDescent="0.25">
      <c r="A259" t="s">
        <v>2050</v>
      </c>
      <c r="B259" t="s">
        <v>2051</v>
      </c>
      <c r="C259" t="s">
        <v>1293</v>
      </c>
      <c r="D259" t="s">
        <v>1069</v>
      </c>
      <c r="E259" t="s">
        <v>72</v>
      </c>
      <c r="F259" t="s">
        <v>1068</v>
      </c>
      <c r="G259" t="s">
        <v>1164</v>
      </c>
      <c r="H259" t="s">
        <v>1883</v>
      </c>
      <c r="I259" t="s">
        <v>1160</v>
      </c>
      <c r="J259" t="s">
        <v>940</v>
      </c>
      <c r="K259" t="s">
        <v>1879</v>
      </c>
      <c r="L259" t="s">
        <v>1600</v>
      </c>
      <c r="M259" t="s">
        <v>1600</v>
      </c>
      <c r="N259" t="s">
        <v>1646</v>
      </c>
      <c r="O259" t="s">
        <v>1160</v>
      </c>
      <c r="P259" t="s">
        <v>921</v>
      </c>
      <c r="Q259" t="s">
        <v>2053</v>
      </c>
      <c r="R259" t="s">
        <v>1879</v>
      </c>
      <c r="S259" t="s">
        <v>922</v>
      </c>
      <c r="T259" t="s">
        <v>956</v>
      </c>
      <c r="U259" t="s">
        <v>1942</v>
      </c>
      <c r="V259" t="s">
        <v>1220</v>
      </c>
      <c r="W259" t="s">
        <v>1126</v>
      </c>
      <c r="X259" t="s">
        <v>1152</v>
      </c>
      <c r="Y259" t="s">
        <v>969</v>
      </c>
      <c r="Z259" t="s">
        <v>934</v>
      </c>
      <c r="AA259" t="s">
        <v>987</v>
      </c>
      <c r="AB259" t="s">
        <v>1195</v>
      </c>
      <c r="AC259" t="s">
        <v>1012</v>
      </c>
      <c r="AD259" t="s">
        <v>1072</v>
      </c>
      <c r="AE259" t="s">
        <v>927</v>
      </c>
      <c r="AF259">
        <f t="shared" ref="AF259:AF322" si="8">(L259 * 3) + ((I259 - L259) * 2) + S259</f>
        <v>9.5</v>
      </c>
      <c r="AG259">
        <f t="shared" ref="AG259:AG322" si="9">(M259 * N259 * 3) + ((J259 - M259) * Q259 * 2) + (T259 * U259)</f>
        <v>9.548</v>
      </c>
    </row>
    <row r="260" spans="1:33" x14ac:dyDescent="0.25">
      <c r="A260" t="s">
        <v>2054</v>
      </c>
      <c r="B260" t="s">
        <v>372</v>
      </c>
      <c r="C260" t="s">
        <v>1238</v>
      </c>
      <c r="D260" t="s">
        <v>133</v>
      </c>
      <c r="E260" t="s">
        <v>72</v>
      </c>
      <c r="F260" t="s">
        <v>1446</v>
      </c>
      <c r="G260" t="s">
        <v>1068</v>
      </c>
      <c r="H260" t="s">
        <v>1354</v>
      </c>
      <c r="I260" t="s">
        <v>1228</v>
      </c>
      <c r="J260" t="s">
        <v>1118</v>
      </c>
      <c r="K260" t="s">
        <v>1656</v>
      </c>
      <c r="L260" t="s">
        <v>1065</v>
      </c>
      <c r="M260" t="s">
        <v>922</v>
      </c>
      <c r="N260" t="s">
        <v>2055</v>
      </c>
      <c r="O260" t="s">
        <v>979</v>
      </c>
      <c r="P260" t="s">
        <v>1291</v>
      </c>
      <c r="Q260" t="s">
        <v>2001</v>
      </c>
      <c r="R260" t="s">
        <v>1533</v>
      </c>
      <c r="S260" t="s">
        <v>1008</v>
      </c>
      <c r="T260" t="s">
        <v>923</v>
      </c>
      <c r="U260" t="s">
        <v>2056</v>
      </c>
      <c r="V260" t="s">
        <v>968</v>
      </c>
      <c r="W260" t="s">
        <v>1092</v>
      </c>
      <c r="X260" t="s">
        <v>988</v>
      </c>
      <c r="Y260" t="s">
        <v>918</v>
      </c>
      <c r="Z260" t="s">
        <v>969</v>
      </c>
      <c r="AA260" t="s">
        <v>1064</v>
      </c>
      <c r="AB260" t="s">
        <v>918</v>
      </c>
      <c r="AC260" t="s">
        <v>922</v>
      </c>
      <c r="AD260" t="s">
        <v>959</v>
      </c>
      <c r="AE260" t="s">
        <v>927</v>
      </c>
      <c r="AF260">
        <f t="shared" si="8"/>
        <v>9.1999999999999993</v>
      </c>
      <c r="AG260">
        <f t="shared" si="9"/>
        <v>9.3382999999999985</v>
      </c>
    </row>
    <row r="261" spans="1:33" x14ac:dyDescent="0.25">
      <c r="A261" t="s">
        <v>2057</v>
      </c>
      <c r="B261" t="s">
        <v>273</v>
      </c>
      <c r="C261" t="s">
        <v>995</v>
      </c>
      <c r="D261" t="s">
        <v>156</v>
      </c>
      <c r="E261" t="s">
        <v>72</v>
      </c>
      <c r="F261" t="s">
        <v>1535</v>
      </c>
      <c r="G261" t="s">
        <v>1480</v>
      </c>
      <c r="H261" t="s">
        <v>1389</v>
      </c>
      <c r="I261" t="s">
        <v>1155</v>
      </c>
      <c r="J261" t="s">
        <v>1006</v>
      </c>
      <c r="K261" t="s">
        <v>1606</v>
      </c>
      <c r="L261" t="s">
        <v>1094</v>
      </c>
      <c r="M261" t="s">
        <v>987</v>
      </c>
      <c r="N261" t="s">
        <v>1499</v>
      </c>
      <c r="O261" t="s">
        <v>979</v>
      </c>
      <c r="P261" t="s">
        <v>1079</v>
      </c>
      <c r="Q261" t="s">
        <v>1822</v>
      </c>
      <c r="R261" t="s">
        <v>1836</v>
      </c>
      <c r="S261" t="s">
        <v>1230</v>
      </c>
      <c r="T261" t="s">
        <v>1049</v>
      </c>
      <c r="U261" t="s">
        <v>2058</v>
      </c>
      <c r="V261" t="s">
        <v>979</v>
      </c>
      <c r="W261" t="s">
        <v>1134</v>
      </c>
      <c r="X261" t="s">
        <v>1010</v>
      </c>
      <c r="Y261" t="s">
        <v>923</v>
      </c>
      <c r="Z261" t="s">
        <v>1065</v>
      </c>
      <c r="AA261" t="s">
        <v>1195</v>
      </c>
      <c r="AB261" t="s">
        <v>1195</v>
      </c>
      <c r="AC261" t="s">
        <v>1104</v>
      </c>
      <c r="AD261" t="s">
        <v>911</v>
      </c>
      <c r="AE261" t="s">
        <v>927</v>
      </c>
      <c r="AF261">
        <f t="shared" si="8"/>
        <v>9.3000000000000007</v>
      </c>
      <c r="AG261">
        <f t="shared" si="9"/>
        <v>9.2766999999999999</v>
      </c>
    </row>
    <row r="262" spans="1:33" x14ac:dyDescent="0.25">
      <c r="A262" t="s">
        <v>2059</v>
      </c>
      <c r="B262" t="s">
        <v>2060</v>
      </c>
      <c r="C262" t="s">
        <v>973</v>
      </c>
      <c r="D262" t="s">
        <v>142</v>
      </c>
      <c r="E262" t="s">
        <v>72</v>
      </c>
      <c r="F262" t="s">
        <v>1431</v>
      </c>
      <c r="G262" t="s">
        <v>1177</v>
      </c>
      <c r="H262" t="s">
        <v>1136</v>
      </c>
      <c r="I262" t="s">
        <v>970</v>
      </c>
      <c r="J262" t="s">
        <v>1026</v>
      </c>
      <c r="K262" t="s">
        <v>1455</v>
      </c>
      <c r="L262" t="s">
        <v>1065</v>
      </c>
      <c r="M262" t="s">
        <v>947</v>
      </c>
      <c r="N262" t="s">
        <v>2061</v>
      </c>
      <c r="O262" t="s">
        <v>1104</v>
      </c>
      <c r="P262" t="s">
        <v>1046</v>
      </c>
      <c r="Q262" t="s">
        <v>1462</v>
      </c>
      <c r="R262" t="s">
        <v>1387</v>
      </c>
      <c r="S262" t="s">
        <v>1049</v>
      </c>
      <c r="T262" t="s">
        <v>1012</v>
      </c>
      <c r="U262" t="s">
        <v>2062</v>
      </c>
      <c r="V262" t="s">
        <v>925</v>
      </c>
      <c r="W262" t="s">
        <v>920</v>
      </c>
      <c r="X262" t="s">
        <v>1026</v>
      </c>
      <c r="Y262" t="s">
        <v>956</v>
      </c>
      <c r="Z262" t="s">
        <v>987</v>
      </c>
      <c r="AA262" t="s">
        <v>969</v>
      </c>
      <c r="AB262" t="s">
        <v>1064</v>
      </c>
      <c r="AC262" t="s">
        <v>964</v>
      </c>
      <c r="AD262" t="s">
        <v>1035</v>
      </c>
      <c r="AE262" t="s">
        <v>927</v>
      </c>
      <c r="AF262">
        <f t="shared" si="8"/>
        <v>9</v>
      </c>
      <c r="AG262">
        <f t="shared" si="9"/>
        <v>9.0972000000000008</v>
      </c>
    </row>
    <row r="263" spans="1:33" x14ac:dyDescent="0.25">
      <c r="A263" t="s">
        <v>2063</v>
      </c>
      <c r="B263" t="s">
        <v>2064</v>
      </c>
      <c r="C263" t="s">
        <v>1238</v>
      </c>
      <c r="D263" t="s">
        <v>1279</v>
      </c>
      <c r="E263" t="s">
        <v>93</v>
      </c>
      <c r="F263" t="s">
        <v>1123</v>
      </c>
      <c r="G263" t="s">
        <v>1238</v>
      </c>
      <c r="H263" t="s">
        <v>1883</v>
      </c>
      <c r="I263" t="s">
        <v>964</v>
      </c>
      <c r="J263" t="s">
        <v>1027</v>
      </c>
      <c r="K263" t="s">
        <v>1625</v>
      </c>
      <c r="L263" t="s">
        <v>1049</v>
      </c>
      <c r="M263" t="s">
        <v>909</v>
      </c>
      <c r="N263" t="s">
        <v>1666</v>
      </c>
      <c r="O263" t="s">
        <v>923</v>
      </c>
      <c r="P263" t="s">
        <v>924</v>
      </c>
      <c r="Q263" t="s">
        <v>1968</v>
      </c>
      <c r="R263" t="s">
        <v>1268</v>
      </c>
      <c r="S263" t="s">
        <v>1310</v>
      </c>
      <c r="T263" t="s">
        <v>922</v>
      </c>
      <c r="U263" t="s">
        <v>1757</v>
      </c>
      <c r="V263" t="s">
        <v>918</v>
      </c>
      <c r="W263" t="s">
        <v>1135</v>
      </c>
      <c r="X263" t="s">
        <v>1160</v>
      </c>
      <c r="Y263" t="s">
        <v>918</v>
      </c>
      <c r="Z263" t="s">
        <v>1065</v>
      </c>
      <c r="AA263" t="s">
        <v>1065</v>
      </c>
      <c r="AB263" t="s">
        <v>923</v>
      </c>
      <c r="AC263" t="s">
        <v>947</v>
      </c>
      <c r="AD263" t="s">
        <v>1035</v>
      </c>
      <c r="AE263" t="s">
        <v>927</v>
      </c>
      <c r="AF263">
        <f t="shared" si="8"/>
        <v>9.1999999999999993</v>
      </c>
      <c r="AG263">
        <f t="shared" si="9"/>
        <v>9.1060999999999996</v>
      </c>
    </row>
    <row r="264" spans="1:33" x14ac:dyDescent="0.25">
      <c r="A264" t="s">
        <v>2065</v>
      </c>
      <c r="B264" t="s">
        <v>2066</v>
      </c>
      <c r="C264" t="s">
        <v>1032</v>
      </c>
      <c r="D264" t="s">
        <v>1014</v>
      </c>
      <c r="E264" t="s">
        <v>47</v>
      </c>
      <c r="F264" t="s">
        <v>1459</v>
      </c>
      <c r="G264" t="s">
        <v>1202</v>
      </c>
      <c r="H264" t="s">
        <v>1479</v>
      </c>
      <c r="I264" t="s">
        <v>970</v>
      </c>
      <c r="J264" t="s">
        <v>1128</v>
      </c>
      <c r="K264" t="s">
        <v>1141</v>
      </c>
      <c r="L264" t="s">
        <v>1029</v>
      </c>
      <c r="M264" t="s">
        <v>1103</v>
      </c>
      <c r="N264" t="s">
        <v>1169</v>
      </c>
      <c r="O264" t="s">
        <v>922</v>
      </c>
      <c r="P264" t="s">
        <v>1104</v>
      </c>
      <c r="Q264" t="s">
        <v>1561</v>
      </c>
      <c r="R264" t="s">
        <v>955</v>
      </c>
      <c r="S264" t="s">
        <v>987</v>
      </c>
      <c r="T264" t="s">
        <v>1064</v>
      </c>
      <c r="U264" t="s">
        <v>1972</v>
      </c>
      <c r="V264" t="s">
        <v>1065</v>
      </c>
      <c r="W264" t="s">
        <v>947</v>
      </c>
      <c r="X264" t="s">
        <v>1104</v>
      </c>
      <c r="Y264" t="s">
        <v>987</v>
      </c>
      <c r="Z264" t="s">
        <v>1094</v>
      </c>
      <c r="AA264" t="s">
        <v>1119</v>
      </c>
      <c r="AB264" t="s">
        <v>1065</v>
      </c>
      <c r="AC264" t="s">
        <v>945</v>
      </c>
      <c r="AD264" t="s">
        <v>1035</v>
      </c>
      <c r="AE264" t="s">
        <v>927</v>
      </c>
      <c r="AF264">
        <f t="shared" si="8"/>
        <v>9</v>
      </c>
      <c r="AG264">
        <f t="shared" si="9"/>
        <v>9.0090000000000003</v>
      </c>
    </row>
    <row r="265" spans="1:33" x14ac:dyDescent="0.25">
      <c r="A265" t="s">
        <v>2067</v>
      </c>
      <c r="B265" t="s">
        <v>2068</v>
      </c>
      <c r="C265" t="s">
        <v>1084</v>
      </c>
      <c r="D265" t="s">
        <v>163</v>
      </c>
      <c r="E265" t="s">
        <v>63</v>
      </c>
      <c r="F265" t="s">
        <v>902</v>
      </c>
      <c r="G265" t="s">
        <v>928</v>
      </c>
      <c r="H265" t="s">
        <v>937</v>
      </c>
      <c r="I265" t="s">
        <v>946</v>
      </c>
      <c r="J265" t="s">
        <v>1118</v>
      </c>
      <c r="K265" t="s">
        <v>1818</v>
      </c>
      <c r="L265" t="s">
        <v>1195</v>
      </c>
      <c r="M265" t="s">
        <v>1160</v>
      </c>
      <c r="N265" t="s">
        <v>2069</v>
      </c>
      <c r="O265" t="s">
        <v>968</v>
      </c>
      <c r="P265" t="s">
        <v>1000</v>
      </c>
      <c r="Q265" t="s">
        <v>1171</v>
      </c>
      <c r="R265" t="s">
        <v>1471</v>
      </c>
      <c r="S265" t="s">
        <v>922</v>
      </c>
      <c r="T265" t="s">
        <v>924</v>
      </c>
      <c r="U265" t="s">
        <v>2070</v>
      </c>
      <c r="V265" t="s">
        <v>987</v>
      </c>
      <c r="W265" t="s">
        <v>993</v>
      </c>
      <c r="X265" t="s">
        <v>970</v>
      </c>
      <c r="Y265" t="s">
        <v>945</v>
      </c>
      <c r="Z265" t="s">
        <v>1065</v>
      </c>
      <c r="AA265" t="s">
        <v>934</v>
      </c>
      <c r="AB265" t="s">
        <v>969</v>
      </c>
      <c r="AC265" t="s">
        <v>922</v>
      </c>
      <c r="AD265" t="s">
        <v>1035</v>
      </c>
      <c r="AE265" t="s">
        <v>927</v>
      </c>
      <c r="AF265">
        <f t="shared" si="8"/>
        <v>9.1999999999999993</v>
      </c>
      <c r="AG265">
        <f t="shared" si="9"/>
        <v>9.0555000000000003</v>
      </c>
    </row>
    <row r="266" spans="1:33" x14ac:dyDescent="0.25">
      <c r="A266" t="s">
        <v>2071</v>
      </c>
      <c r="B266" t="s">
        <v>380</v>
      </c>
      <c r="C266" t="s">
        <v>1204</v>
      </c>
      <c r="D266" t="s">
        <v>170</v>
      </c>
      <c r="E266" t="s">
        <v>56</v>
      </c>
      <c r="F266" t="s">
        <v>1033</v>
      </c>
      <c r="G266" t="s">
        <v>901</v>
      </c>
      <c r="H266" t="s">
        <v>1286</v>
      </c>
      <c r="I266" t="s">
        <v>919</v>
      </c>
      <c r="J266" t="s">
        <v>915</v>
      </c>
      <c r="K266" t="s">
        <v>907</v>
      </c>
      <c r="L266" t="s">
        <v>934</v>
      </c>
      <c r="M266" t="s">
        <v>969</v>
      </c>
      <c r="N266" t="s">
        <v>1960</v>
      </c>
      <c r="O266" t="s">
        <v>1160</v>
      </c>
      <c r="P266" t="s">
        <v>1118</v>
      </c>
      <c r="Q266" t="s">
        <v>1058</v>
      </c>
      <c r="R266" t="s">
        <v>1275</v>
      </c>
      <c r="S266" t="s">
        <v>1008</v>
      </c>
      <c r="T266" t="s">
        <v>923</v>
      </c>
      <c r="U266" t="s">
        <v>2072</v>
      </c>
      <c r="V266" t="s">
        <v>969</v>
      </c>
      <c r="W266" t="s">
        <v>1049</v>
      </c>
      <c r="X266" t="s">
        <v>924</v>
      </c>
      <c r="Y266" t="s">
        <v>1103</v>
      </c>
      <c r="Z266" t="s">
        <v>1064</v>
      </c>
      <c r="AA266" t="s">
        <v>1094</v>
      </c>
      <c r="AB266" t="s">
        <v>1230</v>
      </c>
      <c r="AC266" t="s">
        <v>923</v>
      </c>
      <c r="AD266" t="s">
        <v>1035</v>
      </c>
      <c r="AE266" t="s">
        <v>927</v>
      </c>
      <c r="AF266">
        <f t="shared" si="8"/>
        <v>9.0999999999999979</v>
      </c>
      <c r="AG266">
        <f t="shared" si="9"/>
        <v>9.131000000000002</v>
      </c>
    </row>
    <row r="267" spans="1:33" x14ac:dyDescent="0.25">
      <c r="A267" t="s">
        <v>2073</v>
      </c>
      <c r="B267" t="s">
        <v>145</v>
      </c>
      <c r="C267" t="s">
        <v>1238</v>
      </c>
      <c r="D267" t="s">
        <v>83</v>
      </c>
      <c r="E267" t="s">
        <v>72</v>
      </c>
      <c r="F267" t="s">
        <v>1438</v>
      </c>
      <c r="G267" t="s">
        <v>930</v>
      </c>
      <c r="H267" t="s">
        <v>1066</v>
      </c>
      <c r="I267" t="s">
        <v>1030</v>
      </c>
      <c r="J267" t="s">
        <v>1112</v>
      </c>
      <c r="K267" t="s">
        <v>1042</v>
      </c>
      <c r="L267" t="s">
        <v>1600</v>
      </c>
      <c r="M267" t="s">
        <v>1600</v>
      </c>
      <c r="N267" t="s">
        <v>1646</v>
      </c>
      <c r="O267" t="s">
        <v>1030</v>
      </c>
      <c r="P267" t="s">
        <v>1112</v>
      </c>
      <c r="Q267" t="s">
        <v>1370</v>
      </c>
      <c r="R267" t="s">
        <v>1042</v>
      </c>
      <c r="S267" t="s">
        <v>922</v>
      </c>
      <c r="T267" t="s">
        <v>1104</v>
      </c>
      <c r="U267" t="s">
        <v>2074</v>
      </c>
      <c r="V267" t="s">
        <v>979</v>
      </c>
      <c r="W267" t="s">
        <v>957</v>
      </c>
      <c r="X267" t="s">
        <v>989</v>
      </c>
      <c r="Y267" t="s">
        <v>1230</v>
      </c>
      <c r="Z267" t="s">
        <v>1065</v>
      </c>
      <c r="AA267" t="s">
        <v>1195</v>
      </c>
      <c r="AB267" t="s">
        <v>1064</v>
      </c>
      <c r="AC267" t="s">
        <v>956</v>
      </c>
      <c r="AD267" t="s">
        <v>1035</v>
      </c>
      <c r="AE267" t="s">
        <v>927</v>
      </c>
      <c r="AF267">
        <f t="shared" si="8"/>
        <v>9.1</v>
      </c>
      <c r="AG267">
        <f t="shared" si="9"/>
        <v>9.0876000000000001</v>
      </c>
    </row>
    <row r="268" spans="1:33" x14ac:dyDescent="0.25">
      <c r="A268" t="s">
        <v>2075</v>
      </c>
      <c r="B268" t="s">
        <v>2076</v>
      </c>
      <c r="C268" t="s">
        <v>1176</v>
      </c>
      <c r="D268" t="s">
        <v>1069</v>
      </c>
      <c r="E268" t="s">
        <v>47</v>
      </c>
      <c r="F268" t="s">
        <v>1138</v>
      </c>
      <c r="G268" t="s">
        <v>995</v>
      </c>
      <c r="H268" t="s">
        <v>1231</v>
      </c>
      <c r="I268" t="s">
        <v>1048</v>
      </c>
      <c r="J268" t="s">
        <v>1009</v>
      </c>
      <c r="K268" t="s">
        <v>1419</v>
      </c>
      <c r="L268" t="s">
        <v>924</v>
      </c>
      <c r="M268" t="s">
        <v>1126</v>
      </c>
      <c r="N268" t="s">
        <v>1538</v>
      </c>
      <c r="O268" t="s">
        <v>987</v>
      </c>
      <c r="P268" t="s">
        <v>922</v>
      </c>
      <c r="Q268" t="s">
        <v>1300</v>
      </c>
      <c r="R268" t="s">
        <v>1606</v>
      </c>
      <c r="S268" t="s">
        <v>1094</v>
      </c>
      <c r="T268" t="s">
        <v>1094</v>
      </c>
      <c r="U268" t="s">
        <v>1557</v>
      </c>
      <c r="V268" t="s">
        <v>1008</v>
      </c>
      <c r="W268" t="s">
        <v>1160</v>
      </c>
      <c r="X268" t="s">
        <v>957</v>
      </c>
      <c r="Y268" t="s">
        <v>925</v>
      </c>
      <c r="Z268" t="s">
        <v>918</v>
      </c>
      <c r="AA268" t="s">
        <v>1065</v>
      </c>
      <c r="AB268" t="s">
        <v>918</v>
      </c>
      <c r="AC268" t="s">
        <v>956</v>
      </c>
      <c r="AD268" t="s">
        <v>1035</v>
      </c>
      <c r="AE268" t="s">
        <v>927</v>
      </c>
      <c r="AF268">
        <f t="shared" si="8"/>
        <v>9.1000000000000014</v>
      </c>
      <c r="AG268">
        <f t="shared" si="9"/>
        <v>9.0409000000000006</v>
      </c>
    </row>
    <row r="269" spans="1:33" x14ac:dyDescent="0.25">
      <c r="A269" t="s">
        <v>2077</v>
      </c>
      <c r="B269" t="s">
        <v>262</v>
      </c>
      <c r="C269" t="s">
        <v>1084</v>
      </c>
      <c r="D269" t="s">
        <v>974</v>
      </c>
      <c r="E269" t="s">
        <v>63</v>
      </c>
      <c r="F269" t="s">
        <v>1255</v>
      </c>
      <c r="G269" t="s">
        <v>1212</v>
      </c>
      <c r="H269" t="s">
        <v>2078</v>
      </c>
      <c r="I269" t="s">
        <v>1000</v>
      </c>
      <c r="J269" t="s">
        <v>1009</v>
      </c>
      <c r="K269" t="s">
        <v>1168</v>
      </c>
      <c r="L269" t="s">
        <v>923</v>
      </c>
      <c r="M269" t="s">
        <v>1104</v>
      </c>
      <c r="N269" t="s">
        <v>1425</v>
      </c>
      <c r="O269" t="s">
        <v>924</v>
      </c>
      <c r="P269" t="s">
        <v>957</v>
      </c>
      <c r="Q269" t="s">
        <v>1340</v>
      </c>
      <c r="R269" t="s">
        <v>1308</v>
      </c>
      <c r="S269" t="s">
        <v>1195</v>
      </c>
      <c r="T269" t="s">
        <v>1310</v>
      </c>
      <c r="U269" t="s">
        <v>1341</v>
      </c>
      <c r="V269" t="s">
        <v>991</v>
      </c>
      <c r="W269" t="s">
        <v>1230</v>
      </c>
      <c r="X269" t="s">
        <v>968</v>
      </c>
      <c r="Y269" t="s">
        <v>1030</v>
      </c>
      <c r="Z269" t="s">
        <v>1008</v>
      </c>
      <c r="AA269" t="s">
        <v>934</v>
      </c>
      <c r="AB269" t="s">
        <v>1195</v>
      </c>
      <c r="AC269" t="s">
        <v>1029</v>
      </c>
      <c r="AD269" t="s">
        <v>1108</v>
      </c>
      <c r="AE269" t="s">
        <v>927</v>
      </c>
      <c r="AF269">
        <f t="shared" si="8"/>
        <v>9.1</v>
      </c>
      <c r="AG269">
        <f t="shared" si="9"/>
        <v>9.0564</v>
      </c>
    </row>
    <row r="270" spans="1:33" x14ac:dyDescent="0.25">
      <c r="A270" t="s">
        <v>2077</v>
      </c>
      <c r="B270" t="s">
        <v>262</v>
      </c>
      <c r="C270" t="s">
        <v>1084</v>
      </c>
      <c r="D270" t="s">
        <v>77</v>
      </c>
      <c r="E270" t="s">
        <v>56</v>
      </c>
      <c r="F270" t="s">
        <v>1204</v>
      </c>
      <c r="G270" t="s">
        <v>1717</v>
      </c>
      <c r="H270" t="s">
        <v>905</v>
      </c>
      <c r="I270" t="s">
        <v>1220</v>
      </c>
      <c r="J270" t="s">
        <v>1291</v>
      </c>
      <c r="K270" t="s">
        <v>1466</v>
      </c>
      <c r="L270" t="s">
        <v>1065</v>
      </c>
      <c r="M270" t="s">
        <v>1195</v>
      </c>
      <c r="N270" t="s">
        <v>2023</v>
      </c>
      <c r="O270" t="s">
        <v>925</v>
      </c>
      <c r="P270" t="s">
        <v>1081</v>
      </c>
      <c r="Q270" t="s">
        <v>907</v>
      </c>
      <c r="R270" t="s">
        <v>1239</v>
      </c>
      <c r="S270" t="s">
        <v>1064</v>
      </c>
      <c r="T270" t="s">
        <v>1230</v>
      </c>
      <c r="U270" t="s">
        <v>1864</v>
      </c>
      <c r="V270" t="s">
        <v>991</v>
      </c>
      <c r="W270" t="s">
        <v>987</v>
      </c>
      <c r="X270" t="s">
        <v>1195</v>
      </c>
      <c r="Y270" t="s">
        <v>1012</v>
      </c>
      <c r="Z270" t="s">
        <v>991</v>
      </c>
      <c r="AA270" t="s">
        <v>934</v>
      </c>
      <c r="AB270" t="s">
        <v>918</v>
      </c>
      <c r="AC270" t="s">
        <v>1195</v>
      </c>
      <c r="AD270" t="s">
        <v>1116</v>
      </c>
      <c r="AE270" t="s">
        <v>927</v>
      </c>
      <c r="AF270">
        <f t="shared" si="8"/>
        <v>7</v>
      </c>
      <c r="AG270">
        <f t="shared" si="9"/>
        <v>6.8762000000000008</v>
      </c>
    </row>
    <row r="271" spans="1:33" x14ac:dyDescent="0.25">
      <c r="A271" t="s">
        <v>2077</v>
      </c>
      <c r="B271" t="s">
        <v>262</v>
      </c>
      <c r="C271" t="s">
        <v>1084</v>
      </c>
      <c r="D271" t="s">
        <v>108</v>
      </c>
      <c r="E271" t="s">
        <v>63</v>
      </c>
      <c r="F271" t="s">
        <v>1015</v>
      </c>
      <c r="G271" t="s">
        <v>1212</v>
      </c>
      <c r="H271" t="s">
        <v>1237</v>
      </c>
      <c r="I271" t="s">
        <v>1081</v>
      </c>
      <c r="J271" t="s">
        <v>965</v>
      </c>
      <c r="K271" t="s">
        <v>1474</v>
      </c>
      <c r="L271" t="s">
        <v>1029</v>
      </c>
      <c r="M271" t="s">
        <v>1211</v>
      </c>
      <c r="N271" t="s">
        <v>1250</v>
      </c>
      <c r="O271" t="s">
        <v>1012</v>
      </c>
      <c r="P271" t="s">
        <v>1043</v>
      </c>
      <c r="Q271" t="s">
        <v>1565</v>
      </c>
      <c r="R271" t="s">
        <v>1262</v>
      </c>
      <c r="S271" t="s">
        <v>1230</v>
      </c>
      <c r="T271" t="s">
        <v>1029</v>
      </c>
      <c r="U271" t="s">
        <v>1452</v>
      </c>
      <c r="V271" t="s">
        <v>991</v>
      </c>
      <c r="W271" t="s">
        <v>908</v>
      </c>
      <c r="X271" t="s">
        <v>993</v>
      </c>
      <c r="Y271" t="s">
        <v>1046</v>
      </c>
      <c r="Z271" t="s">
        <v>1064</v>
      </c>
      <c r="AA271" t="s">
        <v>1094</v>
      </c>
      <c r="AB271" t="s">
        <v>968</v>
      </c>
      <c r="AC271" t="s">
        <v>956</v>
      </c>
      <c r="AD271" t="s">
        <v>1002</v>
      </c>
      <c r="AE271" t="s">
        <v>927</v>
      </c>
      <c r="AF271">
        <f t="shared" si="8"/>
        <v>11.4</v>
      </c>
      <c r="AG271">
        <f t="shared" si="9"/>
        <v>11.4436</v>
      </c>
    </row>
    <row r="272" spans="1:33" x14ac:dyDescent="0.25">
      <c r="A272" t="s">
        <v>2079</v>
      </c>
      <c r="B272" t="s">
        <v>2080</v>
      </c>
      <c r="C272" t="s">
        <v>929</v>
      </c>
      <c r="D272" t="s">
        <v>974</v>
      </c>
      <c r="E272" t="s">
        <v>56</v>
      </c>
      <c r="F272" t="s">
        <v>1164</v>
      </c>
      <c r="G272" t="s">
        <v>1067</v>
      </c>
      <c r="H272" t="s">
        <v>1017</v>
      </c>
      <c r="I272" t="s">
        <v>1135</v>
      </c>
      <c r="J272" t="s">
        <v>1009</v>
      </c>
      <c r="K272" t="s">
        <v>1393</v>
      </c>
      <c r="L272" t="s">
        <v>1230</v>
      </c>
      <c r="M272" t="s">
        <v>919</v>
      </c>
      <c r="N272" t="s">
        <v>2081</v>
      </c>
      <c r="O272" t="s">
        <v>1310</v>
      </c>
      <c r="P272" t="s">
        <v>1000</v>
      </c>
      <c r="Q272" t="s">
        <v>1168</v>
      </c>
      <c r="R272" t="s">
        <v>1110</v>
      </c>
      <c r="S272" t="s">
        <v>1029</v>
      </c>
      <c r="T272" t="s">
        <v>908</v>
      </c>
      <c r="U272" t="s">
        <v>2043</v>
      </c>
      <c r="V272" t="s">
        <v>1065</v>
      </c>
      <c r="W272" t="s">
        <v>1029</v>
      </c>
      <c r="X272" t="s">
        <v>908</v>
      </c>
      <c r="Y272" t="s">
        <v>1048</v>
      </c>
      <c r="Z272" t="s">
        <v>1064</v>
      </c>
      <c r="AA272" t="s">
        <v>1094</v>
      </c>
      <c r="AB272" t="s">
        <v>1029</v>
      </c>
      <c r="AC272" t="s">
        <v>1029</v>
      </c>
      <c r="AD272" t="s">
        <v>1108</v>
      </c>
      <c r="AE272" t="s">
        <v>927</v>
      </c>
      <c r="AF272">
        <f t="shared" si="8"/>
        <v>9</v>
      </c>
      <c r="AG272">
        <f t="shared" si="9"/>
        <v>9.0145</v>
      </c>
    </row>
    <row r="273" spans="1:33" x14ac:dyDescent="0.25">
      <c r="A273" t="s">
        <v>2079</v>
      </c>
      <c r="B273" t="s">
        <v>2080</v>
      </c>
      <c r="C273" t="s">
        <v>929</v>
      </c>
      <c r="D273" t="s">
        <v>156</v>
      </c>
      <c r="E273" t="s">
        <v>56</v>
      </c>
      <c r="F273" t="s">
        <v>1232</v>
      </c>
      <c r="G273" t="s">
        <v>1051</v>
      </c>
      <c r="H273" t="s">
        <v>1408</v>
      </c>
      <c r="I273" t="s">
        <v>1104</v>
      </c>
      <c r="J273" t="s">
        <v>1011</v>
      </c>
      <c r="K273" t="s">
        <v>1625</v>
      </c>
      <c r="L273" t="s">
        <v>1310</v>
      </c>
      <c r="M273" t="s">
        <v>957</v>
      </c>
      <c r="N273" t="s">
        <v>1315</v>
      </c>
      <c r="O273" t="s">
        <v>1195</v>
      </c>
      <c r="P273" t="s">
        <v>946</v>
      </c>
      <c r="Q273" t="s">
        <v>1968</v>
      </c>
      <c r="R273" t="s">
        <v>1923</v>
      </c>
      <c r="S273" t="s">
        <v>1029</v>
      </c>
      <c r="T273" t="s">
        <v>1049</v>
      </c>
      <c r="U273" t="s">
        <v>1765</v>
      </c>
      <c r="V273" t="s">
        <v>1008</v>
      </c>
      <c r="W273" t="s">
        <v>1310</v>
      </c>
      <c r="X273" t="s">
        <v>947</v>
      </c>
      <c r="Y273" t="s">
        <v>1030</v>
      </c>
      <c r="Z273" t="s">
        <v>945</v>
      </c>
      <c r="AA273" t="s">
        <v>1094</v>
      </c>
      <c r="AB273" t="s">
        <v>968</v>
      </c>
      <c r="AC273" t="s">
        <v>1029</v>
      </c>
      <c r="AD273" t="s">
        <v>1062</v>
      </c>
      <c r="AE273" t="s">
        <v>927</v>
      </c>
      <c r="AF273">
        <f t="shared" si="8"/>
        <v>8.6999999999999993</v>
      </c>
      <c r="AG273">
        <f t="shared" si="9"/>
        <v>8.6897000000000002</v>
      </c>
    </row>
    <row r="274" spans="1:33" x14ac:dyDescent="0.25">
      <c r="A274" t="s">
        <v>2079</v>
      </c>
      <c r="B274" t="s">
        <v>2080</v>
      </c>
      <c r="C274" t="s">
        <v>929</v>
      </c>
      <c r="D274" t="s">
        <v>77</v>
      </c>
      <c r="E274" t="s">
        <v>56</v>
      </c>
      <c r="F274" t="s">
        <v>1175</v>
      </c>
      <c r="G274" t="s">
        <v>901</v>
      </c>
      <c r="H274" t="s">
        <v>937</v>
      </c>
      <c r="I274" t="s">
        <v>1048</v>
      </c>
      <c r="J274" t="s">
        <v>1118</v>
      </c>
      <c r="K274" t="s">
        <v>1966</v>
      </c>
      <c r="L274" t="s">
        <v>1195</v>
      </c>
      <c r="M274" t="s">
        <v>1000</v>
      </c>
      <c r="N274" t="s">
        <v>1478</v>
      </c>
      <c r="O274" t="s">
        <v>1049</v>
      </c>
      <c r="P274" t="s">
        <v>1160</v>
      </c>
      <c r="Q274" t="s">
        <v>1466</v>
      </c>
      <c r="R274" t="s">
        <v>1615</v>
      </c>
      <c r="S274" t="s">
        <v>1029</v>
      </c>
      <c r="T274" t="s">
        <v>947</v>
      </c>
      <c r="U274" t="s">
        <v>2082</v>
      </c>
      <c r="V274" t="s">
        <v>1094</v>
      </c>
      <c r="W274" t="s">
        <v>922</v>
      </c>
      <c r="X274" t="s">
        <v>1049</v>
      </c>
      <c r="Y274" t="s">
        <v>993</v>
      </c>
      <c r="Z274" t="s">
        <v>1064</v>
      </c>
      <c r="AA274" t="s">
        <v>934</v>
      </c>
      <c r="AB274" t="s">
        <v>1195</v>
      </c>
      <c r="AC274" t="s">
        <v>1310</v>
      </c>
      <c r="AD274" t="s">
        <v>959</v>
      </c>
      <c r="AE274" t="s">
        <v>927</v>
      </c>
      <c r="AF274">
        <f t="shared" si="8"/>
        <v>9.3000000000000007</v>
      </c>
      <c r="AG274">
        <f t="shared" si="9"/>
        <v>9.3436000000000003</v>
      </c>
    </row>
    <row r="275" spans="1:33" x14ac:dyDescent="0.25">
      <c r="A275" t="s">
        <v>2083</v>
      </c>
      <c r="B275" t="s">
        <v>323</v>
      </c>
      <c r="C275" t="s">
        <v>1164</v>
      </c>
      <c r="D275" t="s">
        <v>1223</v>
      </c>
      <c r="E275" t="s">
        <v>93</v>
      </c>
      <c r="F275" t="s">
        <v>1431</v>
      </c>
      <c r="G275" t="s">
        <v>1535</v>
      </c>
      <c r="H275" t="s">
        <v>1979</v>
      </c>
      <c r="I275" t="s">
        <v>1048</v>
      </c>
      <c r="J275" t="s">
        <v>1028</v>
      </c>
      <c r="K275" t="s">
        <v>2040</v>
      </c>
      <c r="L275" t="s">
        <v>945</v>
      </c>
      <c r="M275" t="s">
        <v>992</v>
      </c>
      <c r="N275" t="s">
        <v>1578</v>
      </c>
      <c r="O275" t="s">
        <v>956</v>
      </c>
      <c r="P275" t="s">
        <v>1160</v>
      </c>
      <c r="Q275" t="s">
        <v>1208</v>
      </c>
      <c r="R275" t="s">
        <v>2084</v>
      </c>
      <c r="S275" t="s">
        <v>1310</v>
      </c>
      <c r="T275" t="s">
        <v>925</v>
      </c>
      <c r="U275" t="s">
        <v>2056</v>
      </c>
      <c r="V275" t="s">
        <v>1064</v>
      </c>
      <c r="W275" t="s">
        <v>920</v>
      </c>
      <c r="X275" t="s">
        <v>1059</v>
      </c>
      <c r="Y275" t="s">
        <v>1092</v>
      </c>
      <c r="Z275" t="s">
        <v>1310</v>
      </c>
      <c r="AA275" t="s">
        <v>923</v>
      </c>
      <c r="AB275" t="s">
        <v>1012</v>
      </c>
      <c r="AC275" t="s">
        <v>1048</v>
      </c>
      <c r="AD275" t="s">
        <v>1108</v>
      </c>
      <c r="AE275" t="s">
        <v>927</v>
      </c>
      <c r="AF275">
        <f t="shared" si="8"/>
        <v>9.1</v>
      </c>
      <c r="AG275">
        <f t="shared" si="9"/>
        <v>9.054000000000002</v>
      </c>
    </row>
    <row r="276" spans="1:33" x14ac:dyDescent="0.25">
      <c r="A276" t="s">
        <v>2085</v>
      </c>
      <c r="B276" t="s">
        <v>2086</v>
      </c>
      <c r="C276" t="s">
        <v>1032</v>
      </c>
      <c r="D276" t="s">
        <v>1279</v>
      </c>
      <c r="E276" t="s">
        <v>56</v>
      </c>
      <c r="F276" t="s">
        <v>1051</v>
      </c>
      <c r="G276" t="s">
        <v>1031</v>
      </c>
      <c r="H276" t="s">
        <v>1894</v>
      </c>
      <c r="I276" t="s">
        <v>1135</v>
      </c>
      <c r="J276" t="s">
        <v>1026</v>
      </c>
      <c r="K276" t="s">
        <v>1761</v>
      </c>
      <c r="L276" t="s">
        <v>1195</v>
      </c>
      <c r="M276" t="s">
        <v>979</v>
      </c>
      <c r="N276" t="s">
        <v>1679</v>
      </c>
      <c r="O276" t="s">
        <v>922</v>
      </c>
      <c r="P276" t="s">
        <v>1030</v>
      </c>
      <c r="Q276" t="s">
        <v>1665</v>
      </c>
      <c r="R276" t="s">
        <v>1274</v>
      </c>
      <c r="S276" t="s">
        <v>922</v>
      </c>
      <c r="T276" t="s">
        <v>956</v>
      </c>
      <c r="U276" t="s">
        <v>1765</v>
      </c>
      <c r="V276" t="s">
        <v>987</v>
      </c>
      <c r="W276" t="s">
        <v>925</v>
      </c>
      <c r="X276" t="s">
        <v>1135</v>
      </c>
      <c r="Y276" t="s">
        <v>962</v>
      </c>
      <c r="Z276" t="s">
        <v>1008</v>
      </c>
      <c r="AA276" t="s">
        <v>1008</v>
      </c>
      <c r="AB276" t="s">
        <v>1310</v>
      </c>
      <c r="AC276" t="s">
        <v>925</v>
      </c>
      <c r="AD276" t="s">
        <v>1108</v>
      </c>
      <c r="AE276" t="s">
        <v>927</v>
      </c>
      <c r="AF276">
        <f t="shared" si="8"/>
        <v>9</v>
      </c>
      <c r="AG276">
        <f t="shared" si="9"/>
        <v>9.0335000000000001</v>
      </c>
    </row>
    <row r="277" spans="1:33" x14ac:dyDescent="0.25">
      <c r="A277" t="s">
        <v>2087</v>
      </c>
      <c r="B277" t="s">
        <v>256</v>
      </c>
      <c r="C277" t="s">
        <v>1384</v>
      </c>
      <c r="D277" t="s">
        <v>113</v>
      </c>
      <c r="E277" t="s">
        <v>72</v>
      </c>
      <c r="F277" t="s">
        <v>1255</v>
      </c>
      <c r="G277" t="s">
        <v>1187</v>
      </c>
      <c r="H277" t="s">
        <v>1661</v>
      </c>
      <c r="I277" t="s">
        <v>970</v>
      </c>
      <c r="J277" t="s">
        <v>990</v>
      </c>
      <c r="K277" t="s">
        <v>1419</v>
      </c>
      <c r="L277" t="s">
        <v>1049</v>
      </c>
      <c r="M277" t="s">
        <v>962</v>
      </c>
      <c r="N277" t="s">
        <v>1475</v>
      </c>
      <c r="O277" t="s">
        <v>1230</v>
      </c>
      <c r="P277" t="s">
        <v>993</v>
      </c>
      <c r="Q277" t="s">
        <v>1115</v>
      </c>
      <c r="R277" t="s">
        <v>1042</v>
      </c>
      <c r="S277" t="s">
        <v>969</v>
      </c>
      <c r="T277" t="s">
        <v>969</v>
      </c>
      <c r="U277" t="s">
        <v>1969</v>
      </c>
      <c r="V277" t="s">
        <v>1195</v>
      </c>
      <c r="W277" t="s">
        <v>1134</v>
      </c>
      <c r="X277" t="s">
        <v>985</v>
      </c>
      <c r="Y277" t="s">
        <v>908</v>
      </c>
      <c r="Z277" t="s">
        <v>969</v>
      </c>
      <c r="AA277" t="s">
        <v>918</v>
      </c>
      <c r="AB277" t="s">
        <v>987</v>
      </c>
      <c r="AC277" t="s">
        <v>1230</v>
      </c>
      <c r="AD277" t="s">
        <v>1108</v>
      </c>
      <c r="AE277" t="s">
        <v>927</v>
      </c>
      <c r="AF277">
        <f t="shared" si="8"/>
        <v>9.1</v>
      </c>
      <c r="AG277">
        <f t="shared" si="9"/>
        <v>8.9548000000000005</v>
      </c>
    </row>
    <row r="278" spans="1:33" x14ac:dyDescent="0.25">
      <c r="A278" t="s">
        <v>2088</v>
      </c>
      <c r="B278" t="s">
        <v>2089</v>
      </c>
      <c r="C278" t="s">
        <v>995</v>
      </c>
      <c r="D278" t="s">
        <v>148</v>
      </c>
      <c r="E278" t="s">
        <v>63</v>
      </c>
      <c r="F278" t="s">
        <v>1107</v>
      </c>
      <c r="G278" t="s">
        <v>972</v>
      </c>
      <c r="H278" t="s">
        <v>1153</v>
      </c>
      <c r="I278" t="s">
        <v>1048</v>
      </c>
      <c r="J278" t="s">
        <v>1028</v>
      </c>
      <c r="K278" t="s">
        <v>1434</v>
      </c>
      <c r="L278" t="s">
        <v>1230</v>
      </c>
      <c r="M278" t="s">
        <v>919</v>
      </c>
      <c r="N278" t="s">
        <v>1282</v>
      </c>
      <c r="O278" t="s">
        <v>968</v>
      </c>
      <c r="P278" t="s">
        <v>970</v>
      </c>
      <c r="Q278" t="s">
        <v>1261</v>
      </c>
      <c r="R278" t="s">
        <v>1352</v>
      </c>
      <c r="S278" t="s">
        <v>1064</v>
      </c>
      <c r="T278" t="s">
        <v>1230</v>
      </c>
      <c r="U278" t="s">
        <v>1942</v>
      </c>
      <c r="V278" t="s">
        <v>1094</v>
      </c>
      <c r="W278" t="s">
        <v>1049</v>
      </c>
      <c r="X278" t="s">
        <v>925</v>
      </c>
      <c r="Y278" t="s">
        <v>1195</v>
      </c>
      <c r="Z278" t="s">
        <v>969</v>
      </c>
      <c r="AA278" t="s">
        <v>934</v>
      </c>
      <c r="AB278" t="s">
        <v>918</v>
      </c>
      <c r="AC278" t="s">
        <v>947</v>
      </c>
      <c r="AD278" t="s">
        <v>1108</v>
      </c>
      <c r="AE278" t="s">
        <v>927</v>
      </c>
      <c r="AF278">
        <f t="shared" si="8"/>
        <v>8.9</v>
      </c>
      <c r="AG278">
        <f t="shared" si="9"/>
        <v>9.0815000000000001</v>
      </c>
    </row>
    <row r="279" spans="1:33" x14ac:dyDescent="0.25">
      <c r="A279" t="s">
        <v>2090</v>
      </c>
      <c r="B279" t="s">
        <v>240</v>
      </c>
      <c r="C279" t="s">
        <v>1032</v>
      </c>
      <c r="D279" t="s">
        <v>131</v>
      </c>
      <c r="E279" t="s">
        <v>93</v>
      </c>
      <c r="F279" t="s">
        <v>1349</v>
      </c>
      <c r="G279" t="s">
        <v>1068</v>
      </c>
      <c r="H279" t="s">
        <v>1317</v>
      </c>
      <c r="I279" t="s">
        <v>970</v>
      </c>
      <c r="J279" t="s">
        <v>989</v>
      </c>
      <c r="K279" t="s">
        <v>1225</v>
      </c>
      <c r="L279" t="s">
        <v>1310</v>
      </c>
      <c r="M279" t="s">
        <v>1170</v>
      </c>
      <c r="N279" t="s">
        <v>1886</v>
      </c>
      <c r="O279" t="s">
        <v>922</v>
      </c>
      <c r="P279" t="s">
        <v>1160</v>
      </c>
      <c r="Q279" t="s">
        <v>1037</v>
      </c>
      <c r="R279" t="s">
        <v>1565</v>
      </c>
      <c r="S279" t="s">
        <v>923</v>
      </c>
      <c r="T279" t="s">
        <v>1195</v>
      </c>
      <c r="U279" t="s">
        <v>2091</v>
      </c>
      <c r="V279" t="s">
        <v>1008</v>
      </c>
      <c r="W279" t="s">
        <v>946</v>
      </c>
      <c r="X279" t="s">
        <v>1155</v>
      </c>
      <c r="Y279" t="s">
        <v>956</v>
      </c>
      <c r="Z279" t="s">
        <v>987</v>
      </c>
      <c r="AA279" t="s">
        <v>1065</v>
      </c>
      <c r="AB279" t="s">
        <v>1230</v>
      </c>
      <c r="AC279" t="s">
        <v>1230</v>
      </c>
      <c r="AD279" t="s">
        <v>1108</v>
      </c>
      <c r="AE279" t="s">
        <v>927</v>
      </c>
      <c r="AF279">
        <f t="shared" si="8"/>
        <v>9.1</v>
      </c>
      <c r="AG279">
        <f t="shared" si="9"/>
        <v>8.9801999999999982</v>
      </c>
    </row>
    <row r="280" spans="1:33" x14ac:dyDescent="0.25">
      <c r="A280" t="s">
        <v>2092</v>
      </c>
      <c r="B280" t="s">
        <v>2093</v>
      </c>
      <c r="C280" t="s">
        <v>929</v>
      </c>
      <c r="D280" t="s">
        <v>974</v>
      </c>
      <c r="E280" t="s">
        <v>72</v>
      </c>
      <c r="F280" t="s">
        <v>1177</v>
      </c>
      <c r="G280" t="s">
        <v>1204</v>
      </c>
      <c r="H280" t="s">
        <v>1098</v>
      </c>
      <c r="I280" t="s">
        <v>970</v>
      </c>
      <c r="J280" t="s">
        <v>1116</v>
      </c>
      <c r="K280" t="s">
        <v>1358</v>
      </c>
      <c r="L280" t="s">
        <v>969</v>
      </c>
      <c r="M280" t="s">
        <v>908</v>
      </c>
      <c r="N280" t="s">
        <v>1641</v>
      </c>
      <c r="O280" t="s">
        <v>1220</v>
      </c>
      <c r="P280" t="s">
        <v>1134</v>
      </c>
      <c r="Q280" t="s">
        <v>1115</v>
      </c>
      <c r="R280" t="s">
        <v>1339</v>
      </c>
      <c r="S280" t="s">
        <v>922</v>
      </c>
      <c r="T280" t="s">
        <v>993</v>
      </c>
      <c r="U280" t="s">
        <v>2094</v>
      </c>
      <c r="V280" t="s">
        <v>922</v>
      </c>
      <c r="W280" t="s">
        <v>1059</v>
      </c>
      <c r="X280" t="s">
        <v>1011</v>
      </c>
      <c r="Y280" t="s">
        <v>947</v>
      </c>
      <c r="Z280" t="s">
        <v>987</v>
      </c>
      <c r="AA280" t="s">
        <v>1008</v>
      </c>
      <c r="AB280" t="s">
        <v>1049</v>
      </c>
      <c r="AC280" t="s">
        <v>993</v>
      </c>
      <c r="AD280" t="s">
        <v>1024</v>
      </c>
      <c r="AE280" t="s">
        <v>927</v>
      </c>
      <c r="AF280">
        <f t="shared" si="8"/>
        <v>8.8999999999999986</v>
      </c>
      <c r="AG280">
        <f t="shared" si="9"/>
        <v>8.871100000000002</v>
      </c>
    </row>
    <row r="281" spans="1:33" x14ac:dyDescent="0.25">
      <c r="A281" t="s">
        <v>2092</v>
      </c>
      <c r="B281" t="s">
        <v>2093</v>
      </c>
      <c r="C281" t="s">
        <v>929</v>
      </c>
      <c r="D281" t="s">
        <v>1069</v>
      </c>
      <c r="E281" t="s">
        <v>72</v>
      </c>
      <c r="F281" t="s">
        <v>973</v>
      </c>
      <c r="G281" t="s">
        <v>1032</v>
      </c>
      <c r="H281" t="s">
        <v>1975</v>
      </c>
      <c r="I281" t="s">
        <v>1135</v>
      </c>
      <c r="J281" t="s">
        <v>940</v>
      </c>
      <c r="K281" t="s">
        <v>1337</v>
      </c>
      <c r="L281" t="s">
        <v>987</v>
      </c>
      <c r="M281" t="s">
        <v>924</v>
      </c>
      <c r="N281" t="s">
        <v>1315</v>
      </c>
      <c r="O281" t="s">
        <v>925</v>
      </c>
      <c r="P281" t="s">
        <v>1081</v>
      </c>
      <c r="Q281" t="s">
        <v>1352</v>
      </c>
      <c r="R281" t="s">
        <v>1274</v>
      </c>
      <c r="S281" t="s">
        <v>1049</v>
      </c>
      <c r="T281" t="s">
        <v>1104</v>
      </c>
      <c r="U281" t="s">
        <v>1875</v>
      </c>
      <c r="V281" t="s">
        <v>968</v>
      </c>
      <c r="W281" t="s">
        <v>1118</v>
      </c>
      <c r="X281" t="s">
        <v>911</v>
      </c>
      <c r="Y281" t="s">
        <v>1049</v>
      </c>
      <c r="Z281" t="s">
        <v>918</v>
      </c>
      <c r="AA281" t="s">
        <v>969</v>
      </c>
      <c r="AB281" t="s">
        <v>947</v>
      </c>
      <c r="AC281" t="s">
        <v>946</v>
      </c>
      <c r="AD281" t="s">
        <v>1152</v>
      </c>
      <c r="AE281" t="s">
        <v>927</v>
      </c>
      <c r="AF281">
        <f t="shared" si="8"/>
        <v>8.7000000000000011</v>
      </c>
      <c r="AG281">
        <f t="shared" si="9"/>
        <v>8.6050000000000004</v>
      </c>
    </row>
    <row r="282" spans="1:33" x14ac:dyDescent="0.25">
      <c r="A282" t="s">
        <v>874</v>
      </c>
      <c r="B282" t="s">
        <v>171</v>
      </c>
      <c r="C282" t="s">
        <v>875</v>
      </c>
      <c r="D282" t="s">
        <v>172</v>
      </c>
      <c r="E282" t="s">
        <v>876</v>
      </c>
      <c r="F282" t="s">
        <v>392</v>
      </c>
      <c r="G282" t="s">
        <v>877</v>
      </c>
      <c r="H282" t="s">
        <v>878</v>
      </c>
      <c r="I282" t="s">
        <v>879</v>
      </c>
      <c r="J282" t="s">
        <v>880</v>
      </c>
      <c r="K282" t="s">
        <v>881</v>
      </c>
      <c r="L282" t="s">
        <v>882</v>
      </c>
      <c r="M282" t="s">
        <v>883</v>
      </c>
      <c r="N282" t="s">
        <v>884</v>
      </c>
      <c r="O282" t="s">
        <v>885</v>
      </c>
      <c r="P282" t="s">
        <v>886</v>
      </c>
      <c r="Q282" t="s">
        <v>887</v>
      </c>
      <c r="R282" t="s">
        <v>888</v>
      </c>
      <c r="S282" t="s">
        <v>889</v>
      </c>
      <c r="T282" t="s">
        <v>890</v>
      </c>
      <c r="U282" t="s">
        <v>891</v>
      </c>
      <c r="V282" t="s">
        <v>892</v>
      </c>
      <c r="W282" t="s">
        <v>893</v>
      </c>
      <c r="X282" t="s">
        <v>894</v>
      </c>
      <c r="Y282" t="s">
        <v>895</v>
      </c>
      <c r="Z282" t="s">
        <v>896</v>
      </c>
      <c r="AA282" t="s">
        <v>897</v>
      </c>
      <c r="AB282" t="s">
        <v>898</v>
      </c>
      <c r="AC282" t="s">
        <v>93</v>
      </c>
      <c r="AD282" t="s">
        <v>899</v>
      </c>
      <c r="AE282" t="s">
        <v>900</v>
      </c>
      <c r="AF282" t="e">
        <f t="shared" si="8"/>
        <v>#VALUE!</v>
      </c>
      <c r="AG282" t="e">
        <f t="shared" si="9"/>
        <v>#VALUE!</v>
      </c>
    </row>
    <row r="283" spans="1:33" x14ac:dyDescent="0.25">
      <c r="A283" t="s">
        <v>2092</v>
      </c>
      <c r="B283" t="s">
        <v>2093</v>
      </c>
      <c r="C283" t="s">
        <v>929</v>
      </c>
      <c r="D283" t="s">
        <v>1149</v>
      </c>
      <c r="E283" t="s">
        <v>72</v>
      </c>
      <c r="F283" t="s">
        <v>902</v>
      </c>
      <c r="G283" t="s">
        <v>1096</v>
      </c>
      <c r="H283" t="s">
        <v>1073</v>
      </c>
      <c r="I283" t="s">
        <v>992</v>
      </c>
      <c r="J283" t="s">
        <v>1118</v>
      </c>
      <c r="K283" t="s">
        <v>1587</v>
      </c>
      <c r="L283" t="s">
        <v>1065</v>
      </c>
      <c r="M283" t="s">
        <v>968</v>
      </c>
      <c r="N283" t="s">
        <v>2095</v>
      </c>
      <c r="O283" t="s">
        <v>946</v>
      </c>
      <c r="P283" t="s">
        <v>1291</v>
      </c>
      <c r="Q283" t="s">
        <v>1504</v>
      </c>
      <c r="R283" t="s">
        <v>1615</v>
      </c>
      <c r="S283" t="s">
        <v>1230</v>
      </c>
      <c r="T283" t="s">
        <v>947</v>
      </c>
      <c r="U283" t="s">
        <v>961</v>
      </c>
      <c r="V283" t="s">
        <v>1310</v>
      </c>
      <c r="W283" t="s">
        <v>920</v>
      </c>
      <c r="X283" t="s">
        <v>940</v>
      </c>
      <c r="Y283" t="s">
        <v>1012</v>
      </c>
      <c r="Z283" t="s">
        <v>1008</v>
      </c>
      <c r="AA283" t="s">
        <v>1008</v>
      </c>
      <c r="AB283" t="s">
        <v>1310</v>
      </c>
      <c r="AC283" t="s">
        <v>956</v>
      </c>
      <c r="AD283" t="s">
        <v>911</v>
      </c>
      <c r="AE283" t="s">
        <v>927</v>
      </c>
      <c r="AF283">
        <f t="shared" si="8"/>
        <v>9.1</v>
      </c>
      <c r="AG283">
        <f t="shared" si="9"/>
        <v>9.196299999999999</v>
      </c>
    </row>
    <row r="284" spans="1:33" x14ac:dyDescent="0.25">
      <c r="A284" t="s">
        <v>2096</v>
      </c>
      <c r="B284" t="s">
        <v>2097</v>
      </c>
      <c r="C284" t="s">
        <v>929</v>
      </c>
      <c r="D284" t="s">
        <v>111</v>
      </c>
      <c r="E284" t="s">
        <v>72</v>
      </c>
      <c r="F284" t="s">
        <v>1480</v>
      </c>
      <c r="G284" t="s">
        <v>1403</v>
      </c>
      <c r="H284" t="s">
        <v>1398</v>
      </c>
      <c r="I284" t="s">
        <v>1228</v>
      </c>
      <c r="J284" t="s">
        <v>1128</v>
      </c>
      <c r="K284" t="s">
        <v>1057</v>
      </c>
      <c r="L284" t="s">
        <v>1600</v>
      </c>
      <c r="M284" t="s">
        <v>1600</v>
      </c>
      <c r="N284" t="s">
        <v>1646</v>
      </c>
      <c r="O284" t="s">
        <v>1228</v>
      </c>
      <c r="P284" t="s">
        <v>1128</v>
      </c>
      <c r="Q284" t="s">
        <v>1192</v>
      </c>
      <c r="R284" t="s">
        <v>1057</v>
      </c>
      <c r="S284" t="s">
        <v>918</v>
      </c>
      <c r="T284" t="s">
        <v>968</v>
      </c>
      <c r="U284" t="s">
        <v>984</v>
      </c>
      <c r="V284" t="s">
        <v>1048</v>
      </c>
      <c r="W284" t="s">
        <v>1329</v>
      </c>
      <c r="X284" t="s">
        <v>1182</v>
      </c>
      <c r="Y284" t="s">
        <v>1064</v>
      </c>
      <c r="Z284" t="s">
        <v>969</v>
      </c>
      <c r="AA284" t="s">
        <v>923</v>
      </c>
      <c r="AB284" t="s">
        <v>918</v>
      </c>
      <c r="AC284" t="s">
        <v>1049</v>
      </c>
      <c r="AD284" t="s">
        <v>1024</v>
      </c>
      <c r="AE284" t="s">
        <v>927</v>
      </c>
      <c r="AF284">
        <f t="shared" si="8"/>
        <v>8.9</v>
      </c>
      <c r="AG284">
        <f t="shared" si="9"/>
        <v>8.9168000000000003</v>
      </c>
    </row>
    <row r="285" spans="1:33" x14ac:dyDescent="0.25">
      <c r="A285" t="s">
        <v>2098</v>
      </c>
      <c r="B285" t="s">
        <v>360</v>
      </c>
      <c r="C285" t="s">
        <v>1032</v>
      </c>
      <c r="D285" t="s">
        <v>45</v>
      </c>
      <c r="E285" t="s">
        <v>63</v>
      </c>
      <c r="F285" t="s">
        <v>1446</v>
      </c>
      <c r="G285" t="s">
        <v>1222</v>
      </c>
      <c r="H285" t="s">
        <v>1125</v>
      </c>
      <c r="I285" t="s">
        <v>1048</v>
      </c>
      <c r="J285" t="s">
        <v>988</v>
      </c>
      <c r="K285" t="s">
        <v>1729</v>
      </c>
      <c r="L285" t="s">
        <v>968</v>
      </c>
      <c r="M285" t="s">
        <v>1046</v>
      </c>
      <c r="N285" t="s">
        <v>1169</v>
      </c>
      <c r="O285" t="s">
        <v>1195</v>
      </c>
      <c r="P285" t="s">
        <v>993</v>
      </c>
      <c r="Q285" t="s">
        <v>1226</v>
      </c>
      <c r="R285" t="s">
        <v>1656</v>
      </c>
      <c r="S285" t="s">
        <v>1008</v>
      </c>
      <c r="T285" t="s">
        <v>987</v>
      </c>
      <c r="U285" t="s">
        <v>1701</v>
      </c>
      <c r="V285" t="s">
        <v>1008</v>
      </c>
      <c r="W285" t="s">
        <v>925</v>
      </c>
      <c r="X285" t="s">
        <v>964</v>
      </c>
      <c r="Y285" t="s">
        <v>1064</v>
      </c>
      <c r="Z285" t="s">
        <v>969</v>
      </c>
      <c r="AA285" t="s">
        <v>1119</v>
      </c>
      <c r="AB285" t="s">
        <v>969</v>
      </c>
      <c r="AC285" t="s">
        <v>956</v>
      </c>
      <c r="AD285" t="s">
        <v>1024</v>
      </c>
      <c r="AE285" t="s">
        <v>927</v>
      </c>
      <c r="AF285">
        <f t="shared" si="8"/>
        <v>8.9</v>
      </c>
      <c r="AG285">
        <f t="shared" si="9"/>
        <v>8.8764000000000003</v>
      </c>
    </row>
    <row r="286" spans="1:33" x14ac:dyDescent="0.25">
      <c r="A286" t="s">
        <v>2099</v>
      </c>
      <c r="B286" t="s">
        <v>2100</v>
      </c>
      <c r="C286" t="s">
        <v>1015</v>
      </c>
      <c r="D286" t="s">
        <v>156</v>
      </c>
      <c r="E286" t="s">
        <v>63</v>
      </c>
      <c r="F286" t="s">
        <v>1107</v>
      </c>
      <c r="G286" t="s">
        <v>1121</v>
      </c>
      <c r="H286" t="s">
        <v>2101</v>
      </c>
      <c r="I286" t="s">
        <v>1048</v>
      </c>
      <c r="J286" t="s">
        <v>1006</v>
      </c>
      <c r="K286" t="s">
        <v>1157</v>
      </c>
      <c r="L286" t="s">
        <v>922</v>
      </c>
      <c r="M286" t="s">
        <v>1228</v>
      </c>
      <c r="N286" t="s">
        <v>1784</v>
      </c>
      <c r="O286" t="s">
        <v>1230</v>
      </c>
      <c r="P286" t="s">
        <v>1012</v>
      </c>
      <c r="Q286" t="s">
        <v>1042</v>
      </c>
      <c r="R286" t="s">
        <v>1325</v>
      </c>
      <c r="S286" t="s">
        <v>987</v>
      </c>
      <c r="T286" t="s">
        <v>918</v>
      </c>
      <c r="U286" t="s">
        <v>1969</v>
      </c>
      <c r="V286" t="s">
        <v>969</v>
      </c>
      <c r="W286" t="s">
        <v>925</v>
      </c>
      <c r="X286" t="s">
        <v>1104</v>
      </c>
      <c r="Y286" t="s">
        <v>970</v>
      </c>
      <c r="Z286" t="s">
        <v>987</v>
      </c>
      <c r="AA286" t="s">
        <v>1119</v>
      </c>
      <c r="AB286" t="s">
        <v>1064</v>
      </c>
      <c r="AC286" t="s">
        <v>918</v>
      </c>
      <c r="AD286" t="s">
        <v>1024</v>
      </c>
      <c r="AE286" t="s">
        <v>927</v>
      </c>
      <c r="AF286">
        <f t="shared" si="8"/>
        <v>8.9</v>
      </c>
      <c r="AG286">
        <f t="shared" si="9"/>
        <v>8.8459000000000003</v>
      </c>
    </row>
    <row r="287" spans="1:33" x14ac:dyDescent="0.25">
      <c r="A287" t="s">
        <v>2102</v>
      </c>
      <c r="B287" t="s">
        <v>351</v>
      </c>
      <c r="C287" t="s">
        <v>1032</v>
      </c>
      <c r="D287" t="s">
        <v>77</v>
      </c>
      <c r="E287" t="s">
        <v>47</v>
      </c>
      <c r="F287" t="s">
        <v>1070</v>
      </c>
      <c r="G287" t="s">
        <v>1176</v>
      </c>
      <c r="H287" t="s">
        <v>1383</v>
      </c>
      <c r="I287" t="s">
        <v>1000</v>
      </c>
      <c r="J287" t="s">
        <v>1006</v>
      </c>
      <c r="K287" t="s">
        <v>1091</v>
      </c>
      <c r="L287" t="s">
        <v>945</v>
      </c>
      <c r="M287" t="s">
        <v>946</v>
      </c>
      <c r="N287" t="s">
        <v>1111</v>
      </c>
      <c r="O287" t="s">
        <v>925</v>
      </c>
      <c r="P287" t="s">
        <v>979</v>
      </c>
      <c r="Q287" t="s">
        <v>2103</v>
      </c>
      <c r="R287" t="s">
        <v>933</v>
      </c>
      <c r="S287" t="s">
        <v>987</v>
      </c>
      <c r="T287" t="s">
        <v>945</v>
      </c>
      <c r="U287" t="s">
        <v>2104</v>
      </c>
      <c r="V287" t="s">
        <v>968</v>
      </c>
      <c r="W287" t="s">
        <v>1160</v>
      </c>
      <c r="X287" t="s">
        <v>909</v>
      </c>
      <c r="Y287" t="s">
        <v>923</v>
      </c>
      <c r="Z287" t="s">
        <v>923</v>
      </c>
      <c r="AA287" t="s">
        <v>969</v>
      </c>
      <c r="AB287" t="s">
        <v>918</v>
      </c>
      <c r="AC287" t="s">
        <v>968</v>
      </c>
      <c r="AD287" t="s">
        <v>916</v>
      </c>
      <c r="AE287" t="s">
        <v>927</v>
      </c>
      <c r="AF287">
        <f t="shared" si="8"/>
        <v>8.8000000000000007</v>
      </c>
      <c r="AG287">
        <f t="shared" si="9"/>
        <v>8.7518999999999991</v>
      </c>
    </row>
    <row r="288" spans="1:33" x14ac:dyDescent="0.25">
      <c r="A288" t="s">
        <v>2105</v>
      </c>
      <c r="B288" t="s">
        <v>2106</v>
      </c>
      <c r="C288" t="s">
        <v>1293</v>
      </c>
      <c r="D288" t="s">
        <v>45</v>
      </c>
      <c r="E288" t="s">
        <v>47</v>
      </c>
      <c r="F288" t="s">
        <v>1384</v>
      </c>
      <c r="G288" t="s">
        <v>1147</v>
      </c>
      <c r="H288" t="s">
        <v>1017</v>
      </c>
      <c r="I288" t="s">
        <v>946</v>
      </c>
      <c r="J288" t="s">
        <v>915</v>
      </c>
      <c r="K288" t="s">
        <v>1595</v>
      </c>
      <c r="L288" t="s">
        <v>968</v>
      </c>
      <c r="M288" t="s">
        <v>1043</v>
      </c>
      <c r="N288" t="s">
        <v>1726</v>
      </c>
      <c r="O288" t="s">
        <v>1195</v>
      </c>
      <c r="P288" t="s">
        <v>1012</v>
      </c>
      <c r="Q288" t="s">
        <v>1514</v>
      </c>
      <c r="R288" t="s">
        <v>1262</v>
      </c>
      <c r="S288" t="s">
        <v>1008</v>
      </c>
      <c r="T288" t="s">
        <v>918</v>
      </c>
      <c r="U288" t="s">
        <v>963</v>
      </c>
      <c r="V288" t="s">
        <v>969</v>
      </c>
      <c r="W288" t="s">
        <v>968</v>
      </c>
      <c r="X288" t="s">
        <v>924</v>
      </c>
      <c r="Y288" t="s">
        <v>956</v>
      </c>
      <c r="Z288" t="s">
        <v>1065</v>
      </c>
      <c r="AA288" t="s">
        <v>934</v>
      </c>
      <c r="AB288" t="s">
        <v>1230</v>
      </c>
      <c r="AC288" t="s">
        <v>1064</v>
      </c>
      <c r="AD288" t="s">
        <v>916</v>
      </c>
      <c r="AE288" t="s">
        <v>927</v>
      </c>
      <c r="AF288">
        <f t="shared" si="8"/>
        <v>8.6999999999999993</v>
      </c>
      <c r="AG288">
        <f t="shared" si="9"/>
        <v>8.7275000000000009</v>
      </c>
    </row>
    <row r="289" spans="1:33" x14ac:dyDescent="0.25">
      <c r="A289" t="s">
        <v>2107</v>
      </c>
      <c r="B289" t="s">
        <v>335</v>
      </c>
      <c r="C289" t="s">
        <v>1390</v>
      </c>
      <c r="D289" t="s">
        <v>70</v>
      </c>
      <c r="E289" t="s">
        <v>56</v>
      </c>
      <c r="F289" t="s">
        <v>1416</v>
      </c>
      <c r="G289" t="s">
        <v>1416</v>
      </c>
      <c r="H289" t="s">
        <v>1742</v>
      </c>
      <c r="I289" t="s">
        <v>1135</v>
      </c>
      <c r="J289" t="s">
        <v>1128</v>
      </c>
      <c r="K289" t="s">
        <v>1908</v>
      </c>
      <c r="L289" t="s">
        <v>922</v>
      </c>
      <c r="M289" t="s">
        <v>1047</v>
      </c>
      <c r="N289" t="s">
        <v>1456</v>
      </c>
      <c r="O289" t="s">
        <v>1195</v>
      </c>
      <c r="P289" t="s">
        <v>1012</v>
      </c>
      <c r="Q289" t="s">
        <v>1308</v>
      </c>
      <c r="R289" t="s">
        <v>1042</v>
      </c>
      <c r="S289" t="s">
        <v>923</v>
      </c>
      <c r="T289" t="s">
        <v>1064</v>
      </c>
      <c r="U289" t="s">
        <v>2108</v>
      </c>
      <c r="V289" t="s">
        <v>991</v>
      </c>
      <c r="W289" t="s">
        <v>1048</v>
      </c>
      <c r="X289" t="s">
        <v>992</v>
      </c>
      <c r="Y289" t="s">
        <v>988</v>
      </c>
      <c r="Z289" t="s">
        <v>1195</v>
      </c>
      <c r="AA289" t="s">
        <v>1094</v>
      </c>
      <c r="AB289" t="s">
        <v>1029</v>
      </c>
      <c r="AC289" t="s">
        <v>968</v>
      </c>
      <c r="AD289" t="s">
        <v>916</v>
      </c>
      <c r="AE289" t="s">
        <v>927</v>
      </c>
      <c r="AF289">
        <f t="shared" si="8"/>
        <v>8.6999999999999993</v>
      </c>
      <c r="AG289">
        <f t="shared" si="9"/>
        <v>8.7786999999999988</v>
      </c>
    </row>
    <row r="290" spans="1:33" x14ac:dyDescent="0.25">
      <c r="A290" t="s">
        <v>2109</v>
      </c>
      <c r="B290" t="s">
        <v>2110</v>
      </c>
      <c r="C290" t="s">
        <v>1355</v>
      </c>
      <c r="D290" t="s">
        <v>974</v>
      </c>
      <c r="E290" t="s">
        <v>72</v>
      </c>
      <c r="F290" t="s">
        <v>1422</v>
      </c>
      <c r="G290" t="s">
        <v>995</v>
      </c>
      <c r="H290" t="s">
        <v>1054</v>
      </c>
      <c r="I290" t="s">
        <v>1135</v>
      </c>
      <c r="J290" t="s">
        <v>1059</v>
      </c>
      <c r="K290" t="s">
        <v>1131</v>
      </c>
      <c r="L290" t="s">
        <v>987</v>
      </c>
      <c r="M290" t="s">
        <v>968</v>
      </c>
      <c r="N290" t="s">
        <v>1373</v>
      </c>
      <c r="O290" t="s">
        <v>947</v>
      </c>
      <c r="P290" t="s">
        <v>1170</v>
      </c>
      <c r="Q290" t="s">
        <v>1226</v>
      </c>
      <c r="R290" t="s">
        <v>1324</v>
      </c>
      <c r="S290" t="s">
        <v>1049</v>
      </c>
      <c r="T290" t="s">
        <v>993</v>
      </c>
      <c r="U290" t="s">
        <v>1947</v>
      </c>
      <c r="V290" t="s">
        <v>1230</v>
      </c>
      <c r="W290" t="s">
        <v>970</v>
      </c>
      <c r="X290" t="s">
        <v>957</v>
      </c>
      <c r="Y290" t="s">
        <v>964</v>
      </c>
      <c r="Z290" t="s">
        <v>987</v>
      </c>
      <c r="AA290" t="s">
        <v>991</v>
      </c>
      <c r="AB290" t="s">
        <v>922</v>
      </c>
      <c r="AC290" t="s">
        <v>1104</v>
      </c>
      <c r="AD290" t="s">
        <v>1062</v>
      </c>
      <c r="AE290" t="s">
        <v>927</v>
      </c>
      <c r="AF290">
        <f t="shared" si="8"/>
        <v>8.7000000000000011</v>
      </c>
      <c r="AG290">
        <f t="shared" si="9"/>
        <v>8.7721</v>
      </c>
    </row>
    <row r="291" spans="1:33" x14ac:dyDescent="0.25">
      <c r="A291" t="s">
        <v>2109</v>
      </c>
      <c r="B291" t="s">
        <v>2110</v>
      </c>
      <c r="C291" t="s">
        <v>1355</v>
      </c>
      <c r="D291" t="s">
        <v>163</v>
      </c>
      <c r="E291" t="s">
        <v>72</v>
      </c>
      <c r="F291" t="s">
        <v>1084</v>
      </c>
      <c r="G291" t="s">
        <v>928</v>
      </c>
      <c r="H291" t="s">
        <v>1332</v>
      </c>
      <c r="I291" t="s">
        <v>993</v>
      </c>
      <c r="J291" t="s">
        <v>1046</v>
      </c>
      <c r="K291" t="s">
        <v>1131</v>
      </c>
      <c r="L291" t="s">
        <v>987</v>
      </c>
      <c r="M291" t="s">
        <v>968</v>
      </c>
      <c r="N291" t="s">
        <v>1603</v>
      </c>
      <c r="O291" t="s">
        <v>922</v>
      </c>
      <c r="P291" t="s">
        <v>946</v>
      </c>
      <c r="Q291" t="s">
        <v>1381</v>
      </c>
      <c r="R291" t="s">
        <v>1520</v>
      </c>
      <c r="S291" t="s">
        <v>1230</v>
      </c>
      <c r="T291" t="s">
        <v>968</v>
      </c>
      <c r="U291" t="s">
        <v>1025</v>
      </c>
      <c r="V291" t="s">
        <v>923</v>
      </c>
      <c r="W291" t="s">
        <v>1220</v>
      </c>
      <c r="X291" t="s">
        <v>1030</v>
      </c>
      <c r="Y291" t="s">
        <v>947</v>
      </c>
      <c r="Z291" t="s">
        <v>1008</v>
      </c>
      <c r="AA291" t="s">
        <v>1094</v>
      </c>
      <c r="AB291" t="s">
        <v>1310</v>
      </c>
      <c r="AC291" t="s">
        <v>993</v>
      </c>
      <c r="AD291" t="s">
        <v>1128</v>
      </c>
      <c r="AE291" t="s">
        <v>927</v>
      </c>
      <c r="AF291">
        <f t="shared" si="8"/>
        <v>7.2000000000000011</v>
      </c>
      <c r="AG291">
        <f t="shared" si="9"/>
        <v>7.1152000000000006</v>
      </c>
    </row>
    <row r="292" spans="1:33" x14ac:dyDescent="0.25">
      <c r="A292" t="s">
        <v>2109</v>
      </c>
      <c r="B292" t="s">
        <v>2110</v>
      </c>
      <c r="C292" t="s">
        <v>1355</v>
      </c>
      <c r="D292" t="s">
        <v>83</v>
      </c>
      <c r="E292" t="s">
        <v>72</v>
      </c>
      <c r="F292" t="s">
        <v>1238</v>
      </c>
      <c r="G292" t="s">
        <v>1238</v>
      </c>
      <c r="H292" t="s">
        <v>1736</v>
      </c>
      <c r="I292" t="s">
        <v>1155</v>
      </c>
      <c r="J292" t="s">
        <v>1028</v>
      </c>
      <c r="K292" t="s">
        <v>1131</v>
      </c>
      <c r="L292" t="s">
        <v>1008</v>
      </c>
      <c r="M292" t="s">
        <v>968</v>
      </c>
      <c r="N292" t="s">
        <v>1461</v>
      </c>
      <c r="O292" t="s">
        <v>946</v>
      </c>
      <c r="P292" t="s">
        <v>909</v>
      </c>
      <c r="Q292" t="s">
        <v>1261</v>
      </c>
      <c r="R292" t="s">
        <v>1042</v>
      </c>
      <c r="S292" t="s">
        <v>993</v>
      </c>
      <c r="T292" t="s">
        <v>970</v>
      </c>
      <c r="U292" t="s">
        <v>1484</v>
      </c>
      <c r="V292" t="s">
        <v>1049</v>
      </c>
      <c r="W292" t="s">
        <v>1228</v>
      </c>
      <c r="X292" t="s">
        <v>1126</v>
      </c>
      <c r="Y292" t="s">
        <v>992</v>
      </c>
      <c r="Z292" t="s">
        <v>918</v>
      </c>
      <c r="AA292" t="s">
        <v>969</v>
      </c>
      <c r="AB292" t="s">
        <v>908</v>
      </c>
      <c r="AC292" t="s">
        <v>1048</v>
      </c>
      <c r="AD292" t="s">
        <v>1655</v>
      </c>
      <c r="AE292" t="s">
        <v>927</v>
      </c>
      <c r="AF292">
        <f t="shared" si="8"/>
        <v>10.799999999999999</v>
      </c>
      <c r="AG292">
        <f t="shared" si="9"/>
        <v>10.687799999999999</v>
      </c>
    </row>
    <row r="293" spans="1:33" x14ac:dyDescent="0.25">
      <c r="A293" t="s">
        <v>2111</v>
      </c>
      <c r="B293" t="s">
        <v>216</v>
      </c>
      <c r="C293" t="s">
        <v>1176</v>
      </c>
      <c r="D293" t="s">
        <v>974</v>
      </c>
      <c r="E293" t="s">
        <v>93</v>
      </c>
      <c r="F293" t="s">
        <v>1349</v>
      </c>
      <c r="G293" t="s">
        <v>1233</v>
      </c>
      <c r="H293" t="s">
        <v>1992</v>
      </c>
      <c r="I293" t="s">
        <v>946</v>
      </c>
      <c r="J293" t="s">
        <v>1116</v>
      </c>
      <c r="K293" t="s">
        <v>1168</v>
      </c>
      <c r="L293" t="s">
        <v>956</v>
      </c>
      <c r="M293" t="s">
        <v>920</v>
      </c>
      <c r="N293" t="s">
        <v>1266</v>
      </c>
      <c r="O293" t="s">
        <v>923</v>
      </c>
      <c r="P293" t="s">
        <v>1049</v>
      </c>
      <c r="Q293" t="s">
        <v>1713</v>
      </c>
      <c r="R293" t="s">
        <v>1768</v>
      </c>
      <c r="S293" t="s">
        <v>1065</v>
      </c>
      <c r="T293" t="s">
        <v>1008</v>
      </c>
      <c r="U293" t="s">
        <v>1696</v>
      </c>
      <c r="V293" t="s">
        <v>1195</v>
      </c>
      <c r="W293" t="s">
        <v>1220</v>
      </c>
      <c r="X293" t="s">
        <v>1160</v>
      </c>
      <c r="Y293" t="s">
        <v>1230</v>
      </c>
      <c r="Z293" t="s">
        <v>918</v>
      </c>
      <c r="AA293" t="s">
        <v>991</v>
      </c>
      <c r="AB293" t="s">
        <v>918</v>
      </c>
      <c r="AC293" t="s">
        <v>925</v>
      </c>
      <c r="AD293" t="s">
        <v>1062</v>
      </c>
      <c r="AE293" t="s">
        <v>927</v>
      </c>
      <c r="AF293">
        <f t="shared" si="8"/>
        <v>8.6999999999999993</v>
      </c>
      <c r="AG293">
        <f t="shared" si="9"/>
        <v>8.7029000000000014</v>
      </c>
    </row>
    <row r="294" spans="1:33" x14ac:dyDescent="0.25">
      <c r="A294" t="s">
        <v>2111</v>
      </c>
      <c r="B294" t="s">
        <v>216</v>
      </c>
      <c r="C294" t="s">
        <v>1176</v>
      </c>
      <c r="D294" t="s">
        <v>1279</v>
      </c>
      <c r="E294" t="s">
        <v>93</v>
      </c>
      <c r="F294" t="s">
        <v>1238</v>
      </c>
      <c r="G294" t="s">
        <v>1238</v>
      </c>
      <c r="H294" t="s">
        <v>2112</v>
      </c>
      <c r="I294" t="s">
        <v>1030</v>
      </c>
      <c r="J294" t="s">
        <v>1061</v>
      </c>
      <c r="K294" t="s">
        <v>1904</v>
      </c>
      <c r="L294" t="s">
        <v>924</v>
      </c>
      <c r="M294" t="s">
        <v>1329</v>
      </c>
      <c r="N294" t="s">
        <v>1718</v>
      </c>
      <c r="O294" t="s">
        <v>1195</v>
      </c>
      <c r="P294" t="s">
        <v>1012</v>
      </c>
      <c r="Q294" t="s">
        <v>1436</v>
      </c>
      <c r="R294" t="s">
        <v>939</v>
      </c>
      <c r="S294" t="s">
        <v>987</v>
      </c>
      <c r="T294" t="s">
        <v>945</v>
      </c>
      <c r="U294" t="s">
        <v>1842</v>
      </c>
      <c r="V294" t="s">
        <v>1029</v>
      </c>
      <c r="W294" t="s">
        <v>1135</v>
      </c>
      <c r="X294" t="s">
        <v>1211</v>
      </c>
      <c r="Y294" t="s">
        <v>1029</v>
      </c>
      <c r="Z294" t="s">
        <v>918</v>
      </c>
      <c r="AA294" t="s">
        <v>969</v>
      </c>
      <c r="AB294" t="s">
        <v>918</v>
      </c>
      <c r="AC294" t="s">
        <v>1220</v>
      </c>
      <c r="AD294" t="s">
        <v>1020</v>
      </c>
      <c r="AE294" t="s">
        <v>927</v>
      </c>
      <c r="AF294">
        <f t="shared" si="8"/>
        <v>10.600000000000001</v>
      </c>
      <c r="AG294">
        <f t="shared" si="9"/>
        <v>10.449</v>
      </c>
    </row>
    <row r="295" spans="1:33" x14ac:dyDescent="0.25">
      <c r="A295" t="s">
        <v>2111</v>
      </c>
      <c r="B295" t="s">
        <v>216</v>
      </c>
      <c r="C295" t="s">
        <v>1176</v>
      </c>
      <c r="D295" t="s">
        <v>1014</v>
      </c>
      <c r="E295" t="s">
        <v>93</v>
      </c>
      <c r="F295" t="s">
        <v>1414</v>
      </c>
      <c r="G295" t="s">
        <v>1238</v>
      </c>
      <c r="H295" t="s">
        <v>1465</v>
      </c>
      <c r="I295" t="s">
        <v>1104</v>
      </c>
      <c r="J295" t="s">
        <v>921</v>
      </c>
      <c r="K295" t="s">
        <v>1603</v>
      </c>
      <c r="L295" t="s">
        <v>1049</v>
      </c>
      <c r="M295" t="s">
        <v>1134</v>
      </c>
      <c r="N295" t="s">
        <v>1686</v>
      </c>
      <c r="O295" t="s">
        <v>918</v>
      </c>
      <c r="P295" t="s">
        <v>1029</v>
      </c>
      <c r="Q295" t="s">
        <v>913</v>
      </c>
      <c r="R295" t="s">
        <v>1813</v>
      </c>
      <c r="S295" t="s">
        <v>1094</v>
      </c>
      <c r="T295" t="s">
        <v>1065</v>
      </c>
      <c r="U295" t="s">
        <v>1999</v>
      </c>
      <c r="V295" t="s">
        <v>1064</v>
      </c>
      <c r="W295" t="s">
        <v>993</v>
      </c>
      <c r="X295" t="s">
        <v>992</v>
      </c>
      <c r="Y295" t="s">
        <v>1230</v>
      </c>
      <c r="Z295" t="s">
        <v>918</v>
      </c>
      <c r="AA295" t="s">
        <v>1094</v>
      </c>
      <c r="AB295" t="s">
        <v>918</v>
      </c>
      <c r="AC295" t="s">
        <v>1049</v>
      </c>
      <c r="AD295" t="s">
        <v>915</v>
      </c>
      <c r="AE295" t="s">
        <v>927</v>
      </c>
      <c r="AF295">
        <f t="shared" si="8"/>
        <v>7.7999999999999989</v>
      </c>
      <c r="AG295">
        <f t="shared" si="9"/>
        <v>7.9154000000000009</v>
      </c>
    </row>
    <row r="296" spans="1:33" x14ac:dyDescent="0.25">
      <c r="A296" t="s">
        <v>2113</v>
      </c>
      <c r="B296" t="s">
        <v>2114</v>
      </c>
      <c r="C296" t="s">
        <v>902</v>
      </c>
      <c r="D296" t="s">
        <v>108</v>
      </c>
      <c r="E296" t="s">
        <v>47</v>
      </c>
      <c r="F296" t="s">
        <v>1051</v>
      </c>
      <c r="G296" t="s">
        <v>928</v>
      </c>
      <c r="H296" t="s">
        <v>1975</v>
      </c>
      <c r="I296" t="s">
        <v>1048</v>
      </c>
      <c r="J296" t="s">
        <v>940</v>
      </c>
      <c r="K296" t="s">
        <v>1845</v>
      </c>
      <c r="L296" t="s">
        <v>923</v>
      </c>
      <c r="M296" t="s">
        <v>1135</v>
      </c>
      <c r="N296" t="s">
        <v>1666</v>
      </c>
      <c r="O296" t="s">
        <v>925</v>
      </c>
      <c r="P296" t="s">
        <v>979</v>
      </c>
      <c r="Q296" t="s">
        <v>2115</v>
      </c>
      <c r="R296" t="s">
        <v>1333</v>
      </c>
      <c r="S296" t="s">
        <v>1195</v>
      </c>
      <c r="T296" t="s">
        <v>947</v>
      </c>
      <c r="U296" t="s">
        <v>913</v>
      </c>
      <c r="V296" t="s">
        <v>945</v>
      </c>
      <c r="W296" t="s">
        <v>993</v>
      </c>
      <c r="X296" t="s">
        <v>1030</v>
      </c>
      <c r="Y296" t="s">
        <v>1008</v>
      </c>
      <c r="Z296" t="s">
        <v>1008</v>
      </c>
      <c r="AA296" t="s">
        <v>1065</v>
      </c>
      <c r="AB296" t="s">
        <v>1195</v>
      </c>
      <c r="AC296" t="s">
        <v>947</v>
      </c>
      <c r="AD296" t="s">
        <v>1062</v>
      </c>
      <c r="AE296" t="s">
        <v>927</v>
      </c>
      <c r="AF296">
        <f t="shared" si="8"/>
        <v>8.7000000000000011</v>
      </c>
      <c r="AG296">
        <f t="shared" si="9"/>
        <v>8.6433</v>
      </c>
    </row>
    <row r="297" spans="1:33" x14ac:dyDescent="0.25">
      <c r="A297" t="s">
        <v>2116</v>
      </c>
      <c r="B297" t="s">
        <v>166</v>
      </c>
      <c r="C297" t="s">
        <v>1176</v>
      </c>
      <c r="D297" t="s">
        <v>142</v>
      </c>
      <c r="E297" t="s">
        <v>63</v>
      </c>
      <c r="F297" t="s">
        <v>1285</v>
      </c>
      <c r="G297" t="s">
        <v>1285</v>
      </c>
      <c r="H297" t="s">
        <v>971</v>
      </c>
      <c r="I297" t="s">
        <v>946</v>
      </c>
      <c r="J297" t="s">
        <v>1128</v>
      </c>
      <c r="K297" t="s">
        <v>1577</v>
      </c>
      <c r="L297" t="s">
        <v>1310</v>
      </c>
      <c r="M297" t="s">
        <v>1170</v>
      </c>
      <c r="N297" t="s">
        <v>1756</v>
      </c>
      <c r="O297" t="s">
        <v>1029</v>
      </c>
      <c r="P297" t="s">
        <v>1104</v>
      </c>
      <c r="Q297" t="s">
        <v>2117</v>
      </c>
      <c r="R297" t="s">
        <v>1396</v>
      </c>
      <c r="S297" t="s">
        <v>1064</v>
      </c>
      <c r="T297" t="s">
        <v>945</v>
      </c>
      <c r="U297" t="s">
        <v>2118</v>
      </c>
      <c r="V297" t="s">
        <v>991</v>
      </c>
      <c r="W297" t="s">
        <v>968</v>
      </c>
      <c r="X297" t="s">
        <v>925</v>
      </c>
      <c r="Y297" t="s">
        <v>968</v>
      </c>
      <c r="Z297" t="s">
        <v>1195</v>
      </c>
      <c r="AA297" t="s">
        <v>991</v>
      </c>
      <c r="AB297" t="s">
        <v>987</v>
      </c>
      <c r="AC297" t="s">
        <v>968</v>
      </c>
      <c r="AD297" t="s">
        <v>1062</v>
      </c>
      <c r="AE297" t="s">
        <v>927</v>
      </c>
      <c r="AF297">
        <f t="shared" si="8"/>
        <v>8.8000000000000007</v>
      </c>
      <c r="AG297">
        <f t="shared" si="9"/>
        <v>8.7458000000000009</v>
      </c>
    </row>
    <row r="298" spans="1:33" x14ac:dyDescent="0.25">
      <c r="A298" t="s">
        <v>2119</v>
      </c>
      <c r="B298" t="s">
        <v>196</v>
      </c>
      <c r="C298" t="s">
        <v>1238</v>
      </c>
      <c r="D298" t="s">
        <v>45</v>
      </c>
      <c r="E298" t="s">
        <v>56</v>
      </c>
      <c r="F298" t="s">
        <v>1271</v>
      </c>
      <c r="G298" t="s">
        <v>1123</v>
      </c>
      <c r="H298" t="s">
        <v>1136</v>
      </c>
      <c r="I298" t="s">
        <v>970</v>
      </c>
      <c r="J298" t="s">
        <v>1011</v>
      </c>
      <c r="K298" t="s">
        <v>1863</v>
      </c>
      <c r="L298" t="s">
        <v>969</v>
      </c>
      <c r="M298" t="s">
        <v>924</v>
      </c>
      <c r="N298" t="s">
        <v>2120</v>
      </c>
      <c r="O298" t="s">
        <v>1220</v>
      </c>
      <c r="P298" t="s">
        <v>1329</v>
      </c>
      <c r="Q298" t="s">
        <v>1587</v>
      </c>
      <c r="R298" t="s">
        <v>1904</v>
      </c>
      <c r="S298" t="s">
        <v>1310</v>
      </c>
      <c r="T298" t="s">
        <v>925</v>
      </c>
      <c r="U298" t="s">
        <v>2121</v>
      </c>
      <c r="V298" t="s">
        <v>1065</v>
      </c>
      <c r="W298" t="s">
        <v>964</v>
      </c>
      <c r="X298" t="s">
        <v>970</v>
      </c>
      <c r="Y298" t="s">
        <v>1044</v>
      </c>
      <c r="Z298" t="s">
        <v>918</v>
      </c>
      <c r="AA298" t="s">
        <v>934</v>
      </c>
      <c r="AB298" t="s">
        <v>964</v>
      </c>
      <c r="AC298" t="s">
        <v>908</v>
      </c>
      <c r="AD298" t="s">
        <v>1062</v>
      </c>
      <c r="AE298" t="s">
        <v>927</v>
      </c>
      <c r="AF298">
        <f t="shared" si="8"/>
        <v>8.6999999999999993</v>
      </c>
      <c r="AG298">
        <f t="shared" si="9"/>
        <v>8.6608000000000018</v>
      </c>
    </row>
    <row r="299" spans="1:33" x14ac:dyDescent="0.25">
      <c r="A299" t="s">
        <v>2122</v>
      </c>
      <c r="B299" t="s">
        <v>2123</v>
      </c>
      <c r="C299" t="s">
        <v>950</v>
      </c>
      <c r="D299" t="s">
        <v>151</v>
      </c>
      <c r="E299" t="s">
        <v>56</v>
      </c>
      <c r="F299" t="s">
        <v>1238</v>
      </c>
      <c r="G299" t="s">
        <v>1147</v>
      </c>
      <c r="H299" t="s">
        <v>1248</v>
      </c>
      <c r="I299" t="s">
        <v>1048</v>
      </c>
      <c r="J299" t="s">
        <v>1112</v>
      </c>
      <c r="K299" t="s">
        <v>1157</v>
      </c>
      <c r="L299" t="s">
        <v>945</v>
      </c>
      <c r="M299" t="s">
        <v>1220</v>
      </c>
      <c r="N299" t="s">
        <v>1764</v>
      </c>
      <c r="O299" t="s">
        <v>908</v>
      </c>
      <c r="P299" t="s">
        <v>919</v>
      </c>
      <c r="Q299" t="s">
        <v>1283</v>
      </c>
      <c r="R299" t="s">
        <v>1289</v>
      </c>
      <c r="S299" t="s">
        <v>945</v>
      </c>
      <c r="T299" t="s">
        <v>1029</v>
      </c>
      <c r="U299" t="s">
        <v>2124</v>
      </c>
      <c r="V299" t="s">
        <v>934</v>
      </c>
      <c r="W299" t="s">
        <v>1310</v>
      </c>
      <c r="X299" t="s">
        <v>922</v>
      </c>
      <c r="Y299" t="s">
        <v>1104</v>
      </c>
      <c r="Z299" t="s">
        <v>969</v>
      </c>
      <c r="AA299" t="s">
        <v>934</v>
      </c>
      <c r="AB299" t="s">
        <v>1064</v>
      </c>
      <c r="AC299" t="s">
        <v>922</v>
      </c>
      <c r="AD299" t="s">
        <v>1062</v>
      </c>
      <c r="AE299" t="s">
        <v>927</v>
      </c>
      <c r="AF299">
        <f t="shared" si="8"/>
        <v>8.7999999999999989</v>
      </c>
      <c r="AG299">
        <f t="shared" si="9"/>
        <v>8.7506000000000004</v>
      </c>
    </row>
    <row r="300" spans="1:33" x14ac:dyDescent="0.25">
      <c r="A300" t="s">
        <v>2125</v>
      </c>
      <c r="B300" t="s">
        <v>238</v>
      </c>
      <c r="C300" t="s">
        <v>1245</v>
      </c>
      <c r="D300" t="s">
        <v>77</v>
      </c>
      <c r="E300" t="s">
        <v>63</v>
      </c>
      <c r="F300" t="s">
        <v>1431</v>
      </c>
      <c r="G300" t="s">
        <v>1384</v>
      </c>
      <c r="H300" t="s">
        <v>2126</v>
      </c>
      <c r="I300" t="s">
        <v>1135</v>
      </c>
      <c r="J300" t="s">
        <v>1061</v>
      </c>
      <c r="K300" t="s">
        <v>1558</v>
      </c>
      <c r="L300" t="s">
        <v>922</v>
      </c>
      <c r="M300" t="s">
        <v>962</v>
      </c>
      <c r="N300" t="s">
        <v>1315</v>
      </c>
      <c r="O300" t="s">
        <v>1195</v>
      </c>
      <c r="P300" t="s">
        <v>1104</v>
      </c>
      <c r="Q300" t="s">
        <v>999</v>
      </c>
      <c r="R300" t="s">
        <v>1249</v>
      </c>
      <c r="S300" t="s">
        <v>923</v>
      </c>
      <c r="T300" t="s">
        <v>1230</v>
      </c>
      <c r="U300" t="s">
        <v>2031</v>
      </c>
      <c r="V300" t="s">
        <v>1008</v>
      </c>
      <c r="W300" t="s">
        <v>979</v>
      </c>
      <c r="X300" t="s">
        <v>1081</v>
      </c>
      <c r="Y300" t="s">
        <v>993</v>
      </c>
      <c r="Z300" t="s">
        <v>923</v>
      </c>
      <c r="AA300" t="s">
        <v>1008</v>
      </c>
      <c r="AB300" t="s">
        <v>1230</v>
      </c>
      <c r="AC300" t="s">
        <v>1135</v>
      </c>
      <c r="AD300" t="s">
        <v>1062</v>
      </c>
      <c r="AE300" t="s">
        <v>927</v>
      </c>
      <c r="AF300">
        <f t="shared" si="8"/>
        <v>8.6999999999999993</v>
      </c>
      <c r="AG300">
        <f t="shared" si="9"/>
        <v>8.6758000000000006</v>
      </c>
    </row>
    <row r="301" spans="1:33" x14ac:dyDescent="0.25">
      <c r="A301" t="s">
        <v>2127</v>
      </c>
      <c r="B301" t="s">
        <v>2128</v>
      </c>
      <c r="C301" t="s">
        <v>995</v>
      </c>
      <c r="D301" t="s">
        <v>151</v>
      </c>
      <c r="E301" t="s">
        <v>63</v>
      </c>
      <c r="F301" t="s">
        <v>1489</v>
      </c>
      <c r="G301" t="s">
        <v>949</v>
      </c>
      <c r="H301" t="s">
        <v>1574</v>
      </c>
      <c r="I301" t="s">
        <v>1048</v>
      </c>
      <c r="J301" t="s">
        <v>1118</v>
      </c>
      <c r="K301" t="s">
        <v>1718</v>
      </c>
      <c r="L301" t="s">
        <v>1195</v>
      </c>
      <c r="M301" t="s">
        <v>979</v>
      </c>
      <c r="N301" t="s">
        <v>1588</v>
      </c>
      <c r="O301" t="s">
        <v>968</v>
      </c>
      <c r="P301" t="s">
        <v>1155</v>
      </c>
      <c r="Q301" t="s">
        <v>1795</v>
      </c>
      <c r="R301" t="s">
        <v>1074</v>
      </c>
      <c r="S301" t="s">
        <v>1064</v>
      </c>
      <c r="T301" t="s">
        <v>1310</v>
      </c>
      <c r="U301" t="s">
        <v>2129</v>
      </c>
      <c r="V301" t="s">
        <v>934</v>
      </c>
      <c r="W301" t="s">
        <v>1230</v>
      </c>
      <c r="X301" t="s">
        <v>1029</v>
      </c>
      <c r="Y301" t="s">
        <v>1230</v>
      </c>
      <c r="Z301" t="s">
        <v>1065</v>
      </c>
      <c r="AA301" t="s">
        <v>1119</v>
      </c>
      <c r="AB301" t="s">
        <v>1230</v>
      </c>
      <c r="AC301" t="s">
        <v>1029</v>
      </c>
      <c r="AD301" t="s">
        <v>1062</v>
      </c>
      <c r="AE301" t="s">
        <v>927</v>
      </c>
      <c r="AF301">
        <f t="shared" si="8"/>
        <v>8.8000000000000007</v>
      </c>
      <c r="AG301">
        <f t="shared" si="9"/>
        <v>8.7403999999999993</v>
      </c>
    </row>
    <row r="302" spans="1:33" x14ac:dyDescent="0.25">
      <c r="A302" t="s">
        <v>2130</v>
      </c>
      <c r="B302" t="s">
        <v>291</v>
      </c>
      <c r="C302" t="s">
        <v>1238</v>
      </c>
      <c r="D302" t="s">
        <v>151</v>
      </c>
      <c r="E302" t="s">
        <v>72</v>
      </c>
      <c r="F302" t="s">
        <v>1068</v>
      </c>
      <c r="G302" t="s">
        <v>950</v>
      </c>
      <c r="H302" t="s">
        <v>2131</v>
      </c>
      <c r="I302" t="s">
        <v>1030</v>
      </c>
      <c r="J302" t="s">
        <v>1043</v>
      </c>
      <c r="K302" t="s">
        <v>1825</v>
      </c>
      <c r="L302" t="s">
        <v>1600</v>
      </c>
      <c r="M302" t="s">
        <v>1600</v>
      </c>
      <c r="N302" t="s">
        <v>927</v>
      </c>
      <c r="O302" t="s">
        <v>1030</v>
      </c>
      <c r="P302" t="s">
        <v>1043</v>
      </c>
      <c r="Q302" t="s">
        <v>1825</v>
      </c>
      <c r="R302" t="s">
        <v>1825</v>
      </c>
      <c r="S302" t="s">
        <v>1195</v>
      </c>
      <c r="T302" t="s">
        <v>956</v>
      </c>
      <c r="U302" t="s">
        <v>1407</v>
      </c>
      <c r="V302" t="s">
        <v>964</v>
      </c>
      <c r="W302" t="s">
        <v>1211</v>
      </c>
      <c r="X302" t="s">
        <v>1028</v>
      </c>
      <c r="Y302" t="s">
        <v>924</v>
      </c>
      <c r="Z302" t="s">
        <v>969</v>
      </c>
      <c r="AA302" t="s">
        <v>1029</v>
      </c>
      <c r="AB302" t="s">
        <v>1064</v>
      </c>
      <c r="AC302" t="s">
        <v>1104</v>
      </c>
      <c r="AD302" t="s">
        <v>1062</v>
      </c>
      <c r="AE302" t="s">
        <v>927</v>
      </c>
      <c r="AF302">
        <f t="shared" si="8"/>
        <v>8.7000000000000011</v>
      </c>
      <c r="AG302" t="e">
        <f t="shared" si="9"/>
        <v>#VALUE!</v>
      </c>
    </row>
    <row r="303" spans="1:33" x14ac:dyDescent="0.25">
      <c r="A303" t="s">
        <v>2132</v>
      </c>
      <c r="B303" t="s">
        <v>2133</v>
      </c>
      <c r="C303" t="s">
        <v>973</v>
      </c>
      <c r="D303" t="s">
        <v>1279</v>
      </c>
      <c r="E303" t="s">
        <v>63</v>
      </c>
      <c r="F303" t="s">
        <v>1255</v>
      </c>
      <c r="G303" t="s">
        <v>1121</v>
      </c>
      <c r="H303" t="s">
        <v>1688</v>
      </c>
      <c r="I303" t="s">
        <v>1048</v>
      </c>
      <c r="J303" t="s">
        <v>1011</v>
      </c>
      <c r="K303" t="s">
        <v>1538</v>
      </c>
      <c r="L303" t="s">
        <v>922</v>
      </c>
      <c r="M303" t="s">
        <v>957</v>
      </c>
      <c r="N303" t="s">
        <v>2134</v>
      </c>
      <c r="O303" t="s">
        <v>1310</v>
      </c>
      <c r="P303" t="s">
        <v>946</v>
      </c>
      <c r="Q303" t="s">
        <v>1299</v>
      </c>
      <c r="R303" t="s">
        <v>1235</v>
      </c>
      <c r="S303" t="s">
        <v>987</v>
      </c>
      <c r="T303" t="s">
        <v>923</v>
      </c>
      <c r="U303" t="s">
        <v>2003</v>
      </c>
      <c r="V303" t="s">
        <v>923</v>
      </c>
      <c r="W303" t="s">
        <v>1220</v>
      </c>
      <c r="X303" t="s">
        <v>1030</v>
      </c>
      <c r="Y303" t="s">
        <v>956</v>
      </c>
      <c r="Z303" t="s">
        <v>969</v>
      </c>
      <c r="AA303" t="s">
        <v>934</v>
      </c>
      <c r="AB303" t="s">
        <v>945</v>
      </c>
      <c r="AC303" t="s">
        <v>1195</v>
      </c>
      <c r="AD303" t="s">
        <v>1062</v>
      </c>
      <c r="AE303" t="s">
        <v>927</v>
      </c>
      <c r="AF303">
        <f t="shared" si="8"/>
        <v>8.9</v>
      </c>
      <c r="AG303">
        <f t="shared" si="9"/>
        <v>8.7924999999999986</v>
      </c>
    </row>
    <row r="304" spans="1:33" x14ac:dyDescent="0.25">
      <c r="A304" t="s">
        <v>2135</v>
      </c>
      <c r="B304" t="s">
        <v>252</v>
      </c>
      <c r="C304" t="s">
        <v>1238</v>
      </c>
      <c r="D304" t="s">
        <v>131</v>
      </c>
      <c r="E304" t="s">
        <v>47</v>
      </c>
      <c r="F304" t="s">
        <v>1594</v>
      </c>
      <c r="G304" t="s">
        <v>1176</v>
      </c>
      <c r="H304" t="s">
        <v>1140</v>
      </c>
      <c r="I304" t="s">
        <v>1048</v>
      </c>
      <c r="J304" t="s">
        <v>1116</v>
      </c>
      <c r="K304" t="s">
        <v>1337</v>
      </c>
      <c r="L304" t="s">
        <v>945</v>
      </c>
      <c r="M304" t="s">
        <v>970</v>
      </c>
      <c r="N304" t="s">
        <v>1400</v>
      </c>
      <c r="O304" t="s">
        <v>956</v>
      </c>
      <c r="P304" t="s">
        <v>992</v>
      </c>
      <c r="Q304" t="s">
        <v>1570</v>
      </c>
      <c r="R304" t="s">
        <v>1369</v>
      </c>
      <c r="S304" t="s">
        <v>1064</v>
      </c>
      <c r="T304" t="s">
        <v>1230</v>
      </c>
      <c r="U304" t="s">
        <v>2136</v>
      </c>
      <c r="V304" t="s">
        <v>1008</v>
      </c>
      <c r="W304" t="s">
        <v>1104</v>
      </c>
      <c r="X304" t="s">
        <v>979</v>
      </c>
      <c r="Y304" t="s">
        <v>923</v>
      </c>
      <c r="Z304" t="s">
        <v>991</v>
      </c>
      <c r="AA304" t="s">
        <v>918</v>
      </c>
      <c r="AB304" t="s">
        <v>918</v>
      </c>
      <c r="AC304" t="s">
        <v>1029</v>
      </c>
      <c r="AD304" t="s">
        <v>1152</v>
      </c>
      <c r="AE304" t="s">
        <v>927</v>
      </c>
      <c r="AF304">
        <f t="shared" si="8"/>
        <v>8.6999999999999993</v>
      </c>
      <c r="AG304">
        <f t="shared" si="9"/>
        <v>8.6029</v>
      </c>
    </row>
    <row r="305" spans="1:33" x14ac:dyDescent="0.25">
      <c r="A305" t="s">
        <v>2137</v>
      </c>
      <c r="B305" t="s">
        <v>2138</v>
      </c>
      <c r="C305" t="s">
        <v>1032</v>
      </c>
      <c r="D305" t="s">
        <v>133</v>
      </c>
      <c r="E305" t="s">
        <v>47</v>
      </c>
      <c r="F305" t="s">
        <v>1535</v>
      </c>
      <c r="G305" t="s">
        <v>1212</v>
      </c>
      <c r="H305" t="s">
        <v>2139</v>
      </c>
      <c r="I305" t="s">
        <v>1048</v>
      </c>
      <c r="J305" t="s">
        <v>1023</v>
      </c>
      <c r="K305" t="s">
        <v>1141</v>
      </c>
      <c r="L305" t="s">
        <v>969</v>
      </c>
      <c r="M305" t="s">
        <v>968</v>
      </c>
      <c r="N305" t="s">
        <v>1528</v>
      </c>
      <c r="O305" t="s">
        <v>1220</v>
      </c>
      <c r="P305" t="s">
        <v>962</v>
      </c>
      <c r="Q305" t="s">
        <v>1235</v>
      </c>
      <c r="R305" t="s">
        <v>1041</v>
      </c>
      <c r="S305" t="s">
        <v>1029</v>
      </c>
      <c r="T305" t="s">
        <v>925</v>
      </c>
      <c r="U305" t="s">
        <v>1484</v>
      </c>
      <c r="V305" t="s">
        <v>1195</v>
      </c>
      <c r="W305" t="s">
        <v>946</v>
      </c>
      <c r="X305" t="s">
        <v>1103</v>
      </c>
      <c r="Y305" t="s">
        <v>993</v>
      </c>
      <c r="Z305" t="s">
        <v>918</v>
      </c>
      <c r="AA305" t="s">
        <v>934</v>
      </c>
      <c r="AB305" t="s">
        <v>1310</v>
      </c>
      <c r="AC305" t="s">
        <v>945</v>
      </c>
      <c r="AD305" t="s">
        <v>1152</v>
      </c>
      <c r="AE305" t="s">
        <v>927</v>
      </c>
      <c r="AF305">
        <f t="shared" si="8"/>
        <v>8.6</v>
      </c>
      <c r="AG305">
        <f t="shared" si="9"/>
        <v>8.6733999999999991</v>
      </c>
    </row>
    <row r="306" spans="1:33" x14ac:dyDescent="0.25">
      <c r="A306" t="s">
        <v>2140</v>
      </c>
      <c r="B306" t="s">
        <v>2141</v>
      </c>
      <c r="C306" t="s">
        <v>1238</v>
      </c>
      <c r="D306" t="s">
        <v>163</v>
      </c>
      <c r="E306" t="s">
        <v>63</v>
      </c>
      <c r="F306" t="s">
        <v>1085</v>
      </c>
      <c r="G306" t="s">
        <v>1222</v>
      </c>
      <c r="H306" t="s">
        <v>998</v>
      </c>
      <c r="I306" t="s">
        <v>946</v>
      </c>
      <c r="J306" t="s">
        <v>1009</v>
      </c>
      <c r="K306" t="s">
        <v>1154</v>
      </c>
      <c r="L306" t="s">
        <v>1195</v>
      </c>
      <c r="M306" t="s">
        <v>992</v>
      </c>
      <c r="N306" t="s">
        <v>1282</v>
      </c>
      <c r="O306" t="s">
        <v>968</v>
      </c>
      <c r="P306" t="s">
        <v>1228</v>
      </c>
      <c r="Q306" t="s">
        <v>1337</v>
      </c>
      <c r="R306" t="s">
        <v>1845</v>
      </c>
      <c r="S306" t="s">
        <v>1195</v>
      </c>
      <c r="T306" t="s">
        <v>1029</v>
      </c>
      <c r="U306" t="s">
        <v>2142</v>
      </c>
      <c r="V306" t="s">
        <v>1064</v>
      </c>
      <c r="W306" t="s">
        <v>1049</v>
      </c>
      <c r="X306" t="s">
        <v>946</v>
      </c>
      <c r="Y306" t="s">
        <v>1029</v>
      </c>
      <c r="Z306" t="s">
        <v>987</v>
      </c>
      <c r="AA306" t="s">
        <v>934</v>
      </c>
      <c r="AB306" t="s">
        <v>923</v>
      </c>
      <c r="AC306" t="s">
        <v>968</v>
      </c>
      <c r="AD306" t="s">
        <v>1152</v>
      </c>
      <c r="AE306" t="s">
        <v>927</v>
      </c>
      <c r="AF306">
        <f t="shared" si="8"/>
        <v>8.8000000000000007</v>
      </c>
      <c r="AG306">
        <f t="shared" si="9"/>
        <v>8.6731999999999996</v>
      </c>
    </row>
    <row r="307" spans="1:33" x14ac:dyDescent="0.25">
      <c r="A307" t="s">
        <v>2143</v>
      </c>
      <c r="B307" t="s">
        <v>2144</v>
      </c>
      <c r="C307" t="s">
        <v>1293</v>
      </c>
      <c r="D307" t="s">
        <v>113</v>
      </c>
      <c r="E307" t="s">
        <v>93</v>
      </c>
      <c r="F307" t="s">
        <v>1271</v>
      </c>
      <c r="G307" t="s">
        <v>1232</v>
      </c>
      <c r="H307" t="s">
        <v>1965</v>
      </c>
      <c r="I307" t="s">
        <v>1135</v>
      </c>
      <c r="J307" t="s">
        <v>1112</v>
      </c>
      <c r="K307" t="s">
        <v>1869</v>
      </c>
      <c r="L307" t="s">
        <v>947</v>
      </c>
      <c r="M307" t="s">
        <v>1092</v>
      </c>
      <c r="N307" t="s">
        <v>1608</v>
      </c>
      <c r="O307" t="s">
        <v>1008</v>
      </c>
      <c r="P307" t="s">
        <v>1064</v>
      </c>
      <c r="Q307" t="s">
        <v>2145</v>
      </c>
      <c r="R307" t="s">
        <v>961</v>
      </c>
      <c r="S307" t="s">
        <v>934</v>
      </c>
      <c r="T307" t="s">
        <v>934</v>
      </c>
      <c r="U307" t="s">
        <v>2146</v>
      </c>
      <c r="V307" t="s">
        <v>969</v>
      </c>
      <c r="W307" t="s">
        <v>993</v>
      </c>
      <c r="X307" t="s">
        <v>1048</v>
      </c>
      <c r="Y307" t="s">
        <v>918</v>
      </c>
      <c r="Z307" t="s">
        <v>969</v>
      </c>
      <c r="AA307" t="s">
        <v>934</v>
      </c>
      <c r="AB307" t="s">
        <v>1094</v>
      </c>
      <c r="AC307" t="s">
        <v>945</v>
      </c>
      <c r="AD307" t="s">
        <v>1182</v>
      </c>
      <c r="AE307" t="s">
        <v>927</v>
      </c>
      <c r="AF307">
        <f t="shared" si="8"/>
        <v>8.5</v>
      </c>
      <c r="AG307">
        <f t="shared" si="9"/>
        <v>8.5968</v>
      </c>
    </row>
    <row r="308" spans="1:33" x14ac:dyDescent="0.25">
      <c r="A308" t="s">
        <v>2147</v>
      </c>
      <c r="B308" t="s">
        <v>2148</v>
      </c>
      <c r="C308" t="s">
        <v>1204</v>
      </c>
      <c r="D308" t="s">
        <v>111</v>
      </c>
      <c r="E308" t="s">
        <v>93</v>
      </c>
      <c r="F308" t="s">
        <v>1084</v>
      </c>
      <c r="G308" t="s">
        <v>949</v>
      </c>
      <c r="H308" t="s">
        <v>1473</v>
      </c>
      <c r="I308" t="s">
        <v>970</v>
      </c>
      <c r="J308" t="s">
        <v>940</v>
      </c>
      <c r="K308" t="s">
        <v>1180</v>
      </c>
      <c r="L308" t="s">
        <v>1230</v>
      </c>
      <c r="M308" t="s">
        <v>1048</v>
      </c>
      <c r="N308" t="s">
        <v>1037</v>
      </c>
      <c r="O308" t="s">
        <v>1049</v>
      </c>
      <c r="P308" t="s">
        <v>970</v>
      </c>
      <c r="Q308" t="s">
        <v>1510</v>
      </c>
      <c r="R308" t="s">
        <v>2149</v>
      </c>
      <c r="S308" t="s">
        <v>991</v>
      </c>
      <c r="T308" t="s">
        <v>1065</v>
      </c>
      <c r="U308" t="s">
        <v>1488</v>
      </c>
      <c r="V308" t="s">
        <v>923</v>
      </c>
      <c r="W308" t="s">
        <v>970</v>
      </c>
      <c r="X308" t="s">
        <v>1170</v>
      </c>
      <c r="Y308" t="s">
        <v>1029</v>
      </c>
      <c r="Z308" t="s">
        <v>987</v>
      </c>
      <c r="AA308" t="s">
        <v>1065</v>
      </c>
      <c r="AB308" t="s">
        <v>1008</v>
      </c>
      <c r="AC308" t="s">
        <v>1310</v>
      </c>
      <c r="AD308" t="s">
        <v>1182</v>
      </c>
      <c r="AE308" t="s">
        <v>927</v>
      </c>
      <c r="AF308">
        <f t="shared" si="8"/>
        <v>8.3999999999999986</v>
      </c>
      <c r="AG308">
        <f t="shared" si="9"/>
        <v>8.4784000000000006</v>
      </c>
    </row>
    <row r="309" spans="1:33" x14ac:dyDescent="0.25">
      <c r="A309" t="s">
        <v>2150</v>
      </c>
      <c r="B309" t="s">
        <v>2151</v>
      </c>
      <c r="C309" t="s">
        <v>973</v>
      </c>
      <c r="D309" t="s">
        <v>974</v>
      </c>
      <c r="E309" t="s">
        <v>63</v>
      </c>
      <c r="F309" t="s">
        <v>1162</v>
      </c>
      <c r="G309" t="s">
        <v>928</v>
      </c>
      <c r="H309" t="s">
        <v>1621</v>
      </c>
      <c r="I309" t="s">
        <v>1135</v>
      </c>
      <c r="J309" t="s">
        <v>985</v>
      </c>
      <c r="K309" t="s">
        <v>1466</v>
      </c>
      <c r="L309" t="s">
        <v>918</v>
      </c>
      <c r="M309" t="s">
        <v>1104</v>
      </c>
      <c r="N309" t="s">
        <v>1567</v>
      </c>
      <c r="O309" t="s">
        <v>908</v>
      </c>
      <c r="P309" t="s">
        <v>1000</v>
      </c>
      <c r="Q309" t="s">
        <v>1842</v>
      </c>
      <c r="R309" t="s">
        <v>1592</v>
      </c>
      <c r="S309" t="s">
        <v>1029</v>
      </c>
      <c r="T309" t="s">
        <v>968</v>
      </c>
      <c r="U309" t="s">
        <v>1786</v>
      </c>
      <c r="V309" t="s">
        <v>923</v>
      </c>
      <c r="W309" t="s">
        <v>956</v>
      </c>
      <c r="X309" t="s">
        <v>1135</v>
      </c>
      <c r="Y309" t="s">
        <v>1064</v>
      </c>
      <c r="Z309" t="s">
        <v>1008</v>
      </c>
      <c r="AA309" t="s">
        <v>1119</v>
      </c>
      <c r="AB309" t="s">
        <v>969</v>
      </c>
      <c r="AC309" t="s">
        <v>1230</v>
      </c>
      <c r="AD309" t="s">
        <v>1132</v>
      </c>
      <c r="AE309" t="s">
        <v>927</v>
      </c>
      <c r="AF309">
        <f t="shared" si="8"/>
        <v>8.5</v>
      </c>
      <c r="AG309">
        <f t="shared" si="9"/>
        <v>8.4211999999999989</v>
      </c>
    </row>
    <row r="310" spans="1:33" x14ac:dyDescent="0.25">
      <c r="A310" t="s">
        <v>2150</v>
      </c>
      <c r="B310" t="s">
        <v>2151</v>
      </c>
      <c r="C310" t="s">
        <v>973</v>
      </c>
      <c r="D310" t="s">
        <v>1149</v>
      </c>
      <c r="E310" t="s">
        <v>63</v>
      </c>
      <c r="F310" t="s">
        <v>972</v>
      </c>
      <c r="G310" t="s">
        <v>1717</v>
      </c>
      <c r="H310" t="s">
        <v>1135</v>
      </c>
      <c r="I310" t="s">
        <v>1065</v>
      </c>
      <c r="J310" t="s">
        <v>956</v>
      </c>
      <c r="K310" t="s">
        <v>2152</v>
      </c>
      <c r="L310" t="s">
        <v>1600</v>
      </c>
      <c r="M310" t="s">
        <v>1065</v>
      </c>
      <c r="N310" t="s">
        <v>1646</v>
      </c>
      <c r="O310" t="s">
        <v>1065</v>
      </c>
      <c r="P310" t="s">
        <v>1310</v>
      </c>
      <c r="Q310" t="s">
        <v>1666</v>
      </c>
      <c r="R310" t="s">
        <v>2152</v>
      </c>
      <c r="S310" t="s">
        <v>1600</v>
      </c>
      <c r="T310" t="s">
        <v>1600</v>
      </c>
      <c r="U310" t="s">
        <v>927</v>
      </c>
      <c r="V310" t="s">
        <v>1065</v>
      </c>
      <c r="W310" t="s">
        <v>1065</v>
      </c>
      <c r="X310" t="s">
        <v>923</v>
      </c>
      <c r="Y310" t="s">
        <v>1065</v>
      </c>
      <c r="Z310" t="s">
        <v>1094</v>
      </c>
      <c r="AA310" t="s">
        <v>1600</v>
      </c>
      <c r="AB310" t="s">
        <v>1094</v>
      </c>
      <c r="AC310" t="s">
        <v>1094</v>
      </c>
      <c r="AD310" t="s">
        <v>923</v>
      </c>
      <c r="AE310" t="s">
        <v>927</v>
      </c>
      <c r="AF310">
        <f t="shared" si="8"/>
        <v>1</v>
      </c>
      <c r="AG310" t="e">
        <f t="shared" si="9"/>
        <v>#VALUE!</v>
      </c>
    </row>
    <row r="311" spans="1:33" x14ac:dyDescent="0.25">
      <c r="A311" t="s">
        <v>2150</v>
      </c>
      <c r="B311" t="s">
        <v>2151</v>
      </c>
      <c r="C311" t="s">
        <v>973</v>
      </c>
      <c r="D311" t="s">
        <v>163</v>
      </c>
      <c r="E311" t="s">
        <v>63</v>
      </c>
      <c r="F311" t="s">
        <v>1106</v>
      </c>
      <c r="G311" t="s">
        <v>928</v>
      </c>
      <c r="H311" t="s">
        <v>1389</v>
      </c>
      <c r="I311" t="s">
        <v>1228</v>
      </c>
      <c r="J311" t="s">
        <v>915</v>
      </c>
      <c r="K311" t="s">
        <v>1283</v>
      </c>
      <c r="L311" t="s">
        <v>945</v>
      </c>
      <c r="M311" t="s">
        <v>1030</v>
      </c>
      <c r="N311" t="s">
        <v>1351</v>
      </c>
      <c r="O311" t="s">
        <v>1104</v>
      </c>
      <c r="P311" t="s">
        <v>1081</v>
      </c>
      <c r="Q311" t="s">
        <v>1696</v>
      </c>
      <c r="R311" t="s">
        <v>1510</v>
      </c>
      <c r="S311" t="s">
        <v>925</v>
      </c>
      <c r="T311" t="s">
        <v>993</v>
      </c>
      <c r="U311" t="s">
        <v>1786</v>
      </c>
      <c r="V311" t="s">
        <v>945</v>
      </c>
      <c r="W311" t="s">
        <v>1012</v>
      </c>
      <c r="X311" t="s">
        <v>1155</v>
      </c>
      <c r="Y311" t="s">
        <v>1230</v>
      </c>
      <c r="Z311" t="s">
        <v>918</v>
      </c>
      <c r="AA311" t="s">
        <v>934</v>
      </c>
      <c r="AB311" t="s">
        <v>987</v>
      </c>
      <c r="AC311" t="s">
        <v>1049</v>
      </c>
      <c r="AD311" t="s">
        <v>1546</v>
      </c>
      <c r="AE311" t="s">
        <v>927</v>
      </c>
      <c r="AF311">
        <f t="shared" si="8"/>
        <v>11.399999999999999</v>
      </c>
      <c r="AG311">
        <f t="shared" si="9"/>
        <v>11.3992</v>
      </c>
    </row>
    <row r="312" spans="1:33" x14ac:dyDescent="0.25">
      <c r="A312" t="s">
        <v>2153</v>
      </c>
      <c r="B312" t="s">
        <v>2154</v>
      </c>
      <c r="C312" t="s">
        <v>973</v>
      </c>
      <c r="D312" t="s">
        <v>83</v>
      </c>
      <c r="E312" t="s">
        <v>63</v>
      </c>
      <c r="F312" t="s">
        <v>1083</v>
      </c>
      <c r="G312" t="s">
        <v>1717</v>
      </c>
      <c r="H312" t="s">
        <v>1087</v>
      </c>
      <c r="I312" t="s">
        <v>970</v>
      </c>
      <c r="J312" t="s">
        <v>1035</v>
      </c>
      <c r="K312" t="s">
        <v>1100</v>
      </c>
      <c r="L312" t="s">
        <v>923</v>
      </c>
      <c r="M312" t="s">
        <v>1000</v>
      </c>
      <c r="N312" t="s">
        <v>2155</v>
      </c>
      <c r="O312" t="s">
        <v>947</v>
      </c>
      <c r="P312" t="s">
        <v>1079</v>
      </c>
      <c r="Q312" t="s">
        <v>1595</v>
      </c>
      <c r="R312" t="s">
        <v>1266</v>
      </c>
      <c r="S312" t="s">
        <v>918</v>
      </c>
      <c r="T312" t="s">
        <v>1230</v>
      </c>
      <c r="U312" t="s">
        <v>1771</v>
      </c>
      <c r="V312" t="s">
        <v>987</v>
      </c>
      <c r="W312" t="s">
        <v>968</v>
      </c>
      <c r="X312" t="s">
        <v>993</v>
      </c>
      <c r="Y312" t="s">
        <v>947</v>
      </c>
      <c r="Z312" t="s">
        <v>1119</v>
      </c>
      <c r="AA312" t="s">
        <v>1065</v>
      </c>
      <c r="AB312" t="s">
        <v>923</v>
      </c>
      <c r="AC312" t="s">
        <v>1064</v>
      </c>
      <c r="AD312" t="s">
        <v>1132</v>
      </c>
      <c r="AE312" t="s">
        <v>927</v>
      </c>
      <c r="AF312">
        <f t="shared" si="8"/>
        <v>8.5</v>
      </c>
      <c r="AG312">
        <f t="shared" si="9"/>
        <v>8.3669999999999991</v>
      </c>
    </row>
    <row r="313" spans="1:33" x14ac:dyDescent="0.25">
      <c r="A313" t="s">
        <v>2156</v>
      </c>
      <c r="B313" t="s">
        <v>2157</v>
      </c>
      <c r="C313" t="s">
        <v>1245</v>
      </c>
      <c r="D313" t="s">
        <v>48</v>
      </c>
      <c r="E313" t="s">
        <v>63</v>
      </c>
      <c r="F313" t="s">
        <v>1431</v>
      </c>
      <c r="G313" t="s">
        <v>1414</v>
      </c>
      <c r="H313" t="s">
        <v>1050</v>
      </c>
      <c r="I313" t="s">
        <v>1000</v>
      </c>
      <c r="J313" t="s">
        <v>1026</v>
      </c>
      <c r="K313" t="s">
        <v>1268</v>
      </c>
      <c r="L313" t="s">
        <v>1064</v>
      </c>
      <c r="M313" t="s">
        <v>946</v>
      </c>
      <c r="N313" t="s">
        <v>1100</v>
      </c>
      <c r="O313" t="s">
        <v>947</v>
      </c>
      <c r="P313" t="s">
        <v>919</v>
      </c>
      <c r="Q313" t="s">
        <v>1324</v>
      </c>
      <c r="R313" t="s">
        <v>1442</v>
      </c>
      <c r="S313" t="s">
        <v>991</v>
      </c>
      <c r="T313" t="s">
        <v>1065</v>
      </c>
      <c r="U313" t="s">
        <v>1953</v>
      </c>
      <c r="V313" t="s">
        <v>923</v>
      </c>
      <c r="W313" t="s">
        <v>947</v>
      </c>
      <c r="X313" t="s">
        <v>1000</v>
      </c>
      <c r="Y313" t="s">
        <v>993</v>
      </c>
      <c r="Z313" t="s">
        <v>968</v>
      </c>
      <c r="AA313" t="s">
        <v>1065</v>
      </c>
      <c r="AB313" t="s">
        <v>918</v>
      </c>
      <c r="AC313" t="s">
        <v>908</v>
      </c>
      <c r="AD313" t="s">
        <v>1132</v>
      </c>
      <c r="AE313" t="s">
        <v>927</v>
      </c>
      <c r="AF313">
        <f t="shared" si="8"/>
        <v>8.3000000000000007</v>
      </c>
      <c r="AG313">
        <f t="shared" si="9"/>
        <v>8.3247</v>
      </c>
    </row>
    <row r="314" spans="1:33" x14ac:dyDescent="0.25">
      <c r="A314" t="s">
        <v>2158</v>
      </c>
      <c r="B314" t="s">
        <v>2159</v>
      </c>
      <c r="C314" t="s">
        <v>1015</v>
      </c>
      <c r="D314" t="s">
        <v>974</v>
      </c>
      <c r="E314" t="s">
        <v>56</v>
      </c>
      <c r="F314" t="s">
        <v>1403</v>
      </c>
      <c r="G314" t="s">
        <v>1137</v>
      </c>
      <c r="H314" t="s">
        <v>1985</v>
      </c>
      <c r="I314" t="s">
        <v>1048</v>
      </c>
      <c r="J314" t="s">
        <v>1028</v>
      </c>
      <c r="K314" t="s">
        <v>1818</v>
      </c>
      <c r="L314" t="s">
        <v>1008</v>
      </c>
      <c r="M314" t="s">
        <v>956</v>
      </c>
      <c r="N314" t="s">
        <v>1666</v>
      </c>
      <c r="O314" t="s">
        <v>993</v>
      </c>
      <c r="P314" t="s">
        <v>1092</v>
      </c>
      <c r="Q314" t="s">
        <v>1055</v>
      </c>
      <c r="R314" t="s">
        <v>999</v>
      </c>
      <c r="S314" t="s">
        <v>1195</v>
      </c>
      <c r="T314" t="s">
        <v>1029</v>
      </c>
      <c r="U314" t="s">
        <v>2136</v>
      </c>
      <c r="V314" t="s">
        <v>923</v>
      </c>
      <c r="W314" t="s">
        <v>1135</v>
      </c>
      <c r="X314" t="s">
        <v>1228</v>
      </c>
      <c r="Y314" t="s">
        <v>956</v>
      </c>
      <c r="Z314" t="s">
        <v>987</v>
      </c>
      <c r="AA314" t="s">
        <v>934</v>
      </c>
      <c r="AB314" t="s">
        <v>923</v>
      </c>
      <c r="AC314" t="s">
        <v>922</v>
      </c>
      <c r="AD314" t="s">
        <v>1010</v>
      </c>
      <c r="AE314" t="s">
        <v>927</v>
      </c>
      <c r="AF314">
        <f t="shared" si="8"/>
        <v>8.4</v>
      </c>
      <c r="AG314">
        <f t="shared" si="9"/>
        <v>8.2740000000000009</v>
      </c>
    </row>
    <row r="315" spans="1:33" x14ac:dyDescent="0.25">
      <c r="A315" t="s">
        <v>2158</v>
      </c>
      <c r="B315" t="s">
        <v>2159</v>
      </c>
      <c r="C315" t="s">
        <v>1015</v>
      </c>
      <c r="D315" t="s">
        <v>163</v>
      </c>
      <c r="E315" t="s">
        <v>56</v>
      </c>
      <c r="F315" t="s">
        <v>1222</v>
      </c>
      <c r="G315" t="s">
        <v>1717</v>
      </c>
      <c r="H315" t="s">
        <v>1314</v>
      </c>
      <c r="I315" t="s">
        <v>1048</v>
      </c>
      <c r="J315" t="s">
        <v>1118</v>
      </c>
      <c r="K315" t="s">
        <v>1718</v>
      </c>
      <c r="L315" t="s">
        <v>969</v>
      </c>
      <c r="M315" t="s">
        <v>956</v>
      </c>
      <c r="N315" t="s">
        <v>1960</v>
      </c>
      <c r="O315" t="s">
        <v>1012</v>
      </c>
      <c r="P315" t="s">
        <v>1043</v>
      </c>
      <c r="Q315" t="s">
        <v>1200</v>
      </c>
      <c r="R315" t="s">
        <v>1358</v>
      </c>
      <c r="S315" t="s">
        <v>1230</v>
      </c>
      <c r="T315" t="s">
        <v>1029</v>
      </c>
      <c r="U315" t="s">
        <v>2160</v>
      </c>
      <c r="V315" t="s">
        <v>918</v>
      </c>
      <c r="W315" t="s">
        <v>1104</v>
      </c>
      <c r="X315" t="s">
        <v>1155</v>
      </c>
      <c r="Y315" t="s">
        <v>1029</v>
      </c>
      <c r="Z315" t="s">
        <v>918</v>
      </c>
      <c r="AA315" t="s">
        <v>934</v>
      </c>
      <c r="AB315" t="s">
        <v>1064</v>
      </c>
      <c r="AC315" t="s">
        <v>1230</v>
      </c>
      <c r="AD315" t="s">
        <v>1132</v>
      </c>
      <c r="AE315" t="s">
        <v>927</v>
      </c>
      <c r="AF315">
        <f t="shared" si="8"/>
        <v>8.4</v>
      </c>
      <c r="AG315">
        <f t="shared" si="9"/>
        <v>8.4016000000000002</v>
      </c>
    </row>
    <row r="316" spans="1:33" x14ac:dyDescent="0.25">
      <c r="A316" t="s">
        <v>2158</v>
      </c>
      <c r="B316" t="s">
        <v>2159</v>
      </c>
      <c r="C316" t="s">
        <v>1015</v>
      </c>
      <c r="D316" t="s">
        <v>83</v>
      </c>
      <c r="E316" t="s">
        <v>56</v>
      </c>
      <c r="F316" t="s">
        <v>1032</v>
      </c>
      <c r="G316" t="s">
        <v>1137</v>
      </c>
      <c r="H316" t="s">
        <v>1186</v>
      </c>
      <c r="I316" t="s">
        <v>1048</v>
      </c>
      <c r="J316" t="s">
        <v>990</v>
      </c>
      <c r="K316" t="s">
        <v>1346</v>
      </c>
      <c r="L316" t="s">
        <v>1008</v>
      </c>
      <c r="M316" t="s">
        <v>956</v>
      </c>
      <c r="N316" t="s">
        <v>1100</v>
      </c>
      <c r="O316" t="s">
        <v>993</v>
      </c>
      <c r="P316" t="s">
        <v>1079</v>
      </c>
      <c r="Q316" t="s">
        <v>1729</v>
      </c>
      <c r="R316" t="s">
        <v>1665</v>
      </c>
      <c r="S316" t="s">
        <v>945</v>
      </c>
      <c r="T316" t="s">
        <v>1029</v>
      </c>
      <c r="U316" t="s">
        <v>2049</v>
      </c>
      <c r="V316" t="s">
        <v>923</v>
      </c>
      <c r="W316" t="s">
        <v>1048</v>
      </c>
      <c r="X316" t="s">
        <v>1081</v>
      </c>
      <c r="Y316" t="s">
        <v>924</v>
      </c>
      <c r="Z316" t="s">
        <v>1008</v>
      </c>
      <c r="AA316" t="s">
        <v>1094</v>
      </c>
      <c r="AB316" t="s">
        <v>918</v>
      </c>
      <c r="AC316" t="s">
        <v>956</v>
      </c>
      <c r="AD316" t="s">
        <v>989</v>
      </c>
      <c r="AE316" t="s">
        <v>927</v>
      </c>
      <c r="AF316">
        <f t="shared" si="8"/>
        <v>8.2999999999999989</v>
      </c>
      <c r="AG316">
        <f t="shared" si="9"/>
        <v>8.2266000000000012</v>
      </c>
    </row>
    <row r="317" spans="1:33" x14ac:dyDescent="0.25">
      <c r="A317" t="s">
        <v>2161</v>
      </c>
      <c r="B317" t="s">
        <v>246</v>
      </c>
      <c r="C317" t="s">
        <v>973</v>
      </c>
      <c r="D317" t="s">
        <v>95</v>
      </c>
      <c r="E317" t="s">
        <v>56</v>
      </c>
      <c r="F317" t="s">
        <v>930</v>
      </c>
      <c r="G317" t="s">
        <v>1067</v>
      </c>
      <c r="H317" t="s">
        <v>1392</v>
      </c>
      <c r="I317" t="s">
        <v>1135</v>
      </c>
      <c r="J317" t="s">
        <v>1009</v>
      </c>
      <c r="K317" t="s">
        <v>1595</v>
      </c>
      <c r="L317" t="s">
        <v>1064</v>
      </c>
      <c r="M317" t="s">
        <v>970</v>
      </c>
      <c r="N317" t="s">
        <v>1351</v>
      </c>
      <c r="O317" t="s">
        <v>1049</v>
      </c>
      <c r="P317" t="s">
        <v>1170</v>
      </c>
      <c r="Q317" t="s">
        <v>1603</v>
      </c>
      <c r="R317" t="s">
        <v>1709</v>
      </c>
      <c r="S317" t="s">
        <v>1230</v>
      </c>
      <c r="T317" t="s">
        <v>1049</v>
      </c>
      <c r="U317" t="s">
        <v>2162</v>
      </c>
      <c r="V317" t="s">
        <v>991</v>
      </c>
      <c r="W317" t="s">
        <v>1029</v>
      </c>
      <c r="X317" t="s">
        <v>956</v>
      </c>
      <c r="Y317" t="s">
        <v>924</v>
      </c>
      <c r="Z317" t="s">
        <v>969</v>
      </c>
      <c r="AA317" t="s">
        <v>1065</v>
      </c>
      <c r="AB317" t="s">
        <v>1195</v>
      </c>
      <c r="AC317" t="s">
        <v>918</v>
      </c>
      <c r="AD317" t="s">
        <v>1010</v>
      </c>
      <c r="AE317" t="s">
        <v>927</v>
      </c>
      <c r="AF317">
        <f t="shared" si="8"/>
        <v>8.5</v>
      </c>
      <c r="AG317">
        <f t="shared" si="9"/>
        <v>8.3919999999999995</v>
      </c>
    </row>
    <row r="318" spans="1:33" x14ac:dyDescent="0.25">
      <c r="A318" t="s">
        <v>2163</v>
      </c>
      <c r="B318" t="s">
        <v>2164</v>
      </c>
      <c r="C318" t="s">
        <v>1015</v>
      </c>
      <c r="D318" t="s">
        <v>156</v>
      </c>
      <c r="E318" t="s">
        <v>93</v>
      </c>
      <c r="F318" t="s">
        <v>1446</v>
      </c>
      <c r="G318" t="s">
        <v>1222</v>
      </c>
      <c r="H318" t="s">
        <v>1140</v>
      </c>
      <c r="I318" t="s">
        <v>1030</v>
      </c>
      <c r="J318" t="s">
        <v>1126</v>
      </c>
      <c r="K318" t="s">
        <v>1523</v>
      </c>
      <c r="L318" t="s">
        <v>1600</v>
      </c>
      <c r="M318" t="s">
        <v>1094</v>
      </c>
      <c r="N318" t="s">
        <v>2165</v>
      </c>
      <c r="O318" t="s">
        <v>1030</v>
      </c>
      <c r="P318" t="s">
        <v>909</v>
      </c>
      <c r="Q318" t="s">
        <v>2166</v>
      </c>
      <c r="R318" t="s">
        <v>1814</v>
      </c>
      <c r="S318" t="s">
        <v>923</v>
      </c>
      <c r="T318" t="s">
        <v>1230</v>
      </c>
      <c r="U318" t="s">
        <v>2167</v>
      </c>
      <c r="V318" t="s">
        <v>956</v>
      </c>
      <c r="W318" t="s">
        <v>946</v>
      </c>
      <c r="X318" t="s">
        <v>1005</v>
      </c>
      <c r="Y318" t="s">
        <v>923</v>
      </c>
      <c r="Z318" t="s">
        <v>987</v>
      </c>
      <c r="AA318" t="s">
        <v>969</v>
      </c>
      <c r="AB318" t="s">
        <v>969</v>
      </c>
      <c r="AC318" t="s">
        <v>947</v>
      </c>
      <c r="AD318" t="s">
        <v>1010</v>
      </c>
      <c r="AE318" t="s">
        <v>927</v>
      </c>
      <c r="AF318">
        <f t="shared" si="8"/>
        <v>8.4</v>
      </c>
      <c r="AG318">
        <f t="shared" si="9"/>
        <v>8.2809000000000008</v>
      </c>
    </row>
    <row r="319" spans="1:33" x14ac:dyDescent="0.25">
      <c r="A319" t="s">
        <v>2168</v>
      </c>
      <c r="B319" t="s">
        <v>251</v>
      </c>
      <c r="C319" t="s">
        <v>973</v>
      </c>
      <c r="D319" t="s">
        <v>121</v>
      </c>
      <c r="E319" t="s">
        <v>63</v>
      </c>
      <c r="F319" t="s">
        <v>1594</v>
      </c>
      <c r="G319" t="s">
        <v>1015</v>
      </c>
      <c r="H319" t="s">
        <v>1237</v>
      </c>
      <c r="I319" t="s">
        <v>1104</v>
      </c>
      <c r="J319" t="s">
        <v>1079</v>
      </c>
      <c r="K319" t="s">
        <v>1629</v>
      </c>
      <c r="L319" t="s">
        <v>922</v>
      </c>
      <c r="M319" t="s">
        <v>1228</v>
      </c>
      <c r="N319" t="s">
        <v>1784</v>
      </c>
      <c r="O319" t="s">
        <v>1064</v>
      </c>
      <c r="P319" t="s">
        <v>968</v>
      </c>
      <c r="Q319" t="s">
        <v>2169</v>
      </c>
      <c r="R319" t="s">
        <v>2170</v>
      </c>
      <c r="S319" t="s">
        <v>918</v>
      </c>
      <c r="T319" t="s">
        <v>1064</v>
      </c>
      <c r="U319" t="s">
        <v>1701</v>
      </c>
      <c r="V319" t="s">
        <v>987</v>
      </c>
      <c r="W319" t="s">
        <v>1049</v>
      </c>
      <c r="X319" t="s">
        <v>1220</v>
      </c>
      <c r="Y319" t="s">
        <v>1310</v>
      </c>
      <c r="Z319" t="s">
        <v>1310</v>
      </c>
      <c r="AA319" t="s">
        <v>987</v>
      </c>
      <c r="AB319" t="s">
        <v>918</v>
      </c>
      <c r="AC319" t="s">
        <v>925</v>
      </c>
      <c r="AD319" t="s">
        <v>1010</v>
      </c>
      <c r="AE319" t="s">
        <v>927</v>
      </c>
      <c r="AF319">
        <f t="shared" si="8"/>
        <v>8.1999999999999993</v>
      </c>
      <c r="AG319">
        <f t="shared" si="9"/>
        <v>8.3438999999999997</v>
      </c>
    </row>
    <row r="320" spans="1:33" x14ac:dyDescent="0.25">
      <c r="A320" t="s">
        <v>2171</v>
      </c>
      <c r="B320" t="s">
        <v>2172</v>
      </c>
      <c r="C320" t="s">
        <v>973</v>
      </c>
      <c r="D320" t="s">
        <v>151</v>
      </c>
      <c r="E320" t="s">
        <v>56</v>
      </c>
      <c r="F320" t="s">
        <v>1355</v>
      </c>
      <c r="G320" t="s">
        <v>949</v>
      </c>
      <c r="H320" t="s">
        <v>960</v>
      </c>
      <c r="I320" t="s">
        <v>1135</v>
      </c>
      <c r="J320" t="s">
        <v>909</v>
      </c>
      <c r="K320" t="s">
        <v>1101</v>
      </c>
      <c r="L320" t="s">
        <v>1008</v>
      </c>
      <c r="M320" t="s">
        <v>968</v>
      </c>
      <c r="N320" t="s">
        <v>1719</v>
      </c>
      <c r="O320" t="s">
        <v>925</v>
      </c>
      <c r="P320" t="s">
        <v>1160</v>
      </c>
      <c r="Q320" t="s">
        <v>1374</v>
      </c>
      <c r="R320" t="s">
        <v>2173</v>
      </c>
      <c r="S320" t="s">
        <v>922</v>
      </c>
      <c r="T320" t="s">
        <v>956</v>
      </c>
      <c r="U320" t="s">
        <v>1765</v>
      </c>
      <c r="V320" t="s">
        <v>991</v>
      </c>
      <c r="W320" t="s">
        <v>1230</v>
      </c>
      <c r="X320" t="s">
        <v>968</v>
      </c>
      <c r="Y320" t="s">
        <v>947</v>
      </c>
      <c r="Z320" t="s">
        <v>1008</v>
      </c>
      <c r="AA320" t="s">
        <v>934</v>
      </c>
      <c r="AB320" t="s">
        <v>945</v>
      </c>
      <c r="AC320" t="s">
        <v>923</v>
      </c>
      <c r="AD320" t="s">
        <v>1010</v>
      </c>
      <c r="AE320" t="s">
        <v>927</v>
      </c>
      <c r="AF320">
        <f t="shared" si="8"/>
        <v>8.3999999999999986</v>
      </c>
      <c r="AG320">
        <f t="shared" si="9"/>
        <v>8.3344000000000005</v>
      </c>
    </row>
    <row r="321" spans="1:33" x14ac:dyDescent="0.25">
      <c r="A321" t="s">
        <v>2174</v>
      </c>
      <c r="B321" t="s">
        <v>2175</v>
      </c>
      <c r="C321" t="s">
        <v>1376</v>
      </c>
      <c r="D321" t="s">
        <v>102</v>
      </c>
      <c r="E321" t="s">
        <v>56</v>
      </c>
      <c r="F321" t="s">
        <v>1271</v>
      </c>
      <c r="G321" t="s">
        <v>1446</v>
      </c>
      <c r="H321" t="s">
        <v>1186</v>
      </c>
      <c r="I321" t="s">
        <v>1012</v>
      </c>
      <c r="J321" t="s">
        <v>1006</v>
      </c>
      <c r="K321" t="s">
        <v>1719</v>
      </c>
      <c r="L321" t="s">
        <v>968</v>
      </c>
      <c r="M321" t="s">
        <v>1103</v>
      </c>
      <c r="N321" t="s">
        <v>1346</v>
      </c>
      <c r="O321" t="s">
        <v>987</v>
      </c>
      <c r="P321" t="s">
        <v>925</v>
      </c>
      <c r="Q321" t="s">
        <v>1902</v>
      </c>
      <c r="R321" t="s">
        <v>1261</v>
      </c>
      <c r="S321" t="s">
        <v>1064</v>
      </c>
      <c r="T321" t="s">
        <v>1195</v>
      </c>
      <c r="U321" t="s">
        <v>2176</v>
      </c>
      <c r="V321" t="s">
        <v>1065</v>
      </c>
      <c r="W321" t="s">
        <v>908</v>
      </c>
      <c r="X321" t="s">
        <v>1012</v>
      </c>
      <c r="Y321" t="s">
        <v>1047</v>
      </c>
      <c r="Z321" t="s">
        <v>1064</v>
      </c>
      <c r="AA321" t="s">
        <v>934</v>
      </c>
      <c r="AB321" t="s">
        <v>1064</v>
      </c>
      <c r="AC321" t="s">
        <v>1029</v>
      </c>
      <c r="AD321" t="s">
        <v>989</v>
      </c>
      <c r="AE321" t="s">
        <v>927</v>
      </c>
      <c r="AF321">
        <f t="shared" si="8"/>
        <v>8.1</v>
      </c>
      <c r="AG321">
        <f t="shared" si="9"/>
        <v>8.2539999999999996</v>
      </c>
    </row>
    <row r="322" spans="1:33" x14ac:dyDescent="0.25">
      <c r="A322" t="s">
        <v>2177</v>
      </c>
      <c r="B322" t="s">
        <v>245</v>
      </c>
      <c r="C322" t="s">
        <v>929</v>
      </c>
      <c r="D322" t="s">
        <v>105</v>
      </c>
      <c r="E322" t="s">
        <v>47</v>
      </c>
      <c r="F322" t="s">
        <v>1594</v>
      </c>
      <c r="G322" t="s">
        <v>1438</v>
      </c>
      <c r="H322" t="s">
        <v>1774</v>
      </c>
      <c r="I322" t="s">
        <v>964</v>
      </c>
      <c r="J322" t="s">
        <v>921</v>
      </c>
      <c r="K322" t="s">
        <v>1776</v>
      </c>
      <c r="L322" t="s">
        <v>968</v>
      </c>
      <c r="M322" t="s">
        <v>1081</v>
      </c>
      <c r="N322" t="s">
        <v>1577</v>
      </c>
      <c r="O322" t="s">
        <v>1064</v>
      </c>
      <c r="P322" t="s">
        <v>925</v>
      </c>
      <c r="Q322" t="s">
        <v>1299</v>
      </c>
      <c r="R322" t="s">
        <v>1836</v>
      </c>
      <c r="S322" t="s">
        <v>1065</v>
      </c>
      <c r="T322" t="s">
        <v>969</v>
      </c>
      <c r="U322" t="s">
        <v>1421</v>
      </c>
      <c r="V322" t="s">
        <v>991</v>
      </c>
      <c r="W322" t="s">
        <v>1048</v>
      </c>
      <c r="X322" t="s">
        <v>992</v>
      </c>
      <c r="Y322" t="s">
        <v>1049</v>
      </c>
      <c r="Z322" t="s">
        <v>923</v>
      </c>
      <c r="AA322" t="s">
        <v>934</v>
      </c>
      <c r="AB322" t="s">
        <v>923</v>
      </c>
      <c r="AC322" t="s">
        <v>908</v>
      </c>
      <c r="AD322" t="s">
        <v>989</v>
      </c>
      <c r="AE322" t="s">
        <v>927</v>
      </c>
      <c r="AF322">
        <f t="shared" si="8"/>
        <v>8.1</v>
      </c>
      <c r="AG322">
        <f t="shared" si="9"/>
        <v>8.1840000000000011</v>
      </c>
    </row>
    <row r="323" spans="1:33" x14ac:dyDescent="0.25">
      <c r="A323" t="s">
        <v>2178</v>
      </c>
      <c r="B323" t="s">
        <v>2179</v>
      </c>
      <c r="C323" t="s">
        <v>1084</v>
      </c>
      <c r="D323" t="s">
        <v>131</v>
      </c>
      <c r="E323" t="s">
        <v>72</v>
      </c>
      <c r="F323" t="s">
        <v>1446</v>
      </c>
      <c r="G323" t="s">
        <v>928</v>
      </c>
      <c r="H323" t="s">
        <v>1487</v>
      </c>
      <c r="I323" t="s">
        <v>1135</v>
      </c>
      <c r="J323" t="s">
        <v>921</v>
      </c>
      <c r="K323" t="s">
        <v>1609</v>
      </c>
      <c r="L323" t="s">
        <v>1064</v>
      </c>
      <c r="M323" t="s">
        <v>979</v>
      </c>
      <c r="N323" t="s">
        <v>1351</v>
      </c>
      <c r="O323" t="s">
        <v>968</v>
      </c>
      <c r="P323" t="s">
        <v>964</v>
      </c>
      <c r="Q323" t="s">
        <v>1638</v>
      </c>
      <c r="R323" t="s">
        <v>1656</v>
      </c>
      <c r="S323" t="s">
        <v>1064</v>
      </c>
      <c r="T323" t="s">
        <v>1230</v>
      </c>
      <c r="U323" t="s">
        <v>1468</v>
      </c>
      <c r="V323" t="s">
        <v>1230</v>
      </c>
      <c r="W323" t="s">
        <v>1081</v>
      </c>
      <c r="X323" t="s">
        <v>1092</v>
      </c>
      <c r="Y323" t="s">
        <v>923</v>
      </c>
      <c r="Z323" t="s">
        <v>1094</v>
      </c>
      <c r="AA323" t="s">
        <v>1008</v>
      </c>
      <c r="AB323" t="s">
        <v>969</v>
      </c>
      <c r="AC323" t="s">
        <v>1310</v>
      </c>
      <c r="AD323" t="s">
        <v>989</v>
      </c>
      <c r="AE323" t="s">
        <v>927</v>
      </c>
      <c r="AF323">
        <f t="shared" ref="AF323:AF386" si="10">(L323 * 3) + ((I323 - L323) * 2) + S323</f>
        <v>8.1999999999999993</v>
      </c>
      <c r="AG323">
        <f t="shared" ref="AG323:AG386" si="11">(M323 * N323 * 3) + ((J323 - M323) * Q323 * 2) + (T323 * U323)</f>
        <v>8.2118000000000002</v>
      </c>
    </row>
    <row r="324" spans="1:33" x14ac:dyDescent="0.25">
      <c r="A324" t="s">
        <v>2180</v>
      </c>
      <c r="B324" t="s">
        <v>2181</v>
      </c>
      <c r="C324" t="s">
        <v>1084</v>
      </c>
      <c r="D324" t="s">
        <v>1223</v>
      </c>
      <c r="E324" t="s">
        <v>93</v>
      </c>
      <c r="F324" t="s">
        <v>1187</v>
      </c>
      <c r="G324" t="s">
        <v>1162</v>
      </c>
      <c r="H324" t="s">
        <v>1612</v>
      </c>
      <c r="I324" t="s">
        <v>964</v>
      </c>
      <c r="J324" t="s">
        <v>940</v>
      </c>
      <c r="K324" t="s">
        <v>1596</v>
      </c>
      <c r="L324" t="s">
        <v>922</v>
      </c>
      <c r="M324" t="s">
        <v>1170</v>
      </c>
      <c r="N324" t="s">
        <v>1619</v>
      </c>
      <c r="O324" t="s">
        <v>945</v>
      </c>
      <c r="P324" t="s">
        <v>947</v>
      </c>
      <c r="Q324" t="s">
        <v>1239</v>
      </c>
      <c r="R324" t="s">
        <v>1510</v>
      </c>
      <c r="S324" t="s">
        <v>1065</v>
      </c>
      <c r="T324" t="s">
        <v>969</v>
      </c>
      <c r="U324" t="s">
        <v>1864</v>
      </c>
      <c r="V324" t="s">
        <v>987</v>
      </c>
      <c r="W324" t="s">
        <v>1220</v>
      </c>
      <c r="X324" t="s">
        <v>979</v>
      </c>
      <c r="Y324" t="s">
        <v>1195</v>
      </c>
      <c r="Z324" t="s">
        <v>991</v>
      </c>
      <c r="AA324" t="s">
        <v>991</v>
      </c>
      <c r="AB324" t="s">
        <v>987</v>
      </c>
      <c r="AC324" t="s">
        <v>956</v>
      </c>
      <c r="AD324" t="s">
        <v>1027</v>
      </c>
      <c r="AE324" t="s">
        <v>927</v>
      </c>
      <c r="AF324">
        <f t="shared" si="10"/>
        <v>8</v>
      </c>
      <c r="AG324">
        <f t="shared" si="11"/>
        <v>8.0443999999999996</v>
      </c>
    </row>
    <row r="325" spans="1:33" x14ac:dyDescent="0.25">
      <c r="A325" t="s">
        <v>2182</v>
      </c>
      <c r="B325" t="s">
        <v>371</v>
      </c>
      <c r="C325" t="s">
        <v>995</v>
      </c>
      <c r="D325" t="s">
        <v>148</v>
      </c>
      <c r="E325" t="s">
        <v>47</v>
      </c>
      <c r="F325" t="s">
        <v>1431</v>
      </c>
      <c r="G325" t="s">
        <v>1222</v>
      </c>
      <c r="H325" t="s">
        <v>1237</v>
      </c>
      <c r="I325" t="s">
        <v>1135</v>
      </c>
      <c r="J325" t="s">
        <v>1044</v>
      </c>
      <c r="K325" t="s">
        <v>1358</v>
      </c>
      <c r="L325" t="s">
        <v>1008</v>
      </c>
      <c r="M325" t="s">
        <v>956</v>
      </c>
      <c r="N325" t="s">
        <v>1886</v>
      </c>
      <c r="O325" t="s">
        <v>947</v>
      </c>
      <c r="P325" t="s">
        <v>1170</v>
      </c>
      <c r="Q325" t="s">
        <v>1226</v>
      </c>
      <c r="R325" t="s">
        <v>1381</v>
      </c>
      <c r="S325" t="s">
        <v>1230</v>
      </c>
      <c r="T325" t="s">
        <v>956</v>
      </c>
      <c r="U325" t="s">
        <v>2183</v>
      </c>
      <c r="V325" t="s">
        <v>1008</v>
      </c>
      <c r="W325" t="s">
        <v>1220</v>
      </c>
      <c r="X325" t="s">
        <v>1000</v>
      </c>
      <c r="Y325" t="s">
        <v>1230</v>
      </c>
      <c r="Z325" t="s">
        <v>1008</v>
      </c>
      <c r="AA325" t="s">
        <v>1230</v>
      </c>
      <c r="AB325" t="s">
        <v>987</v>
      </c>
      <c r="AC325" t="s">
        <v>968</v>
      </c>
      <c r="AD325" t="s">
        <v>1027</v>
      </c>
      <c r="AE325" t="s">
        <v>927</v>
      </c>
      <c r="AF325">
        <f t="shared" si="10"/>
        <v>8.1</v>
      </c>
      <c r="AG325">
        <f t="shared" si="11"/>
        <v>8.0963999999999992</v>
      </c>
    </row>
    <row r="326" spans="1:33" x14ac:dyDescent="0.25">
      <c r="A326" t="s">
        <v>2184</v>
      </c>
      <c r="B326" t="s">
        <v>244</v>
      </c>
      <c r="C326" t="s">
        <v>902</v>
      </c>
      <c r="D326" t="s">
        <v>974</v>
      </c>
      <c r="E326" t="s">
        <v>56</v>
      </c>
      <c r="F326" t="s">
        <v>1322</v>
      </c>
      <c r="G326" t="s">
        <v>1376</v>
      </c>
      <c r="H326" t="s">
        <v>1654</v>
      </c>
      <c r="I326" t="s">
        <v>1135</v>
      </c>
      <c r="J326" t="s">
        <v>921</v>
      </c>
      <c r="K326" t="s">
        <v>1405</v>
      </c>
      <c r="L326" t="s">
        <v>1064</v>
      </c>
      <c r="M326" t="s">
        <v>964</v>
      </c>
      <c r="N326" t="s">
        <v>1686</v>
      </c>
      <c r="O326" t="s">
        <v>1049</v>
      </c>
      <c r="P326" t="s">
        <v>992</v>
      </c>
      <c r="Q326" t="s">
        <v>1144</v>
      </c>
      <c r="R326" t="s">
        <v>1522</v>
      </c>
      <c r="S326" t="s">
        <v>987</v>
      </c>
      <c r="T326" t="s">
        <v>1064</v>
      </c>
      <c r="U326" t="s">
        <v>2185</v>
      </c>
      <c r="V326" t="s">
        <v>1065</v>
      </c>
      <c r="W326" t="s">
        <v>968</v>
      </c>
      <c r="X326" t="s">
        <v>947</v>
      </c>
      <c r="Y326" t="s">
        <v>1046</v>
      </c>
      <c r="Z326" t="s">
        <v>923</v>
      </c>
      <c r="AA326" t="s">
        <v>934</v>
      </c>
      <c r="AB326" t="s">
        <v>922</v>
      </c>
      <c r="AC326" t="s">
        <v>993</v>
      </c>
      <c r="AD326" t="s">
        <v>915</v>
      </c>
      <c r="AE326" t="s">
        <v>927</v>
      </c>
      <c r="AF326">
        <f t="shared" si="10"/>
        <v>7.8999999999999995</v>
      </c>
      <c r="AG326">
        <f t="shared" si="11"/>
        <v>7.8966000000000012</v>
      </c>
    </row>
    <row r="327" spans="1:33" x14ac:dyDescent="0.25">
      <c r="A327" t="s">
        <v>2184</v>
      </c>
      <c r="B327" t="s">
        <v>244</v>
      </c>
      <c r="C327" t="s">
        <v>902</v>
      </c>
      <c r="D327" t="s">
        <v>163</v>
      </c>
      <c r="E327" t="s">
        <v>56</v>
      </c>
      <c r="F327" t="s">
        <v>1422</v>
      </c>
      <c r="G327" t="s">
        <v>995</v>
      </c>
      <c r="H327" t="s">
        <v>1231</v>
      </c>
      <c r="I327" t="s">
        <v>924</v>
      </c>
      <c r="J327" t="s">
        <v>1291</v>
      </c>
      <c r="K327" t="s">
        <v>1764</v>
      </c>
      <c r="L327" t="s">
        <v>923</v>
      </c>
      <c r="M327" t="s">
        <v>1220</v>
      </c>
      <c r="N327" t="s">
        <v>1952</v>
      </c>
      <c r="O327" t="s">
        <v>1310</v>
      </c>
      <c r="P327" t="s">
        <v>964</v>
      </c>
      <c r="Q327" t="s">
        <v>1340</v>
      </c>
      <c r="R327" t="s">
        <v>1667</v>
      </c>
      <c r="S327" t="s">
        <v>969</v>
      </c>
      <c r="T327" t="s">
        <v>987</v>
      </c>
      <c r="U327" t="s">
        <v>2186</v>
      </c>
      <c r="V327" t="s">
        <v>991</v>
      </c>
      <c r="W327" t="s">
        <v>1029</v>
      </c>
      <c r="X327" t="s">
        <v>1049</v>
      </c>
      <c r="Y327" t="s">
        <v>1211</v>
      </c>
      <c r="Z327" t="s">
        <v>1008</v>
      </c>
      <c r="AA327" t="s">
        <v>934</v>
      </c>
      <c r="AB327" t="s">
        <v>968</v>
      </c>
      <c r="AC327" t="s">
        <v>1012</v>
      </c>
      <c r="AD327" t="s">
        <v>1044</v>
      </c>
      <c r="AE327" t="s">
        <v>927</v>
      </c>
      <c r="AF327">
        <f t="shared" si="10"/>
        <v>6.3999999999999995</v>
      </c>
      <c r="AG327">
        <f t="shared" si="11"/>
        <v>6.2710999999999997</v>
      </c>
    </row>
    <row r="328" spans="1:33" x14ac:dyDescent="0.25">
      <c r="A328" t="s">
        <v>2184</v>
      </c>
      <c r="B328" t="s">
        <v>244</v>
      </c>
      <c r="C328" t="s">
        <v>902</v>
      </c>
      <c r="D328" t="s">
        <v>133</v>
      </c>
      <c r="E328" t="s">
        <v>56</v>
      </c>
      <c r="F328" t="s">
        <v>929</v>
      </c>
      <c r="G328" t="s">
        <v>1175</v>
      </c>
      <c r="H328" t="s">
        <v>1507</v>
      </c>
      <c r="I328" t="s">
        <v>1160</v>
      </c>
      <c r="J328" t="s">
        <v>990</v>
      </c>
      <c r="K328" t="s">
        <v>1340</v>
      </c>
      <c r="L328" t="s">
        <v>1230</v>
      </c>
      <c r="M328" t="s">
        <v>946</v>
      </c>
      <c r="N328" t="s">
        <v>1037</v>
      </c>
      <c r="O328" t="s">
        <v>993</v>
      </c>
      <c r="P328" t="s">
        <v>1211</v>
      </c>
      <c r="Q328" t="s">
        <v>1396</v>
      </c>
      <c r="R328" t="s">
        <v>1856</v>
      </c>
      <c r="S328" t="s">
        <v>1064</v>
      </c>
      <c r="T328" t="s">
        <v>1029</v>
      </c>
      <c r="U328" t="s">
        <v>1825</v>
      </c>
      <c r="V328" t="s">
        <v>969</v>
      </c>
      <c r="W328" t="s">
        <v>908</v>
      </c>
      <c r="X328" t="s">
        <v>1220</v>
      </c>
      <c r="Y328" t="s">
        <v>1043</v>
      </c>
      <c r="Z328" t="s">
        <v>1230</v>
      </c>
      <c r="AA328" t="s">
        <v>1094</v>
      </c>
      <c r="AB328" t="s">
        <v>922</v>
      </c>
      <c r="AC328" t="s">
        <v>947</v>
      </c>
      <c r="AD328" t="s">
        <v>1038</v>
      </c>
      <c r="AE328" t="s">
        <v>927</v>
      </c>
      <c r="AF328">
        <f t="shared" si="10"/>
        <v>10.299999999999999</v>
      </c>
      <c r="AG328">
        <f t="shared" si="11"/>
        <v>10.2759</v>
      </c>
    </row>
    <row r="329" spans="1:33" x14ac:dyDescent="0.25">
      <c r="A329" t="s">
        <v>2187</v>
      </c>
      <c r="B329" t="s">
        <v>2188</v>
      </c>
      <c r="C329" t="s">
        <v>950</v>
      </c>
      <c r="D329" t="s">
        <v>974</v>
      </c>
      <c r="E329" t="s">
        <v>47</v>
      </c>
      <c r="F329" t="s">
        <v>1312</v>
      </c>
      <c r="G329" t="s">
        <v>1084</v>
      </c>
      <c r="H329" t="s">
        <v>1774</v>
      </c>
      <c r="I329" t="s">
        <v>964</v>
      </c>
      <c r="J329" t="s">
        <v>1172</v>
      </c>
      <c r="K329" t="s">
        <v>2040</v>
      </c>
      <c r="L329" t="s">
        <v>987</v>
      </c>
      <c r="M329" t="s">
        <v>947</v>
      </c>
      <c r="N329" t="s">
        <v>1952</v>
      </c>
      <c r="O329" t="s">
        <v>956</v>
      </c>
      <c r="P329" t="s">
        <v>1047</v>
      </c>
      <c r="Q329" t="s">
        <v>1555</v>
      </c>
      <c r="R329" t="s">
        <v>1514</v>
      </c>
      <c r="S329" t="s">
        <v>1230</v>
      </c>
      <c r="T329" t="s">
        <v>925</v>
      </c>
      <c r="U329" t="s">
        <v>1814</v>
      </c>
      <c r="V329" t="s">
        <v>945</v>
      </c>
      <c r="W329" t="s">
        <v>1104</v>
      </c>
      <c r="X329" t="s">
        <v>1160</v>
      </c>
      <c r="Y329" t="s">
        <v>908</v>
      </c>
      <c r="Z329" t="s">
        <v>923</v>
      </c>
      <c r="AA329" t="s">
        <v>1065</v>
      </c>
      <c r="AB329" t="s">
        <v>945</v>
      </c>
      <c r="AC329" t="s">
        <v>1049</v>
      </c>
      <c r="AD329" t="s">
        <v>915</v>
      </c>
      <c r="AE329" t="s">
        <v>927</v>
      </c>
      <c r="AF329">
        <f t="shared" si="10"/>
        <v>8</v>
      </c>
      <c r="AG329">
        <f t="shared" si="11"/>
        <v>7.9675000000000002</v>
      </c>
    </row>
    <row r="330" spans="1:33" x14ac:dyDescent="0.25">
      <c r="A330" t="s">
        <v>2187</v>
      </c>
      <c r="B330" t="s">
        <v>2188</v>
      </c>
      <c r="C330" t="s">
        <v>950</v>
      </c>
      <c r="D330" t="s">
        <v>108</v>
      </c>
      <c r="E330" t="s">
        <v>47</v>
      </c>
      <c r="F330" t="s">
        <v>1176</v>
      </c>
      <c r="G330" t="s">
        <v>1084</v>
      </c>
      <c r="H330" t="s">
        <v>948</v>
      </c>
      <c r="I330" t="s">
        <v>970</v>
      </c>
      <c r="J330" t="s">
        <v>1028</v>
      </c>
      <c r="K330" t="s">
        <v>1718</v>
      </c>
      <c r="L330" t="s">
        <v>1064</v>
      </c>
      <c r="M330" t="s">
        <v>1104</v>
      </c>
      <c r="N330" t="s">
        <v>1019</v>
      </c>
      <c r="O330" t="s">
        <v>925</v>
      </c>
      <c r="P330" t="s">
        <v>957</v>
      </c>
      <c r="Q330" t="s">
        <v>1099</v>
      </c>
      <c r="R330" t="s">
        <v>1283</v>
      </c>
      <c r="S330" t="s">
        <v>1310</v>
      </c>
      <c r="T330" t="s">
        <v>924</v>
      </c>
      <c r="U330" t="s">
        <v>1814</v>
      </c>
      <c r="V330" t="s">
        <v>1230</v>
      </c>
      <c r="W330" t="s">
        <v>1135</v>
      </c>
      <c r="X330" t="s">
        <v>1103</v>
      </c>
      <c r="Y330" t="s">
        <v>925</v>
      </c>
      <c r="Z330" t="s">
        <v>1064</v>
      </c>
      <c r="AA330" t="s">
        <v>969</v>
      </c>
      <c r="AB330" t="s">
        <v>1230</v>
      </c>
      <c r="AC330" t="s">
        <v>956</v>
      </c>
      <c r="AD330" t="s">
        <v>1035</v>
      </c>
      <c r="AE330" t="s">
        <v>927</v>
      </c>
      <c r="AF330">
        <f t="shared" si="10"/>
        <v>9.1999999999999993</v>
      </c>
      <c r="AG330">
        <f t="shared" si="11"/>
        <v>9.0850000000000009</v>
      </c>
    </row>
    <row r="331" spans="1:33" x14ac:dyDescent="0.25">
      <c r="A331" t="s">
        <v>2187</v>
      </c>
      <c r="B331" t="s">
        <v>2188</v>
      </c>
      <c r="C331" t="s">
        <v>950</v>
      </c>
      <c r="D331" t="s">
        <v>151</v>
      </c>
      <c r="E331" t="s">
        <v>47</v>
      </c>
      <c r="F331" t="s">
        <v>1162</v>
      </c>
      <c r="G331" t="s">
        <v>1717</v>
      </c>
      <c r="H331" t="s">
        <v>1314</v>
      </c>
      <c r="I331" t="s">
        <v>956</v>
      </c>
      <c r="J331" t="s">
        <v>1005</v>
      </c>
      <c r="K331" t="s">
        <v>1461</v>
      </c>
      <c r="L331" t="s">
        <v>1094</v>
      </c>
      <c r="M331" t="s">
        <v>1064</v>
      </c>
      <c r="N331" t="s">
        <v>2152</v>
      </c>
      <c r="O331" t="s">
        <v>922</v>
      </c>
      <c r="P331" t="s">
        <v>1228</v>
      </c>
      <c r="Q331" t="s">
        <v>1729</v>
      </c>
      <c r="R331" t="s">
        <v>958</v>
      </c>
      <c r="S331" t="s">
        <v>1064</v>
      </c>
      <c r="T331" t="s">
        <v>922</v>
      </c>
      <c r="U331" t="s">
        <v>1842</v>
      </c>
      <c r="V331" t="s">
        <v>1008</v>
      </c>
      <c r="W331" t="s">
        <v>925</v>
      </c>
      <c r="X331" t="s">
        <v>964</v>
      </c>
      <c r="Y331" t="s">
        <v>1049</v>
      </c>
      <c r="Z331" t="s">
        <v>918</v>
      </c>
      <c r="AA331" t="s">
        <v>934</v>
      </c>
      <c r="AB331" t="s">
        <v>918</v>
      </c>
      <c r="AC331" t="s">
        <v>922</v>
      </c>
      <c r="AD331" t="s">
        <v>1329</v>
      </c>
      <c r="AE331" t="s">
        <v>927</v>
      </c>
      <c r="AF331">
        <f t="shared" si="10"/>
        <v>5.4</v>
      </c>
      <c r="AG331">
        <f t="shared" si="11"/>
        <v>5.3194999999999997</v>
      </c>
    </row>
    <row r="332" spans="1:33" x14ac:dyDescent="0.25">
      <c r="A332" t="s">
        <v>2189</v>
      </c>
      <c r="B332" t="s">
        <v>2190</v>
      </c>
      <c r="C332" t="s">
        <v>973</v>
      </c>
      <c r="D332" t="s">
        <v>1279</v>
      </c>
      <c r="E332" t="s">
        <v>56</v>
      </c>
      <c r="F332" t="s">
        <v>1067</v>
      </c>
      <c r="G332" t="s">
        <v>1717</v>
      </c>
      <c r="H332" t="s">
        <v>1383</v>
      </c>
      <c r="I332" t="s">
        <v>924</v>
      </c>
      <c r="J332" t="s">
        <v>988</v>
      </c>
      <c r="K332" t="s">
        <v>2069</v>
      </c>
      <c r="L332" t="s">
        <v>1049</v>
      </c>
      <c r="M332" t="s">
        <v>1044</v>
      </c>
      <c r="N332" t="s">
        <v>1259</v>
      </c>
      <c r="O332" t="s">
        <v>969</v>
      </c>
      <c r="P332" t="s">
        <v>1064</v>
      </c>
      <c r="Q332" t="s">
        <v>1131</v>
      </c>
      <c r="R332" t="s">
        <v>1055</v>
      </c>
      <c r="S332" t="s">
        <v>1064</v>
      </c>
      <c r="T332" t="s">
        <v>1230</v>
      </c>
      <c r="U332" t="s">
        <v>963</v>
      </c>
      <c r="V332" t="s">
        <v>991</v>
      </c>
      <c r="W332" t="s">
        <v>918</v>
      </c>
      <c r="X332" t="s">
        <v>1195</v>
      </c>
      <c r="Y332" t="s">
        <v>922</v>
      </c>
      <c r="Z332" t="s">
        <v>991</v>
      </c>
      <c r="AA332" t="s">
        <v>1119</v>
      </c>
      <c r="AB332" t="s">
        <v>1064</v>
      </c>
      <c r="AC332" t="s">
        <v>924</v>
      </c>
      <c r="AD332" t="s">
        <v>915</v>
      </c>
      <c r="AE332" t="s">
        <v>927</v>
      </c>
      <c r="AF332">
        <f t="shared" si="10"/>
        <v>7.7999999999999989</v>
      </c>
      <c r="AG332">
        <f t="shared" si="11"/>
        <v>7.7955000000000005</v>
      </c>
    </row>
    <row r="333" spans="1:33" x14ac:dyDescent="0.25">
      <c r="A333" t="s">
        <v>2191</v>
      </c>
      <c r="B333" t="s">
        <v>2192</v>
      </c>
      <c r="C333" t="s">
        <v>1032</v>
      </c>
      <c r="D333" t="s">
        <v>1279</v>
      </c>
      <c r="E333" t="s">
        <v>72</v>
      </c>
      <c r="F333" t="s">
        <v>975</v>
      </c>
      <c r="G333" t="s">
        <v>928</v>
      </c>
      <c r="H333" t="s">
        <v>1073</v>
      </c>
      <c r="I333" t="s">
        <v>970</v>
      </c>
      <c r="J333" t="s">
        <v>1044</v>
      </c>
      <c r="K333" t="s">
        <v>1101</v>
      </c>
      <c r="L333" t="s">
        <v>934</v>
      </c>
      <c r="M333" t="s">
        <v>918</v>
      </c>
      <c r="N333" t="s">
        <v>2193</v>
      </c>
      <c r="O333" t="s">
        <v>946</v>
      </c>
      <c r="P333" t="s">
        <v>1329</v>
      </c>
      <c r="Q333" t="s">
        <v>1504</v>
      </c>
      <c r="R333" t="s">
        <v>1307</v>
      </c>
      <c r="S333" t="s">
        <v>1064</v>
      </c>
      <c r="T333" t="s">
        <v>1310</v>
      </c>
      <c r="U333" t="s">
        <v>1684</v>
      </c>
      <c r="V333" t="s">
        <v>1135</v>
      </c>
      <c r="W333" t="s">
        <v>992</v>
      </c>
      <c r="X333" t="s">
        <v>1006</v>
      </c>
      <c r="Y333" t="s">
        <v>968</v>
      </c>
      <c r="Z333" t="s">
        <v>987</v>
      </c>
      <c r="AA333" t="s">
        <v>987</v>
      </c>
      <c r="AB333" t="s">
        <v>1195</v>
      </c>
      <c r="AC333" t="s">
        <v>947</v>
      </c>
      <c r="AD333" t="s">
        <v>915</v>
      </c>
      <c r="AE333" t="s">
        <v>927</v>
      </c>
      <c r="AF333">
        <f t="shared" si="10"/>
        <v>7.8999999999999986</v>
      </c>
      <c r="AG333">
        <f t="shared" si="11"/>
        <v>7.9070999999999998</v>
      </c>
    </row>
    <row r="334" spans="1:33" x14ac:dyDescent="0.25">
      <c r="A334" t="s">
        <v>2194</v>
      </c>
      <c r="B334" t="s">
        <v>331</v>
      </c>
      <c r="C334" t="s">
        <v>995</v>
      </c>
      <c r="D334" t="s">
        <v>1149</v>
      </c>
      <c r="E334" t="s">
        <v>56</v>
      </c>
      <c r="F334" t="s">
        <v>1068</v>
      </c>
      <c r="G334" t="s">
        <v>1175</v>
      </c>
      <c r="H334" t="s">
        <v>2195</v>
      </c>
      <c r="I334" t="s">
        <v>964</v>
      </c>
      <c r="J334" t="s">
        <v>1132</v>
      </c>
      <c r="K334" t="s">
        <v>1499</v>
      </c>
      <c r="L334" t="s">
        <v>918</v>
      </c>
      <c r="M334" t="s">
        <v>992</v>
      </c>
      <c r="N334" t="s">
        <v>2196</v>
      </c>
      <c r="O334" t="s">
        <v>956</v>
      </c>
      <c r="P334" t="s">
        <v>1134</v>
      </c>
      <c r="Q334" t="s">
        <v>1797</v>
      </c>
      <c r="R334" t="s">
        <v>1719</v>
      </c>
      <c r="S334" t="s">
        <v>1064</v>
      </c>
      <c r="T334" t="s">
        <v>1230</v>
      </c>
      <c r="U334" t="s">
        <v>2197</v>
      </c>
      <c r="V334" t="s">
        <v>1064</v>
      </c>
      <c r="W334" t="s">
        <v>1049</v>
      </c>
      <c r="X334" t="s">
        <v>1135</v>
      </c>
      <c r="Y334" t="s">
        <v>946</v>
      </c>
      <c r="Z334" t="s">
        <v>918</v>
      </c>
      <c r="AA334" t="s">
        <v>934</v>
      </c>
      <c r="AB334" t="s">
        <v>1029</v>
      </c>
      <c r="AC334" t="s">
        <v>1029</v>
      </c>
      <c r="AD334" t="s">
        <v>1011</v>
      </c>
      <c r="AE334" t="s">
        <v>927</v>
      </c>
      <c r="AF334">
        <f t="shared" si="10"/>
        <v>7.8000000000000007</v>
      </c>
      <c r="AG334">
        <f t="shared" si="11"/>
        <v>7.8751999999999995</v>
      </c>
    </row>
    <row r="335" spans="1:33" x14ac:dyDescent="0.25">
      <c r="A335" t="s">
        <v>2198</v>
      </c>
      <c r="B335" t="s">
        <v>333</v>
      </c>
      <c r="C335" t="s">
        <v>1015</v>
      </c>
      <c r="D335" t="s">
        <v>974</v>
      </c>
      <c r="E335" t="s">
        <v>63</v>
      </c>
      <c r="F335" t="s">
        <v>930</v>
      </c>
      <c r="G335" t="s">
        <v>1147</v>
      </c>
      <c r="H335" t="s">
        <v>1408</v>
      </c>
      <c r="I335" t="s">
        <v>946</v>
      </c>
      <c r="J335" t="s">
        <v>985</v>
      </c>
      <c r="K335" t="s">
        <v>1476</v>
      </c>
      <c r="L335" t="s">
        <v>918</v>
      </c>
      <c r="M335" t="s">
        <v>924</v>
      </c>
      <c r="N335" t="s">
        <v>981</v>
      </c>
      <c r="O335" t="s">
        <v>925</v>
      </c>
      <c r="P335" t="s">
        <v>1030</v>
      </c>
      <c r="Q335" t="s">
        <v>1606</v>
      </c>
      <c r="R335" t="s">
        <v>914</v>
      </c>
      <c r="S335" t="s">
        <v>1008</v>
      </c>
      <c r="T335" t="s">
        <v>923</v>
      </c>
      <c r="U335" t="s">
        <v>1803</v>
      </c>
      <c r="V335" t="s">
        <v>923</v>
      </c>
      <c r="W335" t="s">
        <v>956</v>
      </c>
      <c r="X335" t="s">
        <v>1135</v>
      </c>
      <c r="Y335" t="s">
        <v>968</v>
      </c>
      <c r="Z335" t="s">
        <v>1008</v>
      </c>
      <c r="AA335" t="s">
        <v>934</v>
      </c>
      <c r="AB335" t="s">
        <v>1008</v>
      </c>
      <c r="AC335" t="s">
        <v>1049</v>
      </c>
      <c r="AD335" t="s">
        <v>990</v>
      </c>
      <c r="AE335" t="s">
        <v>927</v>
      </c>
      <c r="AF335">
        <f t="shared" si="10"/>
        <v>7.8000000000000007</v>
      </c>
      <c r="AG335">
        <f t="shared" si="11"/>
        <v>7.7486000000000006</v>
      </c>
    </row>
    <row r="336" spans="1:33" x14ac:dyDescent="0.25">
      <c r="A336" t="s">
        <v>2198</v>
      </c>
      <c r="B336" t="s">
        <v>333</v>
      </c>
      <c r="C336" t="s">
        <v>1015</v>
      </c>
      <c r="D336" t="s">
        <v>79</v>
      </c>
      <c r="E336" t="s">
        <v>63</v>
      </c>
      <c r="F336" t="s">
        <v>1376</v>
      </c>
      <c r="G336" t="s">
        <v>1137</v>
      </c>
      <c r="H336" t="s">
        <v>1125</v>
      </c>
      <c r="I336" t="s">
        <v>924</v>
      </c>
      <c r="J336" t="s">
        <v>1043</v>
      </c>
      <c r="K336" t="s">
        <v>1319</v>
      </c>
      <c r="L336" t="s">
        <v>1008</v>
      </c>
      <c r="M336" t="s">
        <v>956</v>
      </c>
      <c r="N336" t="s">
        <v>2199</v>
      </c>
      <c r="O336" t="s">
        <v>1029</v>
      </c>
      <c r="P336" t="s">
        <v>1048</v>
      </c>
      <c r="Q336" t="s">
        <v>1471</v>
      </c>
      <c r="R336" t="s">
        <v>1235</v>
      </c>
      <c r="S336" t="s">
        <v>969</v>
      </c>
      <c r="T336" t="s">
        <v>918</v>
      </c>
      <c r="U336" t="s">
        <v>2200</v>
      </c>
      <c r="V336" t="s">
        <v>918</v>
      </c>
      <c r="W336" t="s">
        <v>956</v>
      </c>
      <c r="X336" t="s">
        <v>964</v>
      </c>
      <c r="Y336" t="s">
        <v>1029</v>
      </c>
      <c r="Z336" t="s">
        <v>987</v>
      </c>
      <c r="AA336" t="s">
        <v>1094</v>
      </c>
      <c r="AB336" t="s">
        <v>1008</v>
      </c>
      <c r="AC336" t="s">
        <v>968</v>
      </c>
      <c r="AD336" t="s">
        <v>1063</v>
      </c>
      <c r="AE336" t="s">
        <v>927</v>
      </c>
      <c r="AF336">
        <f t="shared" si="10"/>
        <v>6.1</v>
      </c>
      <c r="AG336">
        <f t="shared" si="11"/>
        <v>6.0818999999999992</v>
      </c>
    </row>
    <row r="337" spans="1:33" x14ac:dyDescent="0.25">
      <c r="A337" t="s">
        <v>2198</v>
      </c>
      <c r="B337" t="s">
        <v>333</v>
      </c>
      <c r="C337" t="s">
        <v>1015</v>
      </c>
      <c r="D337" t="s">
        <v>111</v>
      </c>
      <c r="E337" t="s">
        <v>63</v>
      </c>
      <c r="F337" t="s">
        <v>929</v>
      </c>
      <c r="G337" t="s">
        <v>901</v>
      </c>
      <c r="H337" t="s">
        <v>1883</v>
      </c>
      <c r="I337" t="s">
        <v>1160</v>
      </c>
      <c r="J337" t="s">
        <v>1118</v>
      </c>
      <c r="K337" t="s">
        <v>1369</v>
      </c>
      <c r="L337" t="s">
        <v>1064</v>
      </c>
      <c r="M337" t="s">
        <v>964</v>
      </c>
      <c r="N337" t="s">
        <v>1588</v>
      </c>
      <c r="O337" t="s">
        <v>1104</v>
      </c>
      <c r="P337" t="s">
        <v>1170</v>
      </c>
      <c r="Q337" t="s">
        <v>2201</v>
      </c>
      <c r="R337" t="s">
        <v>2115</v>
      </c>
      <c r="S337" t="s">
        <v>987</v>
      </c>
      <c r="T337" t="s">
        <v>945</v>
      </c>
      <c r="U337" t="s">
        <v>1696</v>
      </c>
      <c r="V337" t="s">
        <v>945</v>
      </c>
      <c r="W337" t="s">
        <v>1049</v>
      </c>
      <c r="X337" t="s">
        <v>946</v>
      </c>
      <c r="Y337" t="s">
        <v>908</v>
      </c>
      <c r="Z337" t="s">
        <v>969</v>
      </c>
      <c r="AA337" t="s">
        <v>1119</v>
      </c>
      <c r="AB337" t="s">
        <v>1008</v>
      </c>
      <c r="AC337" t="s">
        <v>956</v>
      </c>
      <c r="AD337" t="s">
        <v>997</v>
      </c>
      <c r="AE337" t="s">
        <v>927</v>
      </c>
      <c r="AF337">
        <f t="shared" si="10"/>
        <v>9.7000000000000011</v>
      </c>
      <c r="AG337">
        <f t="shared" si="11"/>
        <v>9.8434000000000008</v>
      </c>
    </row>
    <row r="338" spans="1:33" x14ac:dyDescent="0.25">
      <c r="A338" t="s">
        <v>874</v>
      </c>
      <c r="B338" t="s">
        <v>171</v>
      </c>
      <c r="C338" t="s">
        <v>875</v>
      </c>
      <c r="D338" t="s">
        <v>172</v>
      </c>
      <c r="E338" t="s">
        <v>876</v>
      </c>
      <c r="F338" t="s">
        <v>392</v>
      </c>
      <c r="G338" t="s">
        <v>877</v>
      </c>
      <c r="H338" t="s">
        <v>878</v>
      </c>
      <c r="I338" t="s">
        <v>879</v>
      </c>
      <c r="J338" t="s">
        <v>880</v>
      </c>
      <c r="K338" t="s">
        <v>881</v>
      </c>
      <c r="L338" t="s">
        <v>882</v>
      </c>
      <c r="M338" t="s">
        <v>883</v>
      </c>
      <c r="N338" t="s">
        <v>884</v>
      </c>
      <c r="O338" t="s">
        <v>885</v>
      </c>
      <c r="P338" t="s">
        <v>886</v>
      </c>
      <c r="Q338" t="s">
        <v>887</v>
      </c>
      <c r="R338" t="s">
        <v>888</v>
      </c>
      <c r="S338" t="s">
        <v>889</v>
      </c>
      <c r="T338" t="s">
        <v>890</v>
      </c>
      <c r="U338" t="s">
        <v>891</v>
      </c>
      <c r="V338" t="s">
        <v>892</v>
      </c>
      <c r="W338" t="s">
        <v>893</v>
      </c>
      <c r="X338" t="s">
        <v>894</v>
      </c>
      <c r="Y338" t="s">
        <v>895</v>
      </c>
      <c r="Z338" t="s">
        <v>896</v>
      </c>
      <c r="AA338" t="s">
        <v>897</v>
      </c>
      <c r="AB338" t="s">
        <v>898</v>
      </c>
      <c r="AC338" t="s">
        <v>93</v>
      </c>
      <c r="AD338" t="s">
        <v>899</v>
      </c>
      <c r="AE338" t="s">
        <v>900</v>
      </c>
      <c r="AF338" t="e">
        <f t="shared" si="10"/>
        <v>#VALUE!</v>
      </c>
      <c r="AG338" t="e">
        <f t="shared" si="11"/>
        <v>#VALUE!</v>
      </c>
    </row>
    <row r="339" spans="1:33" x14ac:dyDescent="0.25">
      <c r="A339" t="s">
        <v>2202</v>
      </c>
      <c r="B339" t="s">
        <v>2203</v>
      </c>
      <c r="C339" t="s">
        <v>1032</v>
      </c>
      <c r="D339" t="s">
        <v>83</v>
      </c>
      <c r="E339" t="s">
        <v>93</v>
      </c>
      <c r="F339" t="s">
        <v>1187</v>
      </c>
      <c r="G339" t="s">
        <v>1067</v>
      </c>
      <c r="H339" t="s">
        <v>1304</v>
      </c>
      <c r="I339" t="s">
        <v>1048</v>
      </c>
      <c r="J339" t="s">
        <v>1092</v>
      </c>
      <c r="K339" t="s">
        <v>1077</v>
      </c>
      <c r="L339" t="s">
        <v>1065</v>
      </c>
      <c r="M339" t="s">
        <v>1029</v>
      </c>
      <c r="N339" t="s">
        <v>1791</v>
      </c>
      <c r="O339" t="s">
        <v>1220</v>
      </c>
      <c r="P339" t="s">
        <v>1228</v>
      </c>
      <c r="Q339" t="s">
        <v>1880</v>
      </c>
      <c r="R339" t="s">
        <v>2115</v>
      </c>
      <c r="S339" t="s">
        <v>987</v>
      </c>
      <c r="T339" t="s">
        <v>923</v>
      </c>
      <c r="U339" t="s">
        <v>1634</v>
      </c>
      <c r="V339" t="s">
        <v>1310</v>
      </c>
      <c r="W339" t="s">
        <v>979</v>
      </c>
      <c r="X339" t="s">
        <v>920</v>
      </c>
      <c r="Y339" t="s">
        <v>1064</v>
      </c>
      <c r="Z339" t="s">
        <v>1065</v>
      </c>
      <c r="AA339" t="s">
        <v>923</v>
      </c>
      <c r="AB339" t="s">
        <v>923</v>
      </c>
      <c r="AC339" t="s">
        <v>993</v>
      </c>
      <c r="AD339" t="s">
        <v>990</v>
      </c>
      <c r="AE339" t="s">
        <v>927</v>
      </c>
      <c r="AF339">
        <f t="shared" si="10"/>
        <v>7.7</v>
      </c>
      <c r="AG339">
        <f t="shared" si="11"/>
        <v>7.6993999999999989</v>
      </c>
    </row>
    <row r="340" spans="1:33" x14ac:dyDescent="0.25">
      <c r="A340" t="s">
        <v>2204</v>
      </c>
      <c r="B340" t="s">
        <v>302</v>
      </c>
      <c r="C340" t="s">
        <v>1238</v>
      </c>
      <c r="D340" t="s">
        <v>974</v>
      </c>
      <c r="E340" t="s">
        <v>63</v>
      </c>
      <c r="F340" t="s">
        <v>950</v>
      </c>
      <c r="G340" t="s">
        <v>1121</v>
      </c>
      <c r="H340" t="s">
        <v>1732</v>
      </c>
      <c r="I340" t="s">
        <v>1104</v>
      </c>
      <c r="J340" t="s">
        <v>1118</v>
      </c>
      <c r="K340" t="s">
        <v>1683</v>
      </c>
      <c r="L340" t="s">
        <v>987</v>
      </c>
      <c r="M340" t="s">
        <v>946</v>
      </c>
      <c r="N340" t="s">
        <v>2205</v>
      </c>
      <c r="O340" t="s">
        <v>956</v>
      </c>
      <c r="P340" t="s">
        <v>1081</v>
      </c>
      <c r="Q340" t="s">
        <v>1287</v>
      </c>
      <c r="R340" t="s">
        <v>1840</v>
      </c>
      <c r="S340" t="s">
        <v>1064</v>
      </c>
      <c r="T340" t="s">
        <v>1195</v>
      </c>
      <c r="U340" t="s">
        <v>1539</v>
      </c>
      <c r="V340" t="s">
        <v>1094</v>
      </c>
      <c r="W340" t="s">
        <v>968</v>
      </c>
      <c r="X340" t="s">
        <v>956</v>
      </c>
      <c r="Y340" t="s">
        <v>1012</v>
      </c>
      <c r="Z340" t="s">
        <v>991</v>
      </c>
      <c r="AA340" t="s">
        <v>1119</v>
      </c>
      <c r="AB340" t="s">
        <v>945</v>
      </c>
      <c r="AC340" t="s">
        <v>922</v>
      </c>
      <c r="AD340" t="s">
        <v>1009</v>
      </c>
      <c r="AE340" t="s">
        <v>927</v>
      </c>
      <c r="AF340">
        <f t="shared" si="10"/>
        <v>7.5</v>
      </c>
      <c r="AG340">
        <f t="shared" si="11"/>
        <v>7.5723999999999991</v>
      </c>
    </row>
    <row r="341" spans="1:33" x14ac:dyDescent="0.25">
      <c r="A341" t="s">
        <v>2204</v>
      </c>
      <c r="B341" t="s">
        <v>302</v>
      </c>
      <c r="C341" t="s">
        <v>1238</v>
      </c>
      <c r="D341" t="s">
        <v>105</v>
      </c>
      <c r="E341" t="s">
        <v>63</v>
      </c>
      <c r="F341" t="s">
        <v>1067</v>
      </c>
      <c r="G341" t="s">
        <v>1717</v>
      </c>
      <c r="H341" t="s">
        <v>1044</v>
      </c>
      <c r="I341" t="s">
        <v>1064</v>
      </c>
      <c r="J341" t="s">
        <v>1220</v>
      </c>
      <c r="K341" t="s">
        <v>1818</v>
      </c>
      <c r="L341" t="s">
        <v>991</v>
      </c>
      <c r="M341" t="s">
        <v>1008</v>
      </c>
      <c r="N341" t="s">
        <v>1836</v>
      </c>
      <c r="O341" t="s">
        <v>1008</v>
      </c>
      <c r="P341" t="s">
        <v>956</v>
      </c>
      <c r="Q341" t="s">
        <v>1545</v>
      </c>
      <c r="R341" t="s">
        <v>1131</v>
      </c>
      <c r="S341" t="s">
        <v>1119</v>
      </c>
      <c r="T341" t="s">
        <v>1094</v>
      </c>
      <c r="U341" t="s">
        <v>1131</v>
      </c>
      <c r="V341" t="s">
        <v>1600</v>
      </c>
      <c r="W341" t="s">
        <v>923</v>
      </c>
      <c r="X341" t="s">
        <v>923</v>
      </c>
      <c r="Y341" t="s">
        <v>923</v>
      </c>
      <c r="Z341" t="s">
        <v>1119</v>
      </c>
      <c r="AA341" t="s">
        <v>1600</v>
      </c>
      <c r="AB341" t="s">
        <v>969</v>
      </c>
      <c r="AC341" t="s">
        <v>1600</v>
      </c>
      <c r="AD341" t="s">
        <v>964</v>
      </c>
      <c r="AE341" t="s">
        <v>927</v>
      </c>
      <c r="AF341">
        <f t="shared" si="10"/>
        <v>2.7000000000000006</v>
      </c>
      <c r="AG341">
        <f t="shared" si="11"/>
        <v>2.8379999999999996</v>
      </c>
    </row>
    <row r="342" spans="1:33" x14ac:dyDescent="0.25">
      <c r="A342" t="s">
        <v>2204</v>
      </c>
      <c r="B342" t="s">
        <v>302</v>
      </c>
      <c r="C342" t="s">
        <v>1238</v>
      </c>
      <c r="D342" t="s">
        <v>77</v>
      </c>
      <c r="E342" t="s">
        <v>63</v>
      </c>
      <c r="F342" t="s">
        <v>995</v>
      </c>
      <c r="G342" t="s">
        <v>1121</v>
      </c>
      <c r="H342" t="s">
        <v>1894</v>
      </c>
      <c r="I342" t="s">
        <v>1000</v>
      </c>
      <c r="J342" t="s">
        <v>916</v>
      </c>
      <c r="K342" t="s">
        <v>1679</v>
      </c>
      <c r="L342" t="s">
        <v>923</v>
      </c>
      <c r="M342" t="s">
        <v>1160</v>
      </c>
      <c r="N342" t="s">
        <v>2206</v>
      </c>
      <c r="O342" t="s">
        <v>924</v>
      </c>
      <c r="P342" t="s">
        <v>920</v>
      </c>
      <c r="Q342" t="s">
        <v>1976</v>
      </c>
      <c r="R342" t="s">
        <v>1659</v>
      </c>
      <c r="S342" t="s">
        <v>1230</v>
      </c>
      <c r="T342" t="s">
        <v>1029</v>
      </c>
      <c r="U342" t="s">
        <v>1397</v>
      </c>
      <c r="V342" t="s">
        <v>991</v>
      </c>
      <c r="W342" t="s">
        <v>956</v>
      </c>
      <c r="X342" t="s">
        <v>924</v>
      </c>
      <c r="Y342" t="s">
        <v>946</v>
      </c>
      <c r="Z342" t="s">
        <v>1065</v>
      </c>
      <c r="AA342" t="s">
        <v>1119</v>
      </c>
      <c r="AB342" t="s">
        <v>1230</v>
      </c>
      <c r="AC342" t="s">
        <v>947</v>
      </c>
      <c r="AD342" t="s">
        <v>1035</v>
      </c>
      <c r="AE342" t="s">
        <v>927</v>
      </c>
      <c r="AF342">
        <f t="shared" si="10"/>
        <v>9.1999999999999993</v>
      </c>
      <c r="AG342">
        <f t="shared" si="11"/>
        <v>9.0702999999999996</v>
      </c>
    </row>
    <row r="343" spans="1:33" x14ac:dyDescent="0.25">
      <c r="A343" t="s">
        <v>2207</v>
      </c>
      <c r="B343" t="s">
        <v>2208</v>
      </c>
      <c r="C343" t="s">
        <v>1293</v>
      </c>
      <c r="D343" t="s">
        <v>131</v>
      </c>
      <c r="E343" t="s">
        <v>56</v>
      </c>
      <c r="F343" t="s">
        <v>1343</v>
      </c>
      <c r="G343" t="s">
        <v>1162</v>
      </c>
      <c r="H343" t="s">
        <v>1354</v>
      </c>
      <c r="I343" t="s">
        <v>993</v>
      </c>
      <c r="J343" t="s">
        <v>1116</v>
      </c>
      <c r="K343" t="s">
        <v>2023</v>
      </c>
      <c r="L343" t="s">
        <v>1049</v>
      </c>
      <c r="M343" t="s">
        <v>1092</v>
      </c>
      <c r="N343" t="s">
        <v>1515</v>
      </c>
      <c r="O343" t="s">
        <v>969</v>
      </c>
      <c r="P343" t="s">
        <v>1230</v>
      </c>
      <c r="Q343" t="s">
        <v>1555</v>
      </c>
      <c r="R343" t="s">
        <v>1340</v>
      </c>
      <c r="S343" t="s">
        <v>969</v>
      </c>
      <c r="T343" t="s">
        <v>987</v>
      </c>
      <c r="U343" t="s">
        <v>2136</v>
      </c>
      <c r="V343" t="s">
        <v>1008</v>
      </c>
      <c r="W343" t="s">
        <v>1220</v>
      </c>
      <c r="X343" t="s">
        <v>1000</v>
      </c>
      <c r="Y343" t="s">
        <v>970</v>
      </c>
      <c r="Z343" t="s">
        <v>1195</v>
      </c>
      <c r="AA343" t="s">
        <v>1065</v>
      </c>
      <c r="AB343" t="s">
        <v>945</v>
      </c>
      <c r="AC343" t="s">
        <v>1029</v>
      </c>
      <c r="AD343" t="s">
        <v>1009</v>
      </c>
      <c r="AE343" t="s">
        <v>927</v>
      </c>
      <c r="AF343">
        <f t="shared" si="10"/>
        <v>7.4999999999999991</v>
      </c>
      <c r="AG343">
        <f t="shared" si="11"/>
        <v>7.6220000000000008</v>
      </c>
    </row>
    <row r="344" spans="1:33" x14ac:dyDescent="0.25">
      <c r="A344" t="s">
        <v>2209</v>
      </c>
      <c r="B344" t="s">
        <v>2210</v>
      </c>
      <c r="C344" t="s">
        <v>973</v>
      </c>
      <c r="D344" t="s">
        <v>45</v>
      </c>
      <c r="E344" t="s">
        <v>72</v>
      </c>
      <c r="F344" t="s">
        <v>1162</v>
      </c>
      <c r="G344" t="s">
        <v>901</v>
      </c>
      <c r="H344" t="s">
        <v>1281</v>
      </c>
      <c r="I344" t="s">
        <v>1135</v>
      </c>
      <c r="J344" t="s">
        <v>920</v>
      </c>
      <c r="K344" t="s">
        <v>1836</v>
      </c>
      <c r="L344" t="s">
        <v>1600</v>
      </c>
      <c r="M344" t="s">
        <v>1600</v>
      </c>
      <c r="N344" t="s">
        <v>927</v>
      </c>
      <c r="O344" t="s">
        <v>1135</v>
      </c>
      <c r="P344" t="s">
        <v>920</v>
      </c>
      <c r="Q344" t="s">
        <v>1836</v>
      </c>
      <c r="R344" t="s">
        <v>1836</v>
      </c>
      <c r="S344" t="s">
        <v>1029</v>
      </c>
      <c r="T344" t="s">
        <v>925</v>
      </c>
      <c r="U344" t="s">
        <v>2124</v>
      </c>
      <c r="V344" t="s">
        <v>970</v>
      </c>
      <c r="W344" t="s">
        <v>1329</v>
      </c>
      <c r="X344" t="s">
        <v>1062</v>
      </c>
      <c r="Y344" t="s">
        <v>969</v>
      </c>
      <c r="Z344" t="s">
        <v>918</v>
      </c>
      <c r="AA344" t="s">
        <v>1119</v>
      </c>
      <c r="AB344" t="s">
        <v>1008</v>
      </c>
      <c r="AC344" t="s">
        <v>922</v>
      </c>
      <c r="AD344" t="s">
        <v>1009</v>
      </c>
      <c r="AE344" t="s">
        <v>927</v>
      </c>
      <c r="AF344">
        <f t="shared" si="10"/>
        <v>7.6</v>
      </c>
      <c r="AG344" t="e">
        <f t="shared" si="11"/>
        <v>#VALUE!</v>
      </c>
    </row>
    <row r="345" spans="1:33" x14ac:dyDescent="0.25">
      <c r="A345" t="s">
        <v>2211</v>
      </c>
      <c r="B345" t="s">
        <v>2212</v>
      </c>
      <c r="C345" t="s">
        <v>1015</v>
      </c>
      <c r="D345" t="s">
        <v>111</v>
      </c>
      <c r="E345" t="s">
        <v>63</v>
      </c>
      <c r="F345" t="s">
        <v>1150</v>
      </c>
      <c r="G345" t="s">
        <v>928</v>
      </c>
      <c r="H345" t="s">
        <v>1350</v>
      </c>
      <c r="I345" t="s">
        <v>925</v>
      </c>
      <c r="J345" t="s">
        <v>1291</v>
      </c>
      <c r="K345" t="s">
        <v>1225</v>
      </c>
      <c r="L345" t="s">
        <v>968</v>
      </c>
      <c r="M345" t="s">
        <v>1211</v>
      </c>
      <c r="N345" t="s">
        <v>1509</v>
      </c>
      <c r="O345" t="s">
        <v>991</v>
      </c>
      <c r="P345" t="s">
        <v>987</v>
      </c>
      <c r="Q345" t="s">
        <v>1659</v>
      </c>
      <c r="R345" t="s">
        <v>1324</v>
      </c>
      <c r="S345" t="s">
        <v>1230</v>
      </c>
      <c r="T345" t="s">
        <v>922</v>
      </c>
      <c r="U345" t="s">
        <v>1117</v>
      </c>
      <c r="V345" t="s">
        <v>1094</v>
      </c>
      <c r="W345" t="s">
        <v>1029</v>
      </c>
      <c r="X345" t="s">
        <v>1049</v>
      </c>
      <c r="Y345" t="s">
        <v>1195</v>
      </c>
      <c r="Z345" t="s">
        <v>969</v>
      </c>
      <c r="AA345" t="s">
        <v>1094</v>
      </c>
      <c r="AB345" t="s">
        <v>1008</v>
      </c>
      <c r="AC345" t="s">
        <v>922</v>
      </c>
      <c r="AD345" t="s">
        <v>1028</v>
      </c>
      <c r="AE345" t="s">
        <v>927</v>
      </c>
      <c r="AF345">
        <f t="shared" si="10"/>
        <v>7.6000000000000014</v>
      </c>
      <c r="AG345">
        <f t="shared" si="11"/>
        <v>7.5625</v>
      </c>
    </row>
    <row r="346" spans="1:33" x14ac:dyDescent="0.25">
      <c r="A346" t="s">
        <v>2213</v>
      </c>
      <c r="B346" t="s">
        <v>326</v>
      </c>
      <c r="C346" t="s">
        <v>1293</v>
      </c>
      <c r="D346" t="s">
        <v>95</v>
      </c>
      <c r="E346" t="s">
        <v>63</v>
      </c>
      <c r="F346" t="s">
        <v>1175</v>
      </c>
      <c r="G346" t="s">
        <v>1031</v>
      </c>
      <c r="H346" t="s">
        <v>1098</v>
      </c>
      <c r="I346" t="s">
        <v>1104</v>
      </c>
      <c r="J346" t="s">
        <v>1126</v>
      </c>
      <c r="K346" t="s">
        <v>1358</v>
      </c>
      <c r="L346" t="s">
        <v>1230</v>
      </c>
      <c r="M346" t="s">
        <v>1048</v>
      </c>
      <c r="N346" t="s">
        <v>1018</v>
      </c>
      <c r="O346" t="s">
        <v>1230</v>
      </c>
      <c r="P346" t="s">
        <v>1220</v>
      </c>
      <c r="Q346" t="s">
        <v>1144</v>
      </c>
      <c r="R346" t="s">
        <v>1768</v>
      </c>
      <c r="S346" t="s">
        <v>1065</v>
      </c>
      <c r="T346" t="s">
        <v>923</v>
      </c>
      <c r="U346" t="s">
        <v>1682</v>
      </c>
      <c r="V346" t="s">
        <v>918</v>
      </c>
      <c r="W346" t="s">
        <v>993</v>
      </c>
      <c r="X346" t="s">
        <v>979</v>
      </c>
      <c r="Y346" t="s">
        <v>1049</v>
      </c>
      <c r="Z346" t="s">
        <v>925</v>
      </c>
      <c r="AA346" t="s">
        <v>969</v>
      </c>
      <c r="AB346" t="s">
        <v>918</v>
      </c>
      <c r="AC346" t="s">
        <v>918</v>
      </c>
      <c r="AD346" t="s">
        <v>1028</v>
      </c>
      <c r="AE346" t="s">
        <v>927</v>
      </c>
      <c r="AF346">
        <f t="shared" si="10"/>
        <v>7.4999999999999991</v>
      </c>
      <c r="AG346">
        <f t="shared" si="11"/>
        <v>7.506800000000001</v>
      </c>
    </row>
    <row r="347" spans="1:33" x14ac:dyDescent="0.25">
      <c r="A347" t="s">
        <v>2214</v>
      </c>
      <c r="B347" t="s">
        <v>363</v>
      </c>
      <c r="C347" t="s">
        <v>973</v>
      </c>
      <c r="D347" t="s">
        <v>105</v>
      </c>
      <c r="E347" t="s">
        <v>63</v>
      </c>
      <c r="F347" t="s">
        <v>1438</v>
      </c>
      <c r="G347" t="s">
        <v>1067</v>
      </c>
      <c r="H347" t="s">
        <v>1883</v>
      </c>
      <c r="I347" t="s">
        <v>993</v>
      </c>
      <c r="J347" t="s">
        <v>1079</v>
      </c>
      <c r="K347" t="s">
        <v>1729</v>
      </c>
      <c r="L347" t="s">
        <v>908</v>
      </c>
      <c r="M347" t="s">
        <v>920</v>
      </c>
      <c r="N347" t="s">
        <v>1908</v>
      </c>
      <c r="O347" t="s">
        <v>991</v>
      </c>
      <c r="P347" t="s">
        <v>987</v>
      </c>
      <c r="Q347" t="s">
        <v>1273</v>
      </c>
      <c r="R347" t="s">
        <v>1822</v>
      </c>
      <c r="S347" t="s">
        <v>1094</v>
      </c>
      <c r="T347" t="s">
        <v>991</v>
      </c>
      <c r="U347" t="s">
        <v>2136</v>
      </c>
      <c r="V347" t="s">
        <v>934</v>
      </c>
      <c r="W347" t="s">
        <v>908</v>
      </c>
      <c r="X347" t="s">
        <v>924</v>
      </c>
      <c r="Y347" t="s">
        <v>1310</v>
      </c>
      <c r="Z347" t="s">
        <v>1065</v>
      </c>
      <c r="AA347" t="s">
        <v>1119</v>
      </c>
      <c r="AB347" t="s">
        <v>1065</v>
      </c>
      <c r="AC347" t="s">
        <v>925</v>
      </c>
      <c r="AD347" t="s">
        <v>988</v>
      </c>
      <c r="AE347" t="s">
        <v>927</v>
      </c>
      <c r="AF347">
        <f t="shared" si="10"/>
        <v>7.4</v>
      </c>
      <c r="AG347">
        <f t="shared" si="11"/>
        <v>7.4397999999999991</v>
      </c>
    </row>
    <row r="348" spans="1:33" x14ac:dyDescent="0.25">
      <c r="A348" t="s">
        <v>2215</v>
      </c>
      <c r="B348" t="s">
        <v>140</v>
      </c>
      <c r="C348" t="s">
        <v>1084</v>
      </c>
      <c r="D348" t="s">
        <v>1149</v>
      </c>
      <c r="E348" t="s">
        <v>63</v>
      </c>
      <c r="F348" t="s">
        <v>1431</v>
      </c>
      <c r="G348" t="s">
        <v>930</v>
      </c>
      <c r="H348" t="s">
        <v>1581</v>
      </c>
      <c r="I348" t="s">
        <v>1012</v>
      </c>
      <c r="J348" t="s">
        <v>985</v>
      </c>
      <c r="K348" t="s">
        <v>1672</v>
      </c>
      <c r="L348" t="s">
        <v>1230</v>
      </c>
      <c r="M348" t="s">
        <v>992</v>
      </c>
      <c r="N348" t="s">
        <v>1595</v>
      </c>
      <c r="O348" t="s">
        <v>945</v>
      </c>
      <c r="P348" t="s">
        <v>993</v>
      </c>
      <c r="Q348" t="s">
        <v>1537</v>
      </c>
      <c r="R348" t="s">
        <v>1396</v>
      </c>
      <c r="S348" t="s">
        <v>1008</v>
      </c>
      <c r="T348" t="s">
        <v>1064</v>
      </c>
      <c r="U348" t="s">
        <v>2216</v>
      </c>
      <c r="V348" t="s">
        <v>987</v>
      </c>
      <c r="W348" t="s">
        <v>922</v>
      </c>
      <c r="X348" t="s">
        <v>993</v>
      </c>
      <c r="Y348" t="s">
        <v>1029</v>
      </c>
      <c r="Z348" t="s">
        <v>1064</v>
      </c>
      <c r="AA348" t="s">
        <v>934</v>
      </c>
      <c r="AB348" t="s">
        <v>923</v>
      </c>
      <c r="AC348" t="s">
        <v>924</v>
      </c>
      <c r="AD348" t="s">
        <v>988</v>
      </c>
      <c r="AE348" t="s">
        <v>927</v>
      </c>
      <c r="AF348">
        <f t="shared" si="10"/>
        <v>7.3</v>
      </c>
      <c r="AG348">
        <f t="shared" si="11"/>
        <v>7.4679000000000002</v>
      </c>
    </row>
    <row r="349" spans="1:33" x14ac:dyDescent="0.25">
      <c r="A349" t="s">
        <v>2217</v>
      </c>
      <c r="B349" t="s">
        <v>2218</v>
      </c>
      <c r="C349" t="s">
        <v>1176</v>
      </c>
      <c r="D349" t="s">
        <v>77</v>
      </c>
      <c r="E349" t="s">
        <v>93</v>
      </c>
      <c r="F349" t="s">
        <v>1176</v>
      </c>
      <c r="G349" t="s">
        <v>1067</v>
      </c>
      <c r="H349" t="s">
        <v>1579</v>
      </c>
      <c r="I349" t="s">
        <v>964</v>
      </c>
      <c r="J349" t="s">
        <v>1047</v>
      </c>
      <c r="K349" t="s">
        <v>2166</v>
      </c>
      <c r="L349" t="s">
        <v>1600</v>
      </c>
      <c r="M349" t="s">
        <v>1119</v>
      </c>
      <c r="N349" t="s">
        <v>1646</v>
      </c>
      <c r="O349" t="s">
        <v>964</v>
      </c>
      <c r="P349" t="s">
        <v>1103</v>
      </c>
      <c r="Q349" t="s">
        <v>2219</v>
      </c>
      <c r="R349" t="s">
        <v>2166</v>
      </c>
      <c r="S349" t="s">
        <v>1029</v>
      </c>
      <c r="T349" t="s">
        <v>1049</v>
      </c>
      <c r="U349" t="s">
        <v>1765</v>
      </c>
      <c r="V349" t="s">
        <v>956</v>
      </c>
      <c r="W349" t="s">
        <v>1030</v>
      </c>
      <c r="X349" t="s">
        <v>909</v>
      </c>
      <c r="Y349" t="s">
        <v>1230</v>
      </c>
      <c r="Z349" t="s">
        <v>1094</v>
      </c>
      <c r="AA349" t="s">
        <v>1008</v>
      </c>
      <c r="AB349" t="s">
        <v>1008</v>
      </c>
      <c r="AC349" t="s">
        <v>1029</v>
      </c>
      <c r="AD349" t="s">
        <v>988</v>
      </c>
      <c r="AE349" t="s">
        <v>927</v>
      </c>
      <c r="AF349">
        <f t="shared" si="10"/>
        <v>7.4</v>
      </c>
      <c r="AG349">
        <f t="shared" si="11"/>
        <v>7.4083000000000006</v>
      </c>
    </row>
    <row r="350" spans="1:33" x14ac:dyDescent="0.25">
      <c r="A350" t="s">
        <v>2220</v>
      </c>
      <c r="B350" t="s">
        <v>2221</v>
      </c>
      <c r="C350" t="s">
        <v>1084</v>
      </c>
      <c r="D350" t="s">
        <v>1149</v>
      </c>
      <c r="E350" t="s">
        <v>63</v>
      </c>
      <c r="F350" t="s">
        <v>1175</v>
      </c>
      <c r="G350" t="s">
        <v>928</v>
      </c>
      <c r="H350" t="s">
        <v>1186</v>
      </c>
      <c r="I350" t="s">
        <v>1104</v>
      </c>
      <c r="J350" t="s">
        <v>1062</v>
      </c>
      <c r="K350" t="s">
        <v>1750</v>
      </c>
      <c r="L350" t="s">
        <v>987</v>
      </c>
      <c r="M350" t="s">
        <v>1030</v>
      </c>
      <c r="N350" t="s">
        <v>2222</v>
      </c>
      <c r="O350" t="s">
        <v>956</v>
      </c>
      <c r="P350" t="s">
        <v>1046</v>
      </c>
      <c r="Q350" t="s">
        <v>1154</v>
      </c>
      <c r="R350" t="s">
        <v>2034</v>
      </c>
      <c r="S350" t="s">
        <v>918</v>
      </c>
      <c r="T350" t="s">
        <v>923</v>
      </c>
      <c r="U350" t="s">
        <v>1582</v>
      </c>
      <c r="V350" t="s">
        <v>918</v>
      </c>
      <c r="W350" t="s">
        <v>924</v>
      </c>
      <c r="X350" t="s">
        <v>970</v>
      </c>
      <c r="Y350" t="s">
        <v>1030</v>
      </c>
      <c r="Z350" t="s">
        <v>923</v>
      </c>
      <c r="AA350" t="s">
        <v>1119</v>
      </c>
      <c r="AB350" t="s">
        <v>908</v>
      </c>
      <c r="AC350" t="s">
        <v>1310</v>
      </c>
      <c r="AD350" t="s">
        <v>1118</v>
      </c>
      <c r="AE350" t="s">
        <v>927</v>
      </c>
      <c r="AF350">
        <f t="shared" si="10"/>
        <v>7.3000000000000007</v>
      </c>
      <c r="AG350">
        <f t="shared" si="11"/>
        <v>7.2923999999999998</v>
      </c>
    </row>
    <row r="351" spans="1:33" x14ac:dyDescent="0.25">
      <c r="A351" t="s">
        <v>2223</v>
      </c>
      <c r="B351" t="s">
        <v>377</v>
      </c>
      <c r="C351" t="s">
        <v>1355</v>
      </c>
      <c r="D351" t="s">
        <v>133</v>
      </c>
      <c r="E351" t="s">
        <v>63</v>
      </c>
      <c r="F351" t="s">
        <v>1453</v>
      </c>
      <c r="G351" t="s">
        <v>1162</v>
      </c>
      <c r="H351" t="s">
        <v>1553</v>
      </c>
      <c r="I351" t="s">
        <v>947</v>
      </c>
      <c r="J351" t="s">
        <v>1291</v>
      </c>
      <c r="K351" t="s">
        <v>2040</v>
      </c>
      <c r="L351" t="s">
        <v>968</v>
      </c>
      <c r="M351" t="s">
        <v>1081</v>
      </c>
      <c r="N351" t="s">
        <v>1941</v>
      </c>
      <c r="O351" t="s">
        <v>969</v>
      </c>
      <c r="P351" t="s">
        <v>1195</v>
      </c>
      <c r="Q351" t="s">
        <v>1863</v>
      </c>
      <c r="R351" t="s">
        <v>1532</v>
      </c>
      <c r="S351" t="s">
        <v>987</v>
      </c>
      <c r="T351" t="s">
        <v>923</v>
      </c>
      <c r="U351" t="s">
        <v>1710</v>
      </c>
      <c r="V351" t="s">
        <v>1094</v>
      </c>
      <c r="W351" t="s">
        <v>925</v>
      </c>
      <c r="X351" t="s">
        <v>993</v>
      </c>
      <c r="Y351" t="s">
        <v>1064</v>
      </c>
      <c r="Z351" t="s">
        <v>969</v>
      </c>
      <c r="AA351" t="s">
        <v>1119</v>
      </c>
      <c r="AB351" t="s">
        <v>969</v>
      </c>
      <c r="AC351" t="s">
        <v>987</v>
      </c>
      <c r="AD351" t="s">
        <v>1118</v>
      </c>
      <c r="AE351" t="s">
        <v>927</v>
      </c>
      <c r="AF351">
        <f t="shared" si="10"/>
        <v>7.2</v>
      </c>
      <c r="AG351">
        <f t="shared" si="11"/>
        <v>7.2281999999999993</v>
      </c>
    </row>
    <row r="352" spans="1:33" x14ac:dyDescent="0.25">
      <c r="A352" t="s">
        <v>2224</v>
      </c>
      <c r="B352" t="s">
        <v>2225</v>
      </c>
      <c r="C352" t="s">
        <v>1032</v>
      </c>
      <c r="D352" t="s">
        <v>108</v>
      </c>
      <c r="E352" t="s">
        <v>47</v>
      </c>
      <c r="F352" t="s">
        <v>1438</v>
      </c>
      <c r="G352" t="s">
        <v>1137</v>
      </c>
      <c r="H352" t="s">
        <v>1167</v>
      </c>
      <c r="I352" t="s">
        <v>924</v>
      </c>
      <c r="J352" t="s">
        <v>1044</v>
      </c>
      <c r="K352" t="s">
        <v>2226</v>
      </c>
      <c r="L352" t="s">
        <v>987</v>
      </c>
      <c r="M352" t="s">
        <v>964</v>
      </c>
      <c r="N352" t="s">
        <v>2227</v>
      </c>
      <c r="O352" t="s">
        <v>922</v>
      </c>
      <c r="P352" t="s">
        <v>1000</v>
      </c>
      <c r="Q352" t="s">
        <v>1110</v>
      </c>
      <c r="R352" t="s">
        <v>1603</v>
      </c>
      <c r="S352" t="s">
        <v>922</v>
      </c>
      <c r="T352" t="s">
        <v>908</v>
      </c>
      <c r="U352" t="s">
        <v>1375</v>
      </c>
      <c r="V352" t="s">
        <v>1008</v>
      </c>
      <c r="W352" t="s">
        <v>925</v>
      </c>
      <c r="X352" t="s">
        <v>964</v>
      </c>
      <c r="Y352" t="s">
        <v>1195</v>
      </c>
      <c r="Z352" t="s">
        <v>991</v>
      </c>
      <c r="AA352" t="s">
        <v>934</v>
      </c>
      <c r="AB352" t="s">
        <v>1008</v>
      </c>
      <c r="AC352" t="s">
        <v>918</v>
      </c>
      <c r="AD352" t="s">
        <v>1118</v>
      </c>
      <c r="AE352" t="s">
        <v>927</v>
      </c>
      <c r="AF352">
        <f t="shared" si="10"/>
        <v>7.3</v>
      </c>
      <c r="AG352">
        <f t="shared" si="11"/>
        <v>7.2514000000000003</v>
      </c>
    </row>
    <row r="353" spans="1:33" x14ac:dyDescent="0.25">
      <c r="A353" t="s">
        <v>2228</v>
      </c>
      <c r="B353" t="s">
        <v>2229</v>
      </c>
      <c r="C353" t="s">
        <v>1176</v>
      </c>
      <c r="D353" t="s">
        <v>108</v>
      </c>
      <c r="E353" t="s">
        <v>72</v>
      </c>
      <c r="F353" t="s">
        <v>1233</v>
      </c>
      <c r="G353" t="s">
        <v>1032</v>
      </c>
      <c r="H353" t="s">
        <v>1304</v>
      </c>
      <c r="I353" t="s">
        <v>964</v>
      </c>
      <c r="J353" t="s">
        <v>1126</v>
      </c>
      <c r="K353" t="s">
        <v>1131</v>
      </c>
      <c r="L353" t="s">
        <v>1119</v>
      </c>
      <c r="M353" t="s">
        <v>1065</v>
      </c>
      <c r="N353" t="s">
        <v>2230</v>
      </c>
      <c r="O353" t="s">
        <v>964</v>
      </c>
      <c r="P353" t="s">
        <v>1329</v>
      </c>
      <c r="Q353" t="s">
        <v>1381</v>
      </c>
      <c r="R353" t="s">
        <v>1283</v>
      </c>
      <c r="S353" t="s">
        <v>1230</v>
      </c>
      <c r="T353" t="s">
        <v>947</v>
      </c>
      <c r="U353" t="s">
        <v>1814</v>
      </c>
      <c r="V353" t="s">
        <v>1220</v>
      </c>
      <c r="W353" t="s">
        <v>920</v>
      </c>
      <c r="X353" t="s">
        <v>1011</v>
      </c>
      <c r="Y353" t="s">
        <v>918</v>
      </c>
      <c r="Z353" t="s">
        <v>923</v>
      </c>
      <c r="AA353" t="s">
        <v>1065</v>
      </c>
      <c r="AB353" t="s">
        <v>1230</v>
      </c>
      <c r="AC353" t="s">
        <v>924</v>
      </c>
      <c r="AD353" t="s">
        <v>1118</v>
      </c>
      <c r="AE353" t="s">
        <v>927</v>
      </c>
      <c r="AF353">
        <f t="shared" si="10"/>
        <v>7.2999999999999989</v>
      </c>
      <c r="AG353">
        <f t="shared" si="11"/>
        <v>7.4120000000000008</v>
      </c>
    </row>
    <row r="354" spans="1:33" x14ac:dyDescent="0.25">
      <c r="A354" t="s">
        <v>2231</v>
      </c>
      <c r="B354" t="s">
        <v>2232</v>
      </c>
      <c r="C354" t="s">
        <v>973</v>
      </c>
      <c r="D354" t="s">
        <v>974</v>
      </c>
      <c r="E354" t="s">
        <v>56</v>
      </c>
      <c r="F354" t="s">
        <v>1123</v>
      </c>
      <c r="G354" t="s">
        <v>1096</v>
      </c>
      <c r="H354" t="s">
        <v>932</v>
      </c>
      <c r="I354" t="s">
        <v>1104</v>
      </c>
      <c r="J354" t="s">
        <v>962</v>
      </c>
      <c r="K354" t="s">
        <v>1307</v>
      </c>
      <c r="L354" t="s">
        <v>991</v>
      </c>
      <c r="M354" t="s">
        <v>923</v>
      </c>
      <c r="N354" t="s">
        <v>1633</v>
      </c>
      <c r="O354" t="s">
        <v>924</v>
      </c>
      <c r="P354" t="s">
        <v>919</v>
      </c>
      <c r="Q354" t="s">
        <v>1077</v>
      </c>
      <c r="R354" t="s">
        <v>1374</v>
      </c>
      <c r="S354" t="s">
        <v>945</v>
      </c>
      <c r="T354" t="s">
        <v>1310</v>
      </c>
      <c r="U354" t="s">
        <v>1117</v>
      </c>
      <c r="V354" t="s">
        <v>1008</v>
      </c>
      <c r="W354" t="s">
        <v>968</v>
      </c>
      <c r="X354" t="s">
        <v>993</v>
      </c>
      <c r="Y354" t="s">
        <v>1081</v>
      </c>
      <c r="Z354" t="s">
        <v>987</v>
      </c>
      <c r="AA354" t="s">
        <v>934</v>
      </c>
      <c r="AB354" t="s">
        <v>987</v>
      </c>
      <c r="AC354" t="s">
        <v>945</v>
      </c>
      <c r="AD354" t="s">
        <v>1026</v>
      </c>
      <c r="AE354" t="s">
        <v>927</v>
      </c>
      <c r="AF354">
        <f t="shared" si="10"/>
        <v>7.2</v>
      </c>
      <c r="AG354">
        <f t="shared" si="11"/>
        <v>7.2411000000000012</v>
      </c>
    </row>
    <row r="355" spans="1:33" x14ac:dyDescent="0.25">
      <c r="A355" t="s">
        <v>2231</v>
      </c>
      <c r="B355" t="s">
        <v>2232</v>
      </c>
      <c r="C355" t="s">
        <v>973</v>
      </c>
      <c r="D355" t="s">
        <v>70</v>
      </c>
      <c r="E355" t="s">
        <v>56</v>
      </c>
      <c r="F355" t="s">
        <v>1015</v>
      </c>
      <c r="G355" t="s">
        <v>1717</v>
      </c>
      <c r="H355" t="s">
        <v>912</v>
      </c>
      <c r="I355" t="s">
        <v>1029</v>
      </c>
      <c r="J355" t="s">
        <v>970</v>
      </c>
      <c r="K355" t="s">
        <v>1200</v>
      </c>
      <c r="L355" t="s">
        <v>1094</v>
      </c>
      <c r="M355" t="s">
        <v>918</v>
      </c>
      <c r="N355" t="s">
        <v>1567</v>
      </c>
      <c r="O355" t="s">
        <v>1195</v>
      </c>
      <c r="P355" t="s">
        <v>924</v>
      </c>
      <c r="Q355" t="s">
        <v>1592</v>
      </c>
      <c r="R355" t="s">
        <v>1074</v>
      </c>
      <c r="S355" t="s">
        <v>918</v>
      </c>
      <c r="T355" t="s">
        <v>945</v>
      </c>
      <c r="U355" t="s">
        <v>1866</v>
      </c>
      <c r="V355" t="s">
        <v>1065</v>
      </c>
      <c r="W355" t="s">
        <v>1310</v>
      </c>
      <c r="X355" t="s">
        <v>908</v>
      </c>
      <c r="Y355" t="s">
        <v>1030</v>
      </c>
      <c r="Z355" t="s">
        <v>969</v>
      </c>
      <c r="AA355" t="s">
        <v>934</v>
      </c>
      <c r="AB355" t="s">
        <v>987</v>
      </c>
      <c r="AC355" t="s">
        <v>945</v>
      </c>
      <c r="AD355" t="s">
        <v>1103</v>
      </c>
      <c r="AE355" t="s">
        <v>927</v>
      </c>
      <c r="AF355">
        <f t="shared" si="10"/>
        <v>4.4000000000000004</v>
      </c>
      <c r="AG355">
        <f t="shared" si="11"/>
        <v>4.3907999999999996</v>
      </c>
    </row>
    <row r="356" spans="1:33" x14ac:dyDescent="0.25">
      <c r="A356" t="s">
        <v>2231</v>
      </c>
      <c r="B356" t="s">
        <v>2232</v>
      </c>
      <c r="C356" t="s">
        <v>973</v>
      </c>
      <c r="D356" t="s">
        <v>131</v>
      </c>
      <c r="E356" t="s">
        <v>56</v>
      </c>
      <c r="F356" t="s">
        <v>1222</v>
      </c>
      <c r="G356" t="s">
        <v>1096</v>
      </c>
      <c r="H356" t="s">
        <v>1874</v>
      </c>
      <c r="I356" t="s">
        <v>1211</v>
      </c>
      <c r="J356" t="s">
        <v>1027</v>
      </c>
      <c r="K356" t="s">
        <v>1227</v>
      </c>
      <c r="L356" t="s">
        <v>969</v>
      </c>
      <c r="M356" t="s">
        <v>945</v>
      </c>
      <c r="N356" t="s">
        <v>1131</v>
      </c>
      <c r="O356" t="s">
        <v>1228</v>
      </c>
      <c r="P356" t="s">
        <v>1172</v>
      </c>
      <c r="Q356" t="s">
        <v>2173</v>
      </c>
      <c r="R356" t="s">
        <v>2233</v>
      </c>
      <c r="S356" t="s">
        <v>922</v>
      </c>
      <c r="T356" t="s">
        <v>1049</v>
      </c>
      <c r="U356" t="s">
        <v>1301</v>
      </c>
      <c r="V356" t="s">
        <v>918</v>
      </c>
      <c r="W356" t="s">
        <v>947</v>
      </c>
      <c r="X356" t="s">
        <v>1048</v>
      </c>
      <c r="Y356" t="s">
        <v>1046</v>
      </c>
      <c r="Z356" t="s">
        <v>1064</v>
      </c>
      <c r="AA356" t="s">
        <v>1094</v>
      </c>
      <c r="AB356" t="s">
        <v>987</v>
      </c>
      <c r="AC356" t="s">
        <v>945</v>
      </c>
      <c r="AD356" t="s">
        <v>1002</v>
      </c>
      <c r="AE356" t="s">
        <v>927</v>
      </c>
      <c r="AF356">
        <f t="shared" si="10"/>
        <v>11.499999999999998</v>
      </c>
      <c r="AG356">
        <f t="shared" si="11"/>
        <v>11.548799999999998</v>
      </c>
    </row>
    <row r="357" spans="1:33" x14ac:dyDescent="0.25">
      <c r="A357" t="s">
        <v>2234</v>
      </c>
      <c r="B357" t="s">
        <v>374</v>
      </c>
      <c r="C357" t="s">
        <v>973</v>
      </c>
      <c r="D357" t="s">
        <v>142</v>
      </c>
      <c r="E357" t="s">
        <v>72</v>
      </c>
      <c r="F357" t="s">
        <v>951</v>
      </c>
      <c r="G357" t="s">
        <v>1187</v>
      </c>
      <c r="H357" t="s">
        <v>1036</v>
      </c>
      <c r="I357" t="s">
        <v>1135</v>
      </c>
      <c r="J357" t="s">
        <v>1134</v>
      </c>
      <c r="K357" t="s">
        <v>1334</v>
      </c>
      <c r="L357" t="s">
        <v>1600</v>
      </c>
      <c r="M357" t="s">
        <v>991</v>
      </c>
      <c r="N357" t="s">
        <v>2235</v>
      </c>
      <c r="O357" t="s">
        <v>964</v>
      </c>
      <c r="P357" t="s">
        <v>1103</v>
      </c>
      <c r="Q357" t="s">
        <v>1219</v>
      </c>
      <c r="R357" t="s">
        <v>2169</v>
      </c>
      <c r="S357" t="s">
        <v>945</v>
      </c>
      <c r="T357" t="s">
        <v>1049</v>
      </c>
      <c r="U357" t="s">
        <v>2170</v>
      </c>
      <c r="V357" t="s">
        <v>924</v>
      </c>
      <c r="W357" t="s">
        <v>1081</v>
      </c>
      <c r="X357" t="s">
        <v>1006</v>
      </c>
      <c r="Y357" t="s">
        <v>956</v>
      </c>
      <c r="Z357" t="s">
        <v>1008</v>
      </c>
      <c r="AA357" t="s">
        <v>1230</v>
      </c>
      <c r="AB357" t="s">
        <v>923</v>
      </c>
      <c r="AC357" t="s">
        <v>908</v>
      </c>
      <c r="AD357" t="s">
        <v>1026</v>
      </c>
      <c r="AE357" t="s">
        <v>927</v>
      </c>
      <c r="AF357">
        <f t="shared" si="10"/>
        <v>7.2</v>
      </c>
      <c r="AG357">
        <f t="shared" si="11"/>
        <v>7.1152999999999995</v>
      </c>
    </row>
    <row r="358" spans="1:33" x14ac:dyDescent="0.25">
      <c r="A358" t="s">
        <v>2236</v>
      </c>
      <c r="B358" t="s">
        <v>2237</v>
      </c>
      <c r="C358" t="s">
        <v>1032</v>
      </c>
      <c r="D358" t="s">
        <v>142</v>
      </c>
      <c r="E358" t="s">
        <v>47</v>
      </c>
      <c r="F358" t="s">
        <v>1322</v>
      </c>
      <c r="G358" t="s">
        <v>1384</v>
      </c>
      <c r="H358" t="s">
        <v>1732</v>
      </c>
      <c r="I358" t="s">
        <v>1220</v>
      </c>
      <c r="J358" t="s">
        <v>940</v>
      </c>
      <c r="K358" t="s">
        <v>1467</v>
      </c>
      <c r="L358" t="s">
        <v>1064</v>
      </c>
      <c r="M358" t="s">
        <v>1048</v>
      </c>
      <c r="N358" t="s">
        <v>2238</v>
      </c>
      <c r="O358" t="s">
        <v>1029</v>
      </c>
      <c r="P358" t="s">
        <v>970</v>
      </c>
      <c r="Q358" t="s">
        <v>1110</v>
      </c>
      <c r="R358" t="s">
        <v>1451</v>
      </c>
      <c r="S358" t="s">
        <v>1008</v>
      </c>
      <c r="T358" t="s">
        <v>918</v>
      </c>
      <c r="U358" t="s">
        <v>2239</v>
      </c>
      <c r="V358" t="s">
        <v>923</v>
      </c>
      <c r="W358" t="s">
        <v>947</v>
      </c>
      <c r="X358" t="s">
        <v>970</v>
      </c>
      <c r="Y358" t="s">
        <v>1310</v>
      </c>
      <c r="Z358" t="s">
        <v>991</v>
      </c>
      <c r="AA358" t="s">
        <v>934</v>
      </c>
      <c r="AB358" t="s">
        <v>987</v>
      </c>
      <c r="AC358" t="s">
        <v>1195</v>
      </c>
      <c r="AD358" t="s">
        <v>1026</v>
      </c>
      <c r="AE358" t="s">
        <v>927</v>
      </c>
      <c r="AF358">
        <f t="shared" si="10"/>
        <v>7.2</v>
      </c>
      <c r="AG358">
        <f t="shared" si="11"/>
        <v>7.2225000000000001</v>
      </c>
    </row>
    <row r="359" spans="1:33" x14ac:dyDescent="0.25">
      <c r="A359" t="s">
        <v>2240</v>
      </c>
      <c r="B359" t="s">
        <v>2241</v>
      </c>
      <c r="C359" t="s">
        <v>1238</v>
      </c>
      <c r="D359" t="s">
        <v>156</v>
      </c>
      <c r="E359" t="s">
        <v>93</v>
      </c>
      <c r="F359" t="s">
        <v>950</v>
      </c>
      <c r="G359" t="s">
        <v>949</v>
      </c>
      <c r="H359" t="s">
        <v>1191</v>
      </c>
      <c r="I359" t="s">
        <v>1012</v>
      </c>
      <c r="J359" t="s">
        <v>1116</v>
      </c>
      <c r="K359" t="s">
        <v>1558</v>
      </c>
      <c r="L359" t="s">
        <v>1064</v>
      </c>
      <c r="M359" t="s">
        <v>970</v>
      </c>
      <c r="N359" t="s">
        <v>1089</v>
      </c>
      <c r="O359" t="s">
        <v>1230</v>
      </c>
      <c r="P359" t="s">
        <v>992</v>
      </c>
      <c r="Q359" t="s">
        <v>2242</v>
      </c>
      <c r="R359" t="s">
        <v>1055</v>
      </c>
      <c r="S359" t="s">
        <v>923</v>
      </c>
      <c r="T359" t="s">
        <v>1230</v>
      </c>
      <c r="U359" t="s">
        <v>1525</v>
      </c>
      <c r="V359" t="s">
        <v>918</v>
      </c>
      <c r="W359" t="s">
        <v>925</v>
      </c>
      <c r="X359" t="s">
        <v>1048</v>
      </c>
      <c r="Y359" t="s">
        <v>923</v>
      </c>
      <c r="Z359" t="s">
        <v>991</v>
      </c>
      <c r="AA359" t="s">
        <v>934</v>
      </c>
      <c r="AB359" t="s">
        <v>1064</v>
      </c>
      <c r="AC359" t="s">
        <v>923</v>
      </c>
      <c r="AD359" t="s">
        <v>1026</v>
      </c>
      <c r="AE359" t="s">
        <v>927</v>
      </c>
      <c r="AF359">
        <f t="shared" si="10"/>
        <v>7.3000000000000007</v>
      </c>
      <c r="AG359">
        <f t="shared" si="11"/>
        <v>7.2601000000000004</v>
      </c>
    </row>
    <row r="360" spans="1:33" x14ac:dyDescent="0.25">
      <c r="A360" t="s">
        <v>2243</v>
      </c>
      <c r="B360" t="s">
        <v>2244</v>
      </c>
      <c r="C360" t="s">
        <v>1084</v>
      </c>
      <c r="D360" t="s">
        <v>111</v>
      </c>
      <c r="E360" t="s">
        <v>56</v>
      </c>
      <c r="F360" t="s">
        <v>1489</v>
      </c>
      <c r="G360" t="s">
        <v>1202</v>
      </c>
      <c r="H360" t="s">
        <v>1458</v>
      </c>
      <c r="I360" t="s">
        <v>993</v>
      </c>
      <c r="J360" t="s">
        <v>1005</v>
      </c>
      <c r="K360" t="s">
        <v>1587</v>
      </c>
      <c r="L360" t="s">
        <v>1029</v>
      </c>
      <c r="M360" t="s">
        <v>992</v>
      </c>
      <c r="N360" t="s">
        <v>1088</v>
      </c>
      <c r="O360" t="s">
        <v>923</v>
      </c>
      <c r="P360" t="s">
        <v>1310</v>
      </c>
      <c r="Q360" t="s">
        <v>2145</v>
      </c>
      <c r="R360" t="s">
        <v>2245</v>
      </c>
      <c r="S360" t="s">
        <v>969</v>
      </c>
      <c r="T360" t="s">
        <v>987</v>
      </c>
      <c r="U360" t="s">
        <v>1801</v>
      </c>
      <c r="V360" t="s">
        <v>991</v>
      </c>
      <c r="W360" t="s">
        <v>924</v>
      </c>
      <c r="X360" t="s">
        <v>1220</v>
      </c>
      <c r="Y360" t="s">
        <v>1012</v>
      </c>
      <c r="Z360" t="s">
        <v>969</v>
      </c>
      <c r="AA360" t="s">
        <v>1065</v>
      </c>
      <c r="AB360" t="s">
        <v>918</v>
      </c>
      <c r="AC360" t="s">
        <v>968</v>
      </c>
      <c r="AD360" t="s">
        <v>1026</v>
      </c>
      <c r="AE360" t="s">
        <v>927</v>
      </c>
      <c r="AF360">
        <f t="shared" si="10"/>
        <v>7.2</v>
      </c>
      <c r="AG360">
        <f t="shared" si="11"/>
        <v>7.2083999999999993</v>
      </c>
    </row>
    <row r="361" spans="1:33" x14ac:dyDescent="0.25">
      <c r="A361" t="s">
        <v>2246</v>
      </c>
      <c r="B361" t="s">
        <v>485</v>
      </c>
      <c r="C361" t="s">
        <v>1015</v>
      </c>
      <c r="D361" t="s">
        <v>85</v>
      </c>
      <c r="E361" t="s">
        <v>63</v>
      </c>
      <c r="F361" t="s">
        <v>1271</v>
      </c>
      <c r="G361" t="s">
        <v>972</v>
      </c>
      <c r="H361" t="s">
        <v>932</v>
      </c>
      <c r="I361" t="s">
        <v>924</v>
      </c>
      <c r="J361" t="s">
        <v>1063</v>
      </c>
      <c r="K361" t="s">
        <v>1538</v>
      </c>
      <c r="L361" t="s">
        <v>1049</v>
      </c>
      <c r="M361" t="s">
        <v>962</v>
      </c>
      <c r="N361" t="s">
        <v>1558</v>
      </c>
      <c r="O361" t="s">
        <v>1065</v>
      </c>
      <c r="P361" t="s">
        <v>987</v>
      </c>
      <c r="Q361" t="s">
        <v>1842</v>
      </c>
      <c r="R361" t="s">
        <v>1215</v>
      </c>
      <c r="S361" t="s">
        <v>991</v>
      </c>
      <c r="T361" t="s">
        <v>991</v>
      </c>
      <c r="U361" t="s">
        <v>2247</v>
      </c>
      <c r="V361" t="s">
        <v>1065</v>
      </c>
      <c r="W361" t="s">
        <v>922</v>
      </c>
      <c r="X361" t="s">
        <v>925</v>
      </c>
      <c r="Y361" t="s">
        <v>1310</v>
      </c>
      <c r="Z361" t="s">
        <v>1008</v>
      </c>
      <c r="AA361" t="s">
        <v>934</v>
      </c>
      <c r="AB361" t="s">
        <v>1065</v>
      </c>
      <c r="AC361" t="s">
        <v>922</v>
      </c>
      <c r="AD361" t="s">
        <v>1026</v>
      </c>
      <c r="AE361" t="s">
        <v>927</v>
      </c>
      <c r="AF361">
        <f t="shared" si="10"/>
        <v>7.1</v>
      </c>
      <c r="AG361">
        <f t="shared" si="11"/>
        <v>7.1896000000000004</v>
      </c>
    </row>
    <row r="362" spans="1:33" x14ac:dyDescent="0.25">
      <c r="A362" t="s">
        <v>2248</v>
      </c>
      <c r="B362" t="s">
        <v>2249</v>
      </c>
      <c r="C362" t="s">
        <v>902</v>
      </c>
      <c r="D362" t="s">
        <v>111</v>
      </c>
      <c r="E362" t="s">
        <v>63</v>
      </c>
      <c r="F362" t="s">
        <v>1051</v>
      </c>
      <c r="G362" t="s">
        <v>1717</v>
      </c>
      <c r="H362" t="s">
        <v>1380</v>
      </c>
      <c r="I362" t="s">
        <v>1220</v>
      </c>
      <c r="J362" t="s">
        <v>1081</v>
      </c>
      <c r="K362" t="s">
        <v>2145</v>
      </c>
      <c r="L362" t="s">
        <v>1310</v>
      </c>
      <c r="M362" t="s">
        <v>1104</v>
      </c>
      <c r="N362" t="s">
        <v>1352</v>
      </c>
      <c r="O362" t="s">
        <v>945</v>
      </c>
      <c r="P362" t="s">
        <v>1195</v>
      </c>
      <c r="Q362" t="s">
        <v>1270</v>
      </c>
      <c r="R362" t="s">
        <v>2197</v>
      </c>
      <c r="S362" t="s">
        <v>1094</v>
      </c>
      <c r="T362" t="s">
        <v>1094</v>
      </c>
      <c r="U362" t="s">
        <v>2146</v>
      </c>
      <c r="V362" t="s">
        <v>1008</v>
      </c>
      <c r="W362" t="s">
        <v>945</v>
      </c>
      <c r="X362" t="s">
        <v>968</v>
      </c>
      <c r="Y362" t="s">
        <v>1094</v>
      </c>
      <c r="Z362" t="s">
        <v>1600</v>
      </c>
      <c r="AA362" t="s">
        <v>1600</v>
      </c>
      <c r="AB362" t="s">
        <v>1008</v>
      </c>
      <c r="AC362" t="s">
        <v>922</v>
      </c>
      <c r="AD362" t="s">
        <v>1026</v>
      </c>
      <c r="AE362" t="s">
        <v>927</v>
      </c>
      <c r="AF362">
        <f t="shared" si="10"/>
        <v>7.2</v>
      </c>
      <c r="AG362">
        <f t="shared" si="11"/>
        <v>7.1936000000000009</v>
      </c>
    </row>
    <row r="363" spans="1:33" x14ac:dyDescent="0.25">
      <c r="A363" t="s">
        <v>2250</v>
      </c>
      <c r="B363" t="s">
        <v>482</v>
      </c>
      <c r="C363" t="s">
        <v>1084</v>
      </c>
      <c r="D363" t="s">
        <v>85</v>
      </c>
      <c r="E363" t="s">
        <v>93</v>
      </c>
      <c r="F363" t="s">
        <v>1031</v>
      </c>
      <c r="G363" t="s">
        <v>901</v>
      </c>
      <c r="H363" t="s">
        <v>1306</v>
      </c>
      <c r="I363" t="s">
        <v>1012</v>
      </c>
      <c r="J363" t="s">
        <v>921</v>
      </c>
      <c r="K363" t="s">
        <v>1538</v>
      </c>
      <c r="L363" t="s">
        <v>991</v>
      </c>
      <c r="M363" t="s">
        <v>956</v>
      </c>
      <c r="N363" t="s">
        <v>2251</v>
      </c>
      <c r="O363" t="s">
        <v>925</v>
      </c>
      <c r="P363" t="s">
        <v>1103</v>
      </c>
      <c r="Q363" t="s">
        <v>1131</v>
      </c>
      <c r="R363" t="s">
        <v>1018</v>
      </c>
      <c r="S363" t="s">
        <v>1029</v>
      </c>
      <c r="T363" t="s">
        <v>925</v>
      </c>
      <c r="U363" t="s">
        <v>1133</v>
      </c>
      <c r="V363" t="s">
        <v>968</v>
      </c>
      <c r="W363" t="s">
        <v>924</v>
      </c>
      <c r="X363" t="s">
        <v>1081</v>
      </c>
      <c r="Y363" t="s">
        <v>991</v>
      </c>
      <c r="Z363" t="s">
        <v>1600</v>
      </c>
      <c r="AA363" t="s">
        <v>934</v>
      </c>
      <c r="AB363" t="s">
        <v>991</v>
      </c>
      <c r="AC363" t="s">
        <v>968</v>
      </c>
      <c r="AD363" t="s">
        <v>1026</v>
      </c>
      <c r="AE363" t="s">
        <v>927</v>
      </c>
      <c r="AF363">
        <f t="shared" si="10"/>
        <v>7.2000000000000011</v>
      </c>
      <c r="AG363">
        <f t="shared" si="11"/>
        <v>7.1994000000000007</v>
      </c>
    </row>
    <row r="364" spans="1:33" x14ac:dyDescent="0.25">
      <c r="A364" t="s">
        <v>2252</v>
      </c>
      <c r="B364" t="s">
        <v>2253</v>
      </c>
      <c r="C364" t="s">
        <v>902</v>
      </c>
      <c r="D364" t="s">
        <v>974</v>
      </c>
      <c r="E364" t="s">
        <v>63</v>
      </c>
      <c r="F364" t="s">
        <v>1233</v>
      </c>
      <c r="G364" t="s">
        <v>1067</v>
      </c>
      <c r="H364" t="s">
        <v>1635</v>
      </c>
      <c r="I364" t="s">
        <v>924</v>
      </c>
      <c r="J364" t="s">
        <v>1043</v>
      </c>
      <c r="K364" t="s">
        <v>1273</v>
      </c>
      <c r="L364" t="s">
        <v>987</v>
      </c>
      <c r="M364" t="s">
        <v>947</v>
      </c>
      <c r="N364" t="s">
        <v>2081</v>
      </c>
      <c r="O364" t="s">
        <v>1029</v>
      </c>
      <c r="P364" t="s">
        <v>1135</v>
      </c>
      <c r="Q364" t="s">
        <v>1208</v>
      </c>
      <c r="R364" t="s">
        <v>907</v>
      </c>
      <c r="S364" t="s">
        <v>1029</v>
      </c>
      <c r="T364" t="s">
        <v>908</v>
      </c>
      <c r="U364" t="s">
        <v>2254</v>
      </c>
      <c r="V364" t="s">
        <v>1064</v>
      </c>
      <c r="W364" t="s">
        <v>922</v>
      </c>
      <c r="X364" t="s">
        <v>1104</v>
      </c>
      <c r="Y364" t="s">
        <v>987</v>
      </c>
      <c r="Z364" t="s">
        <v>945</v>
      </c>
      <c r="AA364" t="s">
        <v>1065</v>
      </c>
      <c r="AB364" t="s">
        <v>987</v>
      </c>
      <c r="AC364" t="s">
        <v>945</v>
      </c>
      <c r="AD364" t="s">
        <v>1128</v>
      </c>
      <c r="AE364" t="s">
        <v>927</v>
      </c>
      <c r="AF364">
        <f t="shared" si="10"/>
        <v>7.1999999999999993</v>
      </c>
      <c r="AG364">
        <f t="shared" si="11"/>
        <v>7.0592999999999995</v>
      </c>
    </row>
    <row r="365" spans="1:33" x14ac:dyDescent="0.25">
      <c r="A365" t="s">
        <v>2252</v>
      </c>
      <c r="B365" t="s">
        <v>2253</v>
      </c>
      <c r="C365" t="s">
        <v>902</v>
      </c>
      <c r="D365" t="s">
        <v>1069</v>
      </c>
      <c r="E365" t="s">
        <v>63</v>
      </c>
      <c r="F365" t="s">
        <v>973</v>
      </c>
      <c r="G365" t="s">
        <v>901</v>
      </c>
      <c r="H365" t="s">
        <v>1548</v>
      </c>
      <c r="I365" t="s">
        <v>925</v>
      </c>
      <c r="J365" t="s">
        <v>1211</v>
      </c>
      <c r="K365" t="s">
        <v>1269</v>
      </c>
      <c r="L365" t="s">
        <v>969</v>
      </c>
      <c r="M365" t="s">
        <v>922</v>
      </c>
      <c r="N365" t="s">
        <v>1679</v>
      </c>
      <c r="O365" t="s">
        <v>1029</v>
      </c>
      <c r="P365" t="s">
        <v>964</v>
      </c>
      <c r="Q365" t="s">
        <v>1401</v>
      </c>
      <c r="R365" t="s">
        <v>1559</v>
      </c>
      <c r="S365" t="s">
        <v>918</v>
      </c>
      <c r="T365" t="s">
        <v>1195</v>
      </c>
      <c r="U365" t="s">
        <v>1201</v>
      </c>
      <c r="V365" t="s">
        <v>1195</v>
      </c>
      <c r="W365" t="s">
        <v>1029</v>
      </c>
      <c r="X365" t="s">
        <v>964</v>
      </c>
      <c r="Y365" t="s">
        <v>969</v>
      </c>
      <c r="Z365" t="s">
        <v>987</v>
      </c>
      <c r="AA365" t="s">
        <v>991</v>
      </c>
      <c r="AB365" t="s">
        <v>969</v>
      </c>
      <c r="AC365" t="s">
        <v>1064</v>
      </c>
      <c r="AD365" t="s">
        <v>1063</v>
      </c>
      <c r="AE365" t="s">
        <v>927</v>
      </c>
      <c r="AF365">
        <f t="shared" si="10"/>
        <v>5.9</v>
      </c>
      <c r="AG365">
        <f t="shared" si="11"/>
        <v>6.0622999999999996</v>
      </c>
    </row>
    <row r="366" spans="1:33" x14ac:dyDescent="0.25">
      <c r="A366" t="s">
        <v>2252</v>
      </c>
      <c r="B366" t="s">
        <v>2253</v>
      </c>
      <c r="C366" t="s">
        <v>902</v>
      </c>
      <c r="D366" t="s">
        <v>1149</v>
      </c>
      <c r="E366" t="s">
        <v>63</v>
      </c>
      <c r="F366" t="s">
        <v>1175</v>
      </c>
      <c r="G366" t="s">
        <v>1051</v>
      </c>
      <c r="H366" t="s">
        <v>2255</v>
      </c>
      <c r="I366" t="s">
        <v>993</v>
      </c>
      <c r="J366" t="s">
        <v>940</v>
      </c>
      <c r="K366" t="s">
        <v>1519</v>
      </c>
      <c r="L366" t="s">
        <v>1064</v>
      </c>
      <c r="M366" t="s">
        <v>970</v>
      </c>
      <c r="N366" t="s">
        <v>1127</v>
      </c>
      <c r="O366" t="s">
        <v>1310</v>
      </c>
      <c r="P366" t="s">
        <v>1048</v>
      </c>
      <c r="Q366" t="s">
        <v>1555</v>
      </c>
      <c r="R366" t="s">
        <v>1099</v>
      </c>
      <c r="S366" t="s">
        <v>1220</v>
      </c>
      <c r="T366" t="s">
        <v>979</v>
      </c>
      <c r="U366" t="s">
        <v>2256</v>
      </c>
      <c r="V366" t="s">
        <v>918</v>
      </c>
      <c r="W366" t="s">
        <v>1049</v>
      </c>
      <c r="X366" t="s">
        <v>1220</v>
      </c>
      <c r="Y366" t="s">
        <v>1195</v>
      </c>
      <c r="Z366" t="s">
        <v>968</v>
      </c>
      <c r="AA366" t="s">
        <v>1065</v>
      </c>
      <c r="AB366" t="s">
        <v>923</v>
      </c>
      <c r="AC366" t="s">
        <v>1195</v>
      </c>
      <c r="AD366" t="s">
        <v>1024</v>
      </c>
      <c r="AE366" t="s">
        <v>927</v>
      </c>
      <c r="AF366">
        <f t="shared" si="10"/>
        <v>8.8000000000000007</v>
      </c>
      <c r="AG366">
        <f t="shared" si="11"/>
        <v>8.8082000000000011</v>
      </c>
    </row>
    <row r="367" spans="1:33" x14ac:dyDescent="0.25">
      <c r="A367" t="s">
        <v>2257</v>
      </c>
      <c r="B367" t="s">
        <v>2258</v>
      </c>
      <c r="C367" t="s">
        <v>1245</v>
      </c>
      <c r="D367" t="s">
        <v>974</v>
      </c>
      <c r="E367" t="s">
        <v>63</v>
      </c>
      <c r="F367" t="s">
        <v>1175</v>
      </c>
      <c r="G367" t="s">
        <v>1717</v>
      </c>
      <c r="H367" t="s">
        <v>1087</v>
      </c>
      <c r="I367" t="s">
        <v>993</v>
      </c>
      <c r="J367" t="s">
        <v>940</v>
      </c>
      <c r="K367" t="s">
        <v>1435</v>
      </c>
      <c r="L367" t="s">
        <v>918</v>
      </c>
      <c r="M367" t="s">
        <v>946</v>
      </c>
      <c r="N367" t="s">
        <v>2259</v>
      </c>
      <c r="O367" t="s">
        <v>1310</v>
      </c>
      <c r="P367" t="s">
        <v>979</v>
      </c>
      <c r="Q367" t="s">
        <v>1603</v>
      </c>
      <c r="R367" t="s">
        <v>1596</v>
      </c>
      <c r="S367" t="s">
        <v>945</v>
      </c>
      <c r="T367" t="s">
        <v>1230</v>
      </c>
      <c r="U367" t="s">
        <v>1361</v>
      </c>
      <c r="V367" t="s">
        <v>934</v>
      </c>
      <c r="W367" t="s">
        <v>1029</v>
      </c>
      <c r="X367" t="s">
        <v>968</v>
      </c>
      <c r="Y367" t="s">
        <v>993</v>
      </c>
      <c r="Z367" t="s">
        <v>1094</v>
      </c>
      <c r="AA367" t="s">
        <v>1065</v>
      </c>
      <c r="AB367" t="s">
        <v>945</v>
      </c>
      <c r="AC367" t="s">
        <v>922</v>
      </c>
      <c r="AD367" t="s">
        <v>1128</v>
      </c>
      <c r="AE367" t="s">
        <v>927</v>
      </c>
      <c r="AF367">
        <f t="shared" si="10"/>
        <v>7.1000000000000005</v>
      </c>
      <c r="AG367">
        <f t="shared" si="11"/>
        <v>7.0325999999999995</v>
      </c>
    </row>
    <row r="368" spans="1:33" x14ac:dyDescent="0.25">
      <c r="A368" t="s">
        <v>2257</v>
      </c>
      <c r="B368" t="s">
        <v>2258</v>
      </c>
      <c r="C368" t="s">
        <v>1245</v>
      </c>
      <c r="D368" t="s">
        <v>1014</v>
      </c>
      <c r="E368" t="s">
        <v>63</v>
      </c>
      <c r="F368" t="s">
        <v>928</v>
      </c>
      <c r="G368" t="s">
        <v>1717</v>
      </c>
      <c r="H368" t="s">
        <v>1023</v>
      </c>
      <c r="I368" t="s">
        <v>1065</v>
      </c>
      <c r="J368" t="s">
        <v>1065</v>
      </c>
      <c r="K368" t="s">
        <v>2146</v>
      </c>
      <c r="L368" t="s">
        <v>1600</v>
      </c>
      <c r="M368" t="s">
        <v>1600</v>
      </c>
      <c r="N368" t="s">
        <v>927</v>
      </c>
      <c r="O368" t="s">
        <v>1065</v>
      </c>
      <c r="P368" t="s">
        <v>1065</v>
      </c>
      <c r="Q368" t="s">
        <v>2146</v>
      </c>
      <c r="R368" t="s">
        <v>2146</v>
      </c>
      <c r="S368" t="s">
        <v>923</v>
      </c>
      <c r="T368" t="s">
        <v>923</v>
      </c>
      <c r="U368" t="s">
        <v>2146</v>
      </c>
      <c r="V368" t="s">
        <v>1065</v>
      </c>
      <c r="W368" t="s">
        <v>1600</v>
      </c>
      <c r="X368" t="s">
        <v>1065</v>
      </c>
      <c r="Y368" t="s">
        <v>1065</v>
      </c>
      <c r="Z368" t="s">
        <v>1600</v>
      </c>
      <c r="AA368" t="s">
        <v>1065</v>
      </c>
      <c r="AB368" t="s">
        <v>1065</v>
      </c>
      <c r="AC368" t="s">
        <v>1310</v>
      </c>
      <c r="AD368" t="s">
        <v>956</v>
      </c>
      <c r="AE368" t="s">
        <v>927</v>
      </c>
      <c r="AF368">
        <f t="shared" si="10"/>
        <v>2</v>
      </c>
      <c r="AG368" t="e">
        <f t="shared" si="11"/>
        <v>#VALUE!</v>
      </c>
    </row>
    <row r="369" spans="1:33" x14ac:dyDescent="0.25">
      <c r="A369" t="s">
        <v>2257</v>
      </c>
      <c r="B369" t="s">
        <v>2258</v>
      </c>
      <c r="C369" t="s">
        <v>1245</v>
      </c>
      <c r="D369" t="s">
        <v>108</v>
      </c>
      <c r="E369" t="s">
        <v>63</v>
      </c>
      <c r="F369" t="s">
        <v>1147</v>
      </c>
      <c r="G369" t="s">
        <v>1717</v>
      </c>
      <c r="H369" t="s">
        <v>1342</v>
      </c>
      <c r="I369" t="s">
        <v>1104</v>
      </c>
      <c r="J369" t="s">
        <v>1028</v>
      </c>
      <c r="K369" t="s">
        <v>1909</v>
      </c>
      <c r="L369" t="s">
        <v>1064</v>
      </c>
      <c r="M369" t="s">
        <v>979</v>
      </c>
      <c r="N369" t="s">
        <v>2259</v>
      </c>
      <c r="O369" t="s">
        <v>922</v>
      </c>
      <c r="P369" t="s">
        <v>1160</v>
      </c>
      <c r="Q369" t="s">
        <v>1448</v>
      </c>
      <c r="R369" t="s">
        <v>1273</v>
      </c>
      <c r="S369" t="s">
        <v>945</v>
      </c>
      <c r="T369" t="s">
        <v>1310</v>
      </c>
      <c r="U369" t="s">
        <v>1568</v>
      </c>
      <c r="V369" t="s">
        <v>934</v>
      </c>
      <c r="W369" t="s">
        <v>968</v>
      </c>
      <c r="X369" t="s">
        <v>956</v>
      </c>
      <c r="Y369" t="s">
        <v>1104</v>
      </c>
      <c r="Z369" t="s">
        <v>991</v>
      </c>
      <c r="AA369" t="s">
        <v>1065</v>
      </c>
      <c r="AB369" t="s">
        <v>1195</v>
      </c>
      <c r="AC369" t="s">
        <v>922</v>
      </c>
      <c r="AD369" t="s">
        <v>1011</v>
      </c>
      <c r="AE369" t="s">
        <v>927</v>
      </c>
      <c r="AF369">
        <f t="shared" si="10"/>
        <v>7.8999999999999995</v>
      </c>
      <c r="AG369">
        <f t="shared" si="11"/>
        <v>7.9030000000000005</v>
      </c>
    </row>
    <row r="370" spans="1:33" x14ac:dyDescent="0.25">
      <c r="A370" t="s">
        <v>2260</v>
      </c>
      <c r="B370" t="s">
        <v>381</v>
      </c>
      <c r="C370" t="s">
        <v>1032</v>
      </c>
      <c r="D370" t="s">
        <v>163</v>
      </c>
      <c r="E370" t="s">
        <v>47</v>
      </c>
      <c r="F370" t="s">
        <v>1501</v>
      </c>
      <c r="G370" t="s">
        <v>1106</v>
      </c>
      <c r="H370" t="s">
        <v>1350</v>
      </c>
      <c r="I370" t="s">
        <v>993</v>
      </c>
      <c r="J370" t="s">
        <v>1126</v>
      </c>
      <c r="K370" t="s">
        <v>1729</v>
      </c>
      <c r="L370" t="s">
        <v>968</v>
      </c>
      <c r="M370" t="s">
        <v>1103</v>
      </c>
      <c r="N370" t="s">
        <v>1154</v>
      </c>
      <c r="O370" t="s">
        <v>1008</v>
      </c>
      <c r="P370" t="s">
        <v>1310</v>
      </c>
      <c r="Q370" t="s">
        <v>1131</v>
      </c>
      <c r="R370" t="s">
        <v>1520</v>
      </c>
      <c r="S370" t="s">
        <v>1094</v>
      </c>
      <c r="T370" t="s">
        <v>1094</v>
      </c>
      <c r="U370" t="s">
        <v>1759</v>
      </c>
      <c r="V370" t="s">
        <v>969</v>
      </c>
      <c r="W370" t="s">
        <v>908</v>
      </c>
      <c r="X370" t="s">
        <v>1220</v>
      </c>
      <c r="Y370" t="s">
        <v>918</v>
      </c>
      <c r="Z370" t="s">
        <v>1094</v>
      </c>
      <c r="AA370" t="s">
        <v>934</v>
      </c>
      <c r="AB370" t="s">
        <v>1065</v>
      </c>
      <c r="AC370" t="s">
        <v>1029</v>
      </c>
      <c r="AD370" t="s">
        <v>1128</v>
      </c>
      <c r="AE370" t="s">
        <v>927</v>
      </c>
      <c r="AF370">
        <f t="shared" si="10"/>
        <v>7.1000000000000005</v>
      </c>
      <c r="AG370">
        <f t="shared" si="11"/>
        <v>7.1127000000000011</v>
      </c>
    </row>
    <row r="371" spans="1:33" x14ac:dyDescent="0.25">
      <c r="A371" t="s">
        <v>2261</v>
      </c>
      <c r="B371" t="s">
        <v>2262</v>
      </c>
      <c r="C371" t="s">
        <v>929</v>
      </c>
      <c r="D371" t="s">
        <v>48</v>
      </c>
      <c r="E371" t="s">
        <v>63</v>
      </c>
      <c r="F371" t="s">
        <v>1477</v>
      </c>
      <c r="G371" t="s">
        <v>949</v>
      </c>
      <c r="H371" t="s">
        <v>1473</v>
      </c>
      <c r="I371" t="s">
        <v>1012</v>
      </c>
      <c r="J371" t="s">
        <v>1079</v>
      </c>
      <c r="K371" t="s">
        <v>1319</v>
      </c>
      <c r="L371" t="s">
        <v>1064</v>
      </c>
      <c r="M371" t="s">
        <v>946</v>
      </c>
      <c r="N371" t="s">
        <v>1886</v>
      </c>
      <c r="O371" t="s">
        <v>1310</v>
      </c>
      <c r="P371" t="s">
        <v>1220</v>
      </c>
      <c r="Q371" t="s">
        <v>1401</v>
      </c>
      <c r="R371" t="s">
        <v>1369</v>
      </c>
      <c r="S371" t="s">
        <v>987</v>
      </c>
      <c r="T371" t="s">
        <v>918</v>
      </c>
      <c r="U371" t="s">
        <v>1341</v>
      </c>
      <c r="V371" t="s">
        <v>1008</v>
      </c>
      <c r="W371" t="s">
        <v>925</v>
      </c>
      <c r="X371" t="s">
        <v>964</v>
      </c>
      <c r="Y371" t="s">
        <v>993</v>
      </c>
      <c r="Z371" t="s">
        <v>1029</v>
      </c>
      <c r="AA371" t="s">
        <v>969</v>
      </c>
      <c r="AB371" t="s">
        <v>1008</v>
      </c>
      <c r="AC371" t="s">
        <v>1049</v>
      </c>
      <c r="AD371" t="s">
        <v>1128</v>
      </c>
      <c r="AE371" t="s">
        <v>927</v>
      </c>
      <c r="AF371">
        <f t="shared" si="10"/>
        <v>7.1000000000000005</v>
      </c>
      <c r="AG371">
        <f t="shared" si="11"/>
        <v>7.0269000000000004</v>
      </c>
    </row>
    <row r="372" spans="1:33" x14ac:dyDescent="0.25">
      <c r="A372" t="s">
        <v>2263</v>
      </c>
      <c r="B372" t="s">
        <v>259</v>
      </c>
      <c r="C372" t="s">
        <v>995</v>
      </c>
      <c r="D372" t="s">
        <v>163</v>
      </c>
      <c r="E372" t="s">
        <v>56</v>
      </c>
      <c r="F372" t="s">
        <v>1138</v>
      </c>
      <c r="G372" t="s">
        <v>1121</v>
      </c>
      <c r="H372" t="s">
        <v>1314</v>
      </c>
      <c r="I372" t="s">
        <v>1220</v>
      </c>
      <c r="J372" t="s">
        <v>1112</v>
      </c>
      <c r="K372" t="s">
        <v>1154</v>
      </c>
      <c r="L372" t="s">
        <v>923</v>
      </c>
      <c r="M372" t="s">
        <v>1135</v>
      </c>
      <c r="N372" t="s">
        <v>1750</v>
      </c>
      <c r="O372" t="s">
        <v>968</v>
      </c>
      <c r="P372" t="s">
        <v>1030</v>
      </c>
      <c r="Q372" t="s">
        <v>1584</v>
      </c>
      <c r="R372" t="s">
        <v>1249</v>
      </c>
      <c r="S372" t="s">
        <v>1008</v>
      </c>
      <c r="T372" t="s">
        <v>918</v>
      </c>
      <c r="U372" t="s">
        <v>1543</v>
      </c>
      <c r="V372" t="s">
        <v>991</v>
      </c>
      <c r="W372" t="s">
        <v>1064</v>
      </c>
      <c r="X372" t="s">
        <v>1310</v>
      </c>
      <c r="Y372" t="s">
        <v>1081</v>
      </c>
      <c r="Z372" t="s">
        <v>987</v>
      </c>
      <c r="AA372" t="s">
        <v>1119</v>
      </c>
      <c r="AB372" t="s">
        <v>1029</v>
      </c>
      <c r="AC372" t="s">
        <v>908</v>
      </c>
      <c r="AD372" t="s">
        <v>1128</v>
      </c>
      <c r="AE372" t="s">
        <v>927</v>
      </c>
      <c r="AF372">
        <f t="shared" si="10"/>
        <v>7.1000000000000005</v>
      </c>
      <c r="AG372">
        <f t="shared" si="11"/>
        <v>7.0762</v>
      </c>
    </row>
    <row r="373" spans="1:33" x14ac:dyDescent="0.25">
      <c r="A373" t="s">
        <v>2264</v>
      </c>
      <c r="B373" t="s">
        <v>2265</v>
      </c>
      <c r="C373" t="s">
        <v>1293</v>
      </c>
      <c r="D373" t="s">
        <v>108</v>
      </c>
      <c r="E373" t="s">
        <v>56</v>
      </c>
      <c r="F373" t="s">
        <v>1403</v>
      </c>
      <c r="G373" t="s">
        <v>949</v>
      </c>
      <c r="H373" t="s">
        <v>1439</v>
      </c>
      <c r="I373" t="s">
        <v>1220</v>
      </c>
      <c r="J373" t="s">
        <v>1092</v>
      </c>
      <c r="K373" t="s">
        <v>1845</v>
      </c>
      <c r="L373" t="s">
        <v>1008</v>
      </c>
      <c r="M373" t="s">
        <v>922</v>
      </c>
      <c r="N373" t="s">
        <v>1719</v>
      </c>
      <c r="O373" t="s">
        <v>956</v>
      </c>
      <c r="P373" t="s">
        <v>1160</v>
      </c>
      <c r="Q373" t="s">
        <v>1144</v>
      </c>
      <c r="R373" t="s">
        <v>1370</v>
      </c>
      <c r="S373" t="s">
        <v>987</v>
      </c>
      <c r="T373" t="s">
        <v>1064</v>
      </c>
      <c r="U373" t="s">
        <v>1566</v>
      </c>
      <c r="V373" t="s">
        <v>1094</v>
      </c>
      <c r="W373" t="s">
        <v>945</v>
      </c>
      <c r="X373" t="s">
        <v>1310</v>
      </c>
      <c r="Y373" t="s">
        <v>1049</v>
      </c>
      <c r="Z373" t="s">
        <v>969</v>
      </c>
      <c r="AA373" t="s">
        <v>1094</v>
      </c>
      <c r="AB373" t="s">
        <v>991</v>
      </c>
      <c r="AC373" t="s">
        <v>1008</v>
      </c>
      <c r="AD373" t="s">
        <v>1023</v>
      </c>
      <c r="AE373" t="s">
        <v>927</v>
      </c>
      <c r="AF373">
        <f t="shared" si="10"/>
        <v>6.8999999999999995</v>
      </c>
      <c r="AG373">
        <f t="shared" si="11"/>
        <v>6.9413</v>
      </c>
    </row>
    <row r="374" spans="1:33" x14ac:dyDescent="0.25">
      <c r="A374" t="s">
        <v>2266</v>
      </c>
      <c r="B374" t="s">
        <v>2267</v>
      </c>
      <c r="C374" t="s">
        <v>902</v>
      </c>
      <c r="D374" t="s">
        <v>1149</v>
      </c>
      <c r="E374" t="s">
        <v>63</v>
      </c>
      <c r="F374" t="s">
        <v>972</v>
      </c>
      <c r="G374" t="s">
        <v>1717</v>
      </c>
      <c r="H374" t="s">
        <v>1125</v>
      </c>
      <c r="I374" t="s">
        <v>1104</v>
      </c>
      <c r="J374" t="s">
        <v>1172</v>
      </c>
      <c r="K374" t="s">
        <v>1704</v>
      </c>
      <c r="L374" t="s">
        <v>987</v>
      </c>
      <c r="M374" t="s">
        <v>956</v>
      </c>
      <c r="N374" t="s">
        <v>910</v>
      </c>
      <c r="O374" t="s">
        <v>956</v>
      </c>
      <c r="P374" t="s">
        <v>1134</v>
      </c>
      <c r="Q374" t="s">
        <v>1818</v>
      </c>
      <c r="R374" t="s">
        <v>1258</v>
      </c>
      <c r="S374" t="s">
        <v>987</v>
      </c>
      <c r="T374" t="s">
        <v>923</v>
      </c>
      <c r="U374" t="s">
        <v>2049</v>
      </c>
      <c r="V374" t="s">
        <v>1094</v>
      </c>
      <c r="W374" t="s">
        <v>1195</v>
      </c>
      <c r="X374" t="s">
        <v>1310</v>
      </c>
      <c r="Y374" t="s">
        <v>970</v>
      </c>
      <c r="Z374" t="s">
        <v>987</v>
      </c>
      <c r="AA374" t="s">
        <v>1065</v>
      </c>
      <c r="AB374" t="s">
        <v>1310</v>
      </c>
      <c r="AC374" t="s">
        <v>993</v>
      </c>
      <c r="AD374" t="s">
        <v>1023</v>
      </c>
      <c r="AE374" t="s">
        <v>927</v>
      </c>
      <c r="AF374">
        <f t="shared" si="10"/>
        <v>7.2</v>
      </c>
      <c r="AG374">
        <f t="shared" si="11"/>
        <v>7.0415999999999999</v>
      </c>
    </row>
    <row r="375" spans="1:33" x14ac:dyDescent="0.25">
      <c r="A375" t="s">
        <v>2268</v>
      </c>
      <c r="B375" t="s">
        <v>2269</v>
      </c>
      <c r="C375" t="s">
        <v>1032</v>
      </c>
      <c r="D375" t="s">
        <v>170</v>
      </c>
      <c r="E375" t="s">
        <v>72</v>
      </c>
      <c r="F375" t="s">
        <v>1031</v>
      </c>
      <c r="G375" t="s">
        <v>901</v>
      </c>
      <c r="H375" t="s">
        <v>1386</v>
      </c>
      <c r="I375" t="s">
        <v>1104</v>
      </c>
      <c r="J375" t="s">
        <v>1211</v>
      </c>
      <c r="K375" t="s">
        <v>1325</v>
      </c>
      <c r="L375" t="s">
        <v>1600</v>
      </c>
      <c r="M375" t="s">
        <v>1600</v>
      </c>
      <c r="N375" t="s">
        <v>927</v>
      </c>
      <c r="O375" t="s">
        <v>1104</v>
      </c>
      <c r="P375" t="s">
        <v>1211</v>
      </c>
      <c r="Q375" t="s">
        <v>1325</v>
      </c>
      <c r="R375" t="s">
        <v>1325</v>
      </c>
      <c r="S375" t="s">
        <v>1230</v>
      </c>
      <c r="T375" t="s">
        <v>1104</v>
      </c>
      <c r="U375" t="s">
        <v>1131</v>
      </c>
      <c r="V375" t="s">
        <v>925</v>
      </c>
      <c r="W375" t="s">
        <v>1000</v>
      </c>
      <c r="X375" t="s">
        <v>1092</v>
      </c>
      <c r="Y375" t="s">
        <v>923</v>
      </c>
      <c r="Z375" t="s">
        <v>969</v>
      </c>
      <c r="AA375" t="s">
        <v>1029</v>
      </c>
      <c r="AB375" t="s">
        <v>923</v>
      </c>
      <c r="AC375" t="s">
        <v>1104</v>
      </c>
      <c r="AD375" t="s">
        <v>1023</v>
      </c>
      <c r="AE375" t="s">
        <v>927</v>
      </c>
      <c r="AF375">
        <f t="shared" si="10"/>
        <v>7</v>
      </c>
      <c r="AG375" t="e">
        <f t="shared" si="11"/>
        <v>#VALUE!</v>
      </c>
    </row>
    <row r="376" spans="1:33" x14ac:dyDescent="0.25">
      <c r="A376" t="s">
        <v>2270</v>
      </c>
      <c r="B376" t="s">
        <v>2271</v>
      </c>
      <c r="C376" t="s">
        <v>902</v>
      </c>
      <c r="D376" t="s">
        <v>1149</v>
      </c>
      <c r="E376" t="s">
        <v>63</v>
      </c>
      <c r="F376" t="s">
        <v>1051</v>
      </c>
      <c r="G376" t="s">
        <v>1717</v>
      </c>
      <c r="H376" t="s">
        <v>937</v>
      </c>
      <c r="I376" t="s">
        <v>956</v>
      </c>
      <c r="J376" t="s">
        <v>957</v>
      </c>
      <c r="K376" t="s">
        <v>1729</v>
      </c>
      <c r="L376" t="s">
        <v>923</v>
      </c>
      <c r="M376" t="s">
        <v>993</v>
      </c>
      <c r="N376" t="s">
        <v>1719</v>
      </c>
      <c r="O376" t="s">
        <v>923</v>
      </c>
      <c r="P376" t="s">
        <v>925</v>
      </c>
      <c r="Q376" t="s">
        <v>1709</v>
      </c>
      <c r="R376" t="s">
        <v>984</v>
      </c>
      <c r="S376" t="s">
        <v>956</v>
      </c>
      <c r="T376" t="s">
        <v>993</v>
      </c>
      <c r="U376" t="s">
        <v>963</v>
      </c>
      <c r="V376" t="s">
        <v>1065</v>
      </c>
      <c r="W376" t="s">
        <v>1065</v>
      </c>
      <c r="X376" t="s">
        <v>923</v>
      </c>
      <c r="Y376" t="s">
        <v>956</v>
      </c>
      <c r="Z376" t="s">
        <v>1065</v>
      </c>
      <c r="AA376" t="s">
        <v>934</v>
      </c>
      <c r="AB376" t="s">
        <v>1195</v>
      </c>
      <c r="AC376" t="s">
        <v>922</v>
      </c>
      <c r="AD376" t="s">
        <v>1023</v>
      </c>
      <c r="AE376" t="s">
        <v>927</v>
      </c>
      <c r="AF376">
        <f t="shared" si="10"/>
        <v>7</v>
      </c>
      <c r="AG376">
        <f t="shared" si="11"/>
        <v>7.0327999999999999</v>
      </c>
    </row>
    <row r="377" spans="1:33" x14ac:dyDescent="0.25">
      <c r="A377" t="s">
        <v>2272</v>
      </c>
      <c r="B377" t="s">
        <v>2273</v>
      </c>
      <c r="C377" t="s">
        <v>1084</v>
      </c>
      <c r="D377" t="s">
        <v>974</v>
      </c>
      <c r="E377" t="s">
        <v>72</v>
      </c>
      <c r="F377" t="s">
        <v>1422</v>
      </c>
      <c r="G377" t="s">
        <v>1083</v>
      </c>
      <c r="H377" t="s">
        <v>1418</v>
      </c>
      <c r="I377" t="s">
        <v>1012</v>
      </c>
      <c r="J377" t="s">
        <v>1126</v>
      </c>
      <c r="K377" t="s">
        <v>1297</v>
      </c>
      <c r="L377" t="s">
        <v>991</v>
      </c>
      <c r="M377" t="s">
        <v>945</v>
      </c>
      <c r="N377" t="s">
        <v>2069</v>
      </c>
      <c r="O377" t="s">
        <v>947</v>
      </c>
      <c r="P377" t="s">
        <v>1134</v>
      </c>
      <c r="Q377" t="s">
        <v>1268</v>
      </c>
      <c r="R377" t="s">
        <v>1358</v>
      </c>
      <c r="S377" t="s">
        <v>945</v>
      </c>
      <c r="T377" t="s">
        <v>1029</v>
      </c>
      <c r="U377" t="s">
        <v>2274</v>
      </c>
      <c r="V377" t="s">
        <v>956</v>
      </c>
      <c r="W377" t="s">
        <v>1135</v>
      </c>
      <c r="X377" t="s">
        <v>920</v>
      </c>
      <c r="Y377" t="s">
        <v>968</v>
      </c>
      <c r="Z377" t="s">
        <v>991</v>
      </c>
      <c r="AA377" t="s">
        <v>991</v>
      </c>
      <c r="AB377" t="s">
        <v>1064</v>
      </c>
      <c r="AC377" t="s">
        <v>947</v>
      </c>
      <c r="AD377" t="s">
        <v>1116</v>
      </c>
      <c r="AE377" t="s">
        <v>927</v>
      </c>
      <c r="AF377">
        <f t="shared" si="10"/>
        <v>6.8000000000000007</v>
      </c>
      <c r="AG377">
        <f t="shared" si="11"/>
        <v>6.8663999999999996</v>
      </c>
    </row>
    <row r="378" spans="1:33" x14ac:dyDescent="0.25">
      <c r="A378" t="s">
        <v>2272</v>
      </c>
      <c r="B378" t="s">
        <v>2273</v>
      </c>
      <c r="C378" t="s">
        <v>1084</v>
      </c>
      <c r="D378" t="s">
        <v>121</v>
      </c>
      <c r="E378" t="s">
        <v>72</v>
      </c>
      <c r="F378" t="s">
        <v>1096</v>
      </c>
      <c r="G378" t="s">
        <v>1717</v>
      </c>
      <c r="H378" t="s">
        <v>1044</v>
      </c>
      <c r="I378" t="s">
        <v>987</v>
      </c>
      <c r="J378" t="s">
        <v>1049</v>
      </c>
      <c r="K378" t="s">
        <v>1467</v>
      </c>
      <c r="L378" t="s">
        <v>1119</v>
      </c>
      <c r="M378" t="s">
        <v>969</v>
      </c>
      <c r="N378" t="s">
        <v>2251</v>
      </c>
      <c r="O378" t="s">
        <v>1008</v>
      </c>
      <c r="P378" t="s">
        <v>1195</v>
      </c>
      <c r="Q378" t="s">
        <v>1131</v>
      </c>
      <c r="R378" t="s">
        <v>1840</v>
      </c>
      <c r="S378" t="s">
        <v>991</v>
      </c>
      <c r="T378" t="s">
        <v>987</v>
      </c>
      <c r="U378" t="s">
        <v>913</v>
      </c>
      <c r="V378" t="s">
        <v>1094</v>
      </c>
      <c r="W378" t="s">
        <v>945</v>
      </c>
      <c r="X378" t="s">
        <v>1029</v>
      </c>
      <c r="Y378" t="s">
        <v>923</v>
      </c>
      <c r="Z378" t="s">
        <v>1094</v>
      </c>
      <c r="AA378" t="s">
        <v>1119</v>
      </c>
      <c r="AB378" t="s">
        <v>991</v>
      </c>
      <c r="AC378" t="s">
        <v>1008</v>
      </c>
      <c r="AD378" t="s">
        <v>908</v>
      </c>
      <c r="AE378" t="s">
        <v>927</v>
      </c>
      <c r="AF378">
        <f t="shared" si="10"/>
        <v>2.1</v>
      </c>
      <c r="AG378">
        <f t="shared" si="11"/>
        <v>2.1167999999999996</v>
      </c>
    </row>
    <row r="379" spans="1:33" x14ac:dyDescent="0.25">
      <c r="A379" t="s">
        <v>2272</v>
      </c>
      <c r="B379" t="s">
        <v>2273</v>
      </c>
      <c r="C379" t="s">
        <v>1084</v>
      </c>
      <c r="D379" t="s">
        <v>163</v>
      </c>
      <c r="E379" t="s">
        <v>72</v>
      </c>
      <c r="F379" t="s">
        <v>1343</v>
      </c>
      <c r="G379" t="s">
        <v>1083</v>
      </c>
      <c r="H379" t="s">
        <v>1036</v>
      </c>
      <c r="I379" t="s">
        <v>946</v>
      </c>
      <c r="J379" t="s">
        <v>1023</v>
      </c>
      <c r="K379" t="s">
        <v>1037</v>
      </c>
      <c r="L379" t="s">
        <v>1065</v>
      </c>
      <c r="M379" t="s">
        <v>1195</v>
      </c>
      <c r="N379" t="s">
        <v>1267</v>
      </c>
      <c r="O379" t="s">
        <v>1220</v>
      </c>
      <c r="P379" t="s">
        <v>1092</v>
      </c>
      <c r="Q379" t="s">
        <v>1287</v>
      </c>
      <c r="R379" t="s">
        <v>1537</v>
      </c>
      <c r="S379" t="s">
        <v>1230</v>
      </c>
      <c r="T379" t="s">
        <v>968</v>
      </c>
      <c r="U379" t="s">
        <v>1994</v>
      </c>
      <c r="V379" t="s">
        <v>993</v>
      </c>
      <c r="W379" t="s">
        <v>1000</v>
      </c>
      <c r="X379" t="s">
        <v>1126</v>
      </c>
      <c r="Y379" t="s">
        <v>1049</v>
      </c>
      <c r="Z379" t="s">
        <v>991</v>
      </c>
      <c r="AA379" t="s">
        <v>991</v>
      </c>
      <c r="AB379" t="s">
        <v>1195</v>
      </c>
      <c r="AC379" t="s">
        <v>1220</v>
      </c>
      <c r="AD379" t="s">
        <v>1027</v>
      </c>
      <c r="AE379" t="s">
        <v>927</v>
      </c>
      <c r="AF379">
        <f t="shared" si="10"/>
        <v>8.1</v>
      </c>
      <c r="AG379">
        <f t="shared" si="11"/>
        <v>8.1359999999999992</v>
      </c>
    </row>
    <row r="380" spans="1:33" x14ac:dyDescent="0.25">
      <c r="A380" t="s">
        <v>2275</v>
      </c>
      <c r="B380" t="s">
        <v>2276</v>
      </c>
      <c r="C380" t="s">
        <v>1032</v>
      </c>
      <c r="D380" t="s">
        <v>974</v>
      </c>
      <c r="E380" t="s">
        <v>93</v>
      </c>
      <c r="F380" t="s">
        <v>1535</v>
      </c>
      <c r="G380" t="s">
        <v>1717</v>
      </c>
      <c r="H380" t="s">
        <v>1036</v>
      </c>
      <c r="I380" t="s">
        <v>924</v>
      </c>
      <c r="J380" t="s">
        <v>1005</v>
      </c>
      <c r="K380" t="s">
        <v>1426</v>
      </c>
      <c r="L380" t="s">
        <v>918</v>
      </c>
      <c r="M380" t="s">
        <v>925</v>
      </c>
      <c r="N380" t="s">
        <v>1419</v>
      </c>
      <c r="O380" t="s">
        <v>1310</v>
      </c>
      <c r="P380" t="s">
        <v>1135</v>
      </c>
      <c r="Q380" t="s">
        <v>1235</v>
      </c>
      <c r="R380" t="s">
        <v>1333</v>
      </c>
      <c r="S380" t="s">
        <v>945</v>
      </c>
      <c r="T380" t="s">
        <v>922</v>
      </c>
      <c r="U380" t="s">
        <v>2052</v>
      </c>
      <c r="V380" t="s">
        <v>1230</v>
      </c>
      <c r="W380" t="s">
        <v>1012</v>
      </c>
      <c r="X380" t="s">
        <v>1160</v>
      </c>
      <c r="Y380" t="s">
        <v>924</v>
      </c>
      <c r="Z380" t="s">
        <v>918</v>
      </c>
      <c r="AA380" t="s">
        <v>1094</v>
      </c>
      <c r="AB380" t="s">
        <v>1195</v>
      </c>
      <c r="AC380" t="s">
        <v>956</v>
      </c>
      <c r="AD380" t="s">
        <v>1116</v>
      </c>
      <c r="AE380" t="s">
        <v>927</v>
      </c>
      <c r="AF380">
        <f t="shared" si="10"/>
        <v>6.9</v>
      </c>
      <c r="AG380">
        <f t="shared" si="11"/>
        <v>6.9198000000000004</v>
      </c>
    </row>
    <row r="381" spans="1:33" x14ac:dyDescent="0.25">
      <c r="A381" t="s">
        <v>2275</v>
      </c>
      <c r="B381" t="s">
        <v>2276</v>
      </c>
      <c r="C381" t="s">
        <v>1032</v>
      </c>
      <c r="D381" t="s">
        <v>156</v>
      </c>
      <c r="E381" t="s">
        <v>93</v>
      </c>
      <c r="F381" t="s">
        <v>1150</v>
      </c>
      <c r="G381" t="s">
        <v>1717</v>
      </c>
      <c r="H381" t="s">
        <v>2000</v>
      </c>
      <c r="I381" t="s">
        <v>993</v>
      </c>
      <c r="J381" t="s">
        <v>1005</v>
      </c>
      <c r="K381" t="s">
        <v>1565</v>
      </c>
      <c r="L381" t="s">
        <v>918</v>
      </c>
      <c r="M381" t="s">
        <v>1049</v>
      </c>
      <c r="N381" t="s">
        <v>1297</v>
      </c>
      <c r="O381" t="s">
        <v>922</v>
      </c>
      <c r="P381" t="s">
        <v>1048</v>
      </c>
      <c r="Q381" t="s">
        <v>1208</v>
      </c>
      <c r="R381" t="s">
        <v>1585</v>
      </c>
      <c r="S381" t="s">
        <v>1230</v>
      </c>
      <c r="T381" t="s">
        <v>956</v>
      </c>
      <c r="U381" t="s">
        <v>2129</v>
      </c>
      <c r="V381" t="s">
        <v>1230</v>
      </c>
      <c r="W381" t="s">
        <v>964</v>
      </c>
      <c r="X381" t="s">
        <v>1103</v>
      </c>
      <c r="Y381" t="s">
        <v>1104</v>
      </c>
      <c r="Z381" t="s">
        <v>918</v>
      </c>
      <c r="AA381" t="s">
        <v>991</v>
      </c>
      <c r="AB381" t="s">
        <v>1310</v>
      </c>
      <c r="AC381" t="s">
        <v>956</v>
      </c>
      <c r="AD381" t="s">
        <v>1118</v>
      </c>
      <c r="AE381" t="s">
        <v>927</v>
      </c>
      <c r="AF381">
        <f t="shared" si="10"/>
        <v>7.3000000000000007</v>
      </c>
      <c r="AG381">
        <f t="shared" si="11"/>
        <v>7.2355999999999998</v>
      </c>
    </row>
    <row r="382" spans="1:33" x14ac:dyDescent="0.25">
      <c r="A382" t="s">
        <v>2275</v>
      </c>
      <c r="B382" t="s">
        <v>2276</v>
      </c>
      <c r="C382" t="s">
        <v>1032</v>
      </c>
      <c r="D382" t="s">
        <v>121</v>
      </c>
      <c r="E382" t="s">
        <v>93</v>
      </c>
      <c r="F382" t="s">
        <v>1232</v>
      </c>
      <c r="G382" t="s">
        <v>1717</v>
      </c>
      <c r="H382" t="s">
        <v>1473</v>
      </c>
      <c r="I382" t="s">
        <v>925</v>
      </c>
      <c r="J382" t="s">
        <v>1005</v>
      </c>
      <c r="K382" t="s">
        <v>1018</v>
      </c>
      <c r="L382" t="s">
        <v>1064</v>
      </c>
      <c r="M382" t="s">
        <v>1220</v>
      </c>
      <c r="N382" t="s">
        <v>1683</v>
      </c>
      <c r="O382" t="s">
        <v>945</v>
      </c>
      <c r="P382" t="s">
        <v>947</v>
      </c>
      <c r="Q382" t="s">
        <v>1131</v>
      </c>
      <c r="R382" t="s">
        <v>1143</v>
      </c>
      <c r="S382" t="s">
        <v>969</v>
      </c>
      <c r="T382" t="s">
        <v>923</v>
      </c>
      <c r="U382" t="s">
        <v>1610</v>
      </c>
      <c r="V382" t="s">
        <v>945</v>
      </c>
      <c r="W382" t="s">
        <v>1029</v>
      </c>
      <c r="X382" t="s">
        <v>1104</v>
      </c>
      <c r="Y382" t="s">
        <v>1195</v>
      </c>
      <c r="Z382" t="s">
        <v>918</v>
      </c>
      <c r="AA382" t="s">
        <v>934</v>
      </c>
      <c r="AB382" t="s">
        <v>918</v>
      </c>
      <c r="AC382" t="s">
        <v>908</v>
      </c>
      <c r="AD382" t="s">
        <v>1059</v>
      </c>
      <c r="AE382" t="s">
        <v>927</v>
      </c>
      <c r="AF382">
        <f t="shared" si="10"/>
        <v>6.1</v>
      </c>
      <c r="AG382">
        <f t="shared" si="11"/>
        <v>6.0974999999999993</v>
      </c>
    </row>
    <row r="383" spans="1:33" x14ac:dyDescent="0.25">
      <c r="A383" t="s">
        <v>2277</v>
      </c>
      <c r="B383" t="s">
        <v>214</v>
      </c>
      <c r="C383" t="s">
        <v>995</v>
      </c>
      <c r="D383" t="s">
        <v>1069</v>
      </c>
      <c r="E383" t="s">
        <v>47</v>
      </c>
      <c r="F383" t="s">
        <v>1322</v>
      </c>
      <c r="G383" t="s">
        <v>1422</v>
      </c>
      <c r="H383" t="s">
        <v>1485</v>
      </c>
      <c r="I383" t="s">
        <v>1104</v>
      </c>
      <c r="J383" t="s">
        <v>921</v>
      </c>
      <c r="K383" t="s">
        <v>1075</v>
      </c>
      <c r="L383" t="s">
        <v>1064</v>
      </c>
      <c r="M383" t="s">
        <v>992</v>
      </c>
      <c r="N383" t="s">
        <v>1528</v>
      </c>
      <c r="O383" t="s">
        <v>922</v>
      </c>
      <c r="P383" t="s">
        <v>964</v>
      </c>
      <c r="Q383" t="s">
        <v>1493</v>
      </c>
      <c r="R383" t="s">
        <v>1180</v>
      </c>
      <c r="S383" t="s">
        <v>1094</v>
      </c>
      <c r="T383" t="s">
        <v>1065</v>
      </c>
      <c r="U383" t="s">
        <v>1845</v>
      </c>
      <c r="V383" t="s">
        <v>945</v>
      </c>
      <c r="W383" t="s">
        <v>924</v>
      </c>
      <c r="X383" t="s">
        <v>992</v>
      </c>
      <c r="Y383" t="s">
        <v>987</v>
      </c>
      <c r="Z383" t="s">
        <v>969</v>
      </c>
      <c r="AA383" t="s">
        <v>1065</v>
      </c>
      <c r="AB383" t="s">
        <v>1065</v>
      </c>
      <c r="AC383" t="s">
        <v>925</v>
      </c>
      <c r="AD383" t="s">
        <v>1116</v>
      </c>
      <c r="AE383" t="s">
        <v>927</v>
      </c>
      <c r="AF383">
        <f t="shared" si="10"/>
        <v>6.9999999999999991</v>
      </c>
      <c r="AG383">
        <f t="shared" si="11"/>
        <v>6.8334999999999999</v>
      </c>
    </row>
    <row r="384" spans="1:33" x14ac:dyDescent="0.25">
      <c r="A384" t="s">
        <v>2278</v>
      </c>
      <c r="B384" t="s">
        <v>2279</v>
      </c>
      <c r="C384" t="s">
        <v>902</v>
      </c>
      <c r="D384" t="s">
        <v>156</v>
      </c>
      <c r="E384" t="s">
        <v>72</v>
      </c>
      <c r="F384" t="s">
        <v>1446</v>
      </c>
      <c r="G384" t="s">
        <v>928</v>
      </c>
      <c r="H384" t="s">
        <v>1207</v>
      </c>
      <c r="I384" t="s">
        <v>993</v>
      </c>
      <c r="J384" t="s">
        <v>1134</v>
      </c>
      <c r="K384" t="s">
        <v>1090</v>
      </c>
      <c r="L384" t="s">
        <v>1195</v>
      </c>
      <c r="M384" t="s">
        <v>946</v>
      </c>
      <c r="N384" t="s">
        <v>1154</v>
      </c>
      <c r="O384" t="s">
        <v>945</v>
      </c>
      <c r="P384" t="s">
        <v>1029</v>
      </c>
      <c r="Q384" t="s">
        <v>1674</v>
      </c>
      <c r="R384" t="s">
        <v>1637</v>
      </c>
      <c r="S384" t="s">
        <v>1008</v>
      </c>
      <c r="T384" t="s">
        <v>918</v>
      </c>
      <c r="U384" t="s">
        <v>2280</v>
      </c>
      <c r="V384" t="s">
        <v>1065</v>
      </c>
      <c r="W384" t="s">
        <v>1310</v>
      </c>
      <c r="X384" t="s">
        <v>956</v>
      </c>
      <c r="Y384" t="s">
        <v>969</v>
      </c>
      <c r="Z384" t="s">
        <v>1094</v>
      </c>
      <c r="AA384" t="s">
        <v>918</v>
      </c>
      <c r="AB384" t="s">
        <v>1065</v>
      </c>
      <c r="AC384" t="s">
        <v>945</v>
      </c>
      <c r="AD384" t="s">
        <v>1116</v>
      </c>
      <c r="AE384" t="s">
        <v>927</v>
      </c>
      <c r="AF384">
        <f t="shared" si="10"/>
        <v>7.0000000000000009</v>
      </c>
      <c r="AG384">
        <f t="shared" si="11"/>
        <v>6.9354999999999993</v>
      </c>
    </row>
    <row r="385" spans="1:33" x14ac:dyDescent="0.25">
      <c r="A385" t="s">
        <v>2281</v>
      </c>
      <c r="B385" t="s">
        <v>2282</v>
      </c>
      <c r="C385" t="s">
        <v>929</v>
      </c>
      <c r="D385" t="s">
        <v>129</v>
      </c>
      <c r="E385" t="s">
        <v>56</v>
      </c>
      <c r="F385" t="s">
        <v>1052</v>
      </c>
      <c r="G385" t="s">
        <v>1031</v>
      </c>
      <c r="H385" t="s">
        <v>1439</v>
      </c>
      <c r="I385" t="s">
        <v>993</v>
      </c>
      <c r="J385" t="s">
        <v>985</v>
      </c>
      <c r="K385" t="s">
        <v>1206</v>
      </c>
      <c r="L385" t="s">
        <v>1195</v>
      </c>
      <c r="M385" t="s">
        <v>992</v>
      </c>
      <c r="N385" t="s">
        <v>1475</v>
      </c>
      <c r="O385" t="s">
        <v>945</v>
      </c>
      <c r="P385" t="s">
        <v>1012</v>
      </c>
      <c r="Q385" t="s">
        <v>1440</v>
      </c>
      <c r="R385" t="s">
        <v>1283</v>
      </c>
      <c r="S385" t="s">
        <v>1008</v>
      </c>
      <c r="T385" t="s">
        <v>987</v>
      </c>
      <c r="U385" t="s">
        <v>2283</v>
      </c>
      <c r="V385" t="s">
        <v>934</v>
      </c>
      <c r="W385" t="s">
        <v>1195</v>
      </c>
      <c r="X385" t="s">
        <v>1230</v>
      </c>
      <c r="Y385" t="s">
        <v>1104</v>
      </c>
      <c r="Z385" t="s">
        <v>1065</v>
      </c>
      <c r="AA385" t="s">
        <v>934</v>
      </c>
      <c r="AB385" t="s">
        <v>1008</v>
      </c>
      <c r="AC385" t="s">
        <v>1310</v>
      </c>
      <c r="AD385" t="s">
        <v>1116</v>
      </c>
      <c r="AE385" t="s">
        <v>927</v>
      </c>
      <c r="AF385">
        <f t="shared" si="10"/>
        <v>7.0000000000000009</v>
      </c>
      <c r="AG385">
        <f t="shared" si="11"/>
        <v>7.0015999999999998</v>
      </c>
    </row>
    <row r="386" spans="1:33" x14ac:dyDescent="0.25">
      <c r="A386" t="s">
        <v>2284</v>
      </c>
      <c r="B386" t="s">
        <v>2285</v>
      </c>
      <c r="C386" t="s">
        <v>1084</v>
      </c>
      <c r="D386" t="s">
        <v>83</v>
      </c>
      <c r="E386" t="s">
        <v>63</v>
      </c>
      <c r="F386" t="s">
        <v>1422</v>
      </c>
      <c r="G386" t="s">
        <v>1051</v>
      </c>
      <c r="H386" t="s">
        <v>1487</v>
      </c>
      <c r="I386" t="s">
        <v>1012</v>
      </c>
      <c r="J386" t="s">
        <v>1092</v>
      </c>
      <c r="K386" t="s">
        <v>1923</v>
      </c>
      <c r="L386" t="s">
        <v>945</v>
      </c>
      <c r="M386" t="s">
        <v>964</v>
      </c>
      <c r="N386" t="s">
        <v>1039</v>
      </c>
      <c r="O386" t="s">
        <v>1230</v>
      </c>
      <c r="P386" t="s">
        <v>1220</v>
      </c>
      <c r="Q386" t="s">
        <v>1101</v>
      </c>
      <c r="R386" t="s">
        <v>1837</v>
      </c>
      <c r="S386" t="s">
        <v>969</v>
      </c>
      <c r="T386" t="s">
        <v>987</v>
      </c>
      <c r="U386" t="s">
        <v>963</v>
      </c>
      <c r="V386" t="s">
        <v>991</v>
      </c>
      <c r="W386" t="s">
        <v>923</v>
      </c>
      <c r="X386" t="s">
        <v>1230</v>
      </c>
      <c r="Y386" t="s">
        <v>918</v>
      </c>
      <c r="Z386" t="s">
        <v>1065</v>
      </c>
      <c r="AA386" t="s">
        <v>1119</v>
      </c>
      <c r="AB386" t="s">
        <v>1008</v>
      </c>
      <c r="AC386" t="s">
        <v>918</v>
      </c>
      <c r="AD386" t="s">
        <v>1116</v>
      </c>
      <c r="AE386" t="s">
        <v>927</v>
      </c>
      <c r="AF386">
        <f t="shared" si="10"/>
        <v>7</v>
      </c>
      <c r="AG386">
        <f t="shared" si="11"/>
        <v>6.889899999999999</v>
      </c>
    </row>
    <row r="387" spans="1:33" x14ac:dyDescent="0.25">
      <c r="A387" t="s">
        <v>2286</v>
      </c>
      <c r="B387" t="s">
        <v>2287</v>
      </c>
      <c r="C387" t="s">
        <v>950</v>
      </c>
      <c r="D387" t="s">
        <v>974</v>
      </c>
      <c r="E387" t="s">
        <v>47</v>
      </c>
      <c r="F387" t="s">
        <v>1399</v>
      </c>
      <c r="G387" t="s">
        <v>1083</v>
      </c>
      <c r="H387" t="s">
        <v>1857</v>
      </c>
      <c r="I387" t="s">
        <v>1012</v>
      </c>
      <c r="J387" t="s">
        <v>1059</v>
      </c>
      <c r="K387" t="s">
        <v>1373</v>
      </c>
      <c r="L387" t="s">
        <v>987</v>
      </c>
      <c r="M387" t="s">
        <v>1104</v>
      </c>
      <c r="N387" t="s">
        <v>1673</v>
      </c>
      <c r="O387" t="s">
        <v>968</v>
      </c>
      <c r="P387" t="s">
        <v>970</v>
      </c>
      <c r="Q387" t="s">
        <v>1226</v>
      </c>
      <c r="R387" t="s">
        <v>1514</v>
      </c>
      <c r="S387" t="s">
        <v>987</v>
      </c>
      <c r="T387" t="s">
        <v>945</v>
      </c>
      <c r="U387" t="s">
        <v>2288</v>
      </c>
      <c r="V387" t="s">
        <v>923</v>
      </c>
      <c r="W387" t="s">
        <v>1048</v>
      </c>
      <c r="X387" t="s">
        <v>1081</v>
      </c>
      <c r="Y387" t="s">
        <v>956</v>
      </c>
      <c r="Z387" t="s">
        <v>1064</v>
      </c>
      <c r="AA387" t="s">
        <v>969</v>
      </c>
      <c r="AB387" t="s">
        <v>923</v>
      </c>
      <c r="AC387" t="s">
        <v>968</v>
      </c>
      <c r="AD387" t="s">
        <v>1172</v>
      </c>
      <c r="AE387" t="s">
        <v>927</v>
      </c>
      <c r="AF387">
        <f t="shared" ref="AF387:AF450" si="12">(L387 * 3) + ((I387 - L387) * 2) + S387</f>
        <v>6.8</v>
      </c>
      <c r="AG387">
        <f t="shared" ref="AG387:AG450" si="13">(M387 * N387 * 3) + ((J387 - M387) * Q387 * 2) + (T387 * U387)</f>
        <v>6.7644000000000002</v>
      </c>
    </row>
    <row r="388" spans="1:33" x14ac:dyDescent="0.25">
      <c r="A388" t="s">
        <v>2286</v>
      </c>
      <c r="B388" t="s">
        <v>2287</v>
      </c>
      <c r="C388" t="s">
        <v>950</v>
      </c>
      <c r="D388" t="s">
        <v>1149</v>
      </c>
      <c r="E388" t="s">
        <v>47</v>
      </c>
      <c r="F388" t="s">
        <v>1390</v>
      </c>
      <c r="G388" t="s">
        <v>1083</v>
      </c>
      <c r="H388" t="s">
        <v>2289</v>
      </c>
      <c r="I388" t="s">
        <v>1135</v>
      </c>
      <c r="J388" t="s">
        <v>1116</v>
      </c>
      <c r="K388" t="s">
        <v>1784</v>
      </c>
      <c r="L388" t="s">
        <v>923</v>
      </c>
      <c r="M388" t="s">
        <v>1048</v>
      </c>
      <c r="N388" t="s">
        <v>1750</v>
      </c>
      <c r="O388" t="s">
        <v>1049</v>
      </c>
      <c r="P388" t="s">
        <v>1030</v>
      </c>
      <c r="Q388" t="s">
        <v>1171</v>
      </c>
      <c r="R388" t="s">
        <v>1262</v>
      </c>
      <c r="S388" t="s">
        <v>918</v>
      </c>
      <c r="T388" t="s">
        <v>1195</v>
      </c>
      <c r="U388" t="s">
        <v>2290</v>
      </c>
      <c r="V388" t="s">
        <v>923</v>
      </c>
      <c r="W388" t="s">
        <v>979</v>
      </c>
      <c r="X388" t="s">
        <v>1047</v>
      </c>
      <c r="Y388" t="s">
        <v>947</v>
      </c>
      <c r="Z388" t="s">
        <v>1064</v>
      </c>
      <c r="AA388" t="s">
        <v>1008</v>
      </c>
      <c r="AB388" t="s">
        <v>1064</v>
      </c>
      <c r="AC388" t="s">
        <v>968</v>
      </c>
      <c r="AD388" t="s">
        <v>1011</v>
      </c>
      <c r="AE388" t="s">
        <v>927</v>
      </c>
      <c r="AF388">
        <f t="shared" si="12"/>
        <v>7.9</v>
      </c>
      <c r="AG388">
        <f t="shared" si="13"/>
        <v>7.9102000000000006</v>
      </c>
    </row>
    <row r="389" spans="1:33" x14ac:dyDescent="0.25">
      <c r="A389" t="s">
        <v>2286</v>
      </c>
      <c r="B389" t="s">
        <v>2287</v>
      </c>
      <c r="C389" t="s">
        <v>950</v>
      </c>
      <c r="D389" t="s">
        <v>1069</v>
      </c>
      <c r="E389" t="s">
        <v>47</v>
      </c>
      <c r="F389" t="s">
        <v>1162</v>
      </c>
      <c r="G389" t="s">
        <v>1717</v>
      </c>
      <c r="H389" t="s">
        <v>1675</v>
      </c>
      <c r="I389" t="s">
        <v>1230</v>
      </c>
      <c r="J389" t="s">
        <v>919</v>
      </c>
      <c r="K389" t="s">
        <v>2134</v>
      </c>
      <c r="L389" t="s">
        <v>934</v>
      </c>
      <c r="M389" t="s">
        <v>1049</v>
      </c>
      <c r="N389" t="s">
        <v>2291</v>
      </c>
      <c r="O389" t="s">
        <v>945</v>
      </c>
      <c r="P389" t="s">
        <v>908</v>
      </c>
      <c r="Q389" t="s">
        <v>1215</v>
      </c>
      <c r="R389" t="s">
        <v>1456</v>
      </c>
      <c r="S389" t="s">
        <v>969</v>
      </c>
      <c r="T389" t="s">
        <v>918</v>
      </c>
      <c r="U389" t="s">
        <v>2049</v>
      </c>
      <c r="V389" t="s">
        <v>918</v>
      </c>
      <c r="W389" t="s">
        <v>993</v>
      </c>
      <c r="X389" t="s">
        <v>1000</v>
      </c>
      <c r="Y389" t="s">
        <v>1064</v>
      </c>
      <c r="Z389" t="s">
        <v>918</v>
      </c>
      <c r="AA389" t="s">
        <v>991</v>
      </c>
      <c r="AB389" t="s">
        <v>969</v>
      </c>
      <c r="AC389" t="s">
        <v>1029</v>
      </c>
      <c r="AD389" t="s">
        <v>1030</v>
      </c>
      <c r="AE389" t="s">
        <v>927</v>
      </c>
      <c r="AF389">
        <f t="shared" si="12"/>
        <v>3.6</v>
      </c>
      <c r="AG389">
        <f t="shared" si="13"/>
        <v>3.8024999999999993</v>
      </c>
    </row>
    <row r="390" spans="1:33" x14ac:dyDescent="0.25">
      <c r="A390" t="s">
        <v>2292</v>
      </c>
      <c r="B390" t="s">
        <v>2293</v>
      </c>
      <c r="C390" t="s">
        <v>973</v>
      </c>
      <c r="D390" t="s">
        <v>1069</v>
      </c>
      <c r="E390" t="s">
        <v>93</v>
      </c>
      <c r="F390" t="s">
        <v>1068</v>
      </c>
      <c r="G390" t="s">
        <v>1106</v>
      </c>
      <c r="H390" t="s">
        <v>1113</v>
      </c>
      <c r="I390" t="s">
        <v>1220</v>
      </c>
      <c r="J390" t="s">
        <v>1005</v>
      </c>
      <c r="K390" t="s">
        <v>1144</v>
      </c>
      <c r="L390" t="s">
        <v>918</v>
      </c>
      <c r="M390" t="s">
        <v>1012</v>
      </c>
      <c r="N390" t="s">
        <v>1515</v>
      </c>
      <c r="O390" t="s">
        <v>968</v>
      </c>
      <c r="P390" t="s">
        <v>993</v>
      </c>
      <c r="Q390" t="s">
        <v>1801</v>
      </c>
      <c r="R390" t="s">
        <v>1822</v>
      </c>
      <c r="S390" t="s">
        <v>969</v>
      </c>
      <c r="T390" t="s">
        <v>1008</v>
      </c>
      <c r="U390" t="s">
        <v>1947</v>
      </c>
      <c r="V390" t="s">
        <v>969</v>
      </c>
      <c r="W390" t="s">
        <v>947</v>
      </c>
      <c r="X390" t="s">
        <v>964</v>
      </c>
      <c r="Y390" t="s">
        <v>969</v>
      </c>
      <c r="Z390" t="s">
        <v>1094</v>
      </c>
      <c r="AA390" t="s">
        <v>1008</v>
      </c>
      <c r="AB390" t="s">
        <v>969</v>
      </c>
      <c r="AC390" t="s">
        <v>969</v>
      </c>
      <c r="AD390" t="s">
        <v>1172</v>
      </c>
      <c r="AE390" t="s">
        <v>927</v>
      </c>
      <c r="AF390">
        <f t="shared" si="12"/>
        <v>6.9</v>
      </c>
      <c r="AG390">
        <f t="shared" si="13"/>
        <v>6.7764999999999986</v>
      </c>
    </row>
    <row r="391" spans="1:33" x14ac:dyDescent="0.25">
      <c r="A391" t="s">
        <v>2294</v>
      </c>
      <c r="B391" t="s">
        <v>2295</v>
      </c>
      <c r="C391" t="s">
        <v>1068</v>
      </c>
      <c r="D391" t="s">
        <v>108</v>
      </c>
      <c r="E391" t="s">
        <v>63</v>
      </c>
      <c r="F391" t="s">
        <v>1390</v>
      </c>
      <c r="G391" t="s">
        <v>1147</v>
      </c>
      <c r="H391" t="s">
        <v>932</v>
      </c>
      <c r="I391" t="s">
        <v>925</v>
      </c>
      <c r="J391" t="s">
        <v>962</v>
      </c>
      <c r="K391" t="s">
        <v>1474</v>
      </c>
      <c r="L391" t="s">
        <v>1230</v>
      </c>
      <c r="M391" t="s">
        <v>979</v>
      </c>
      <c r="N391" t="s">
        <v>1564</v>
      </c>
      <c r="O391" t="s">
        <v>987</v>
      </c>
      <c r="P391" t="s">
        <v>922</v>
      </c>
      <c r="Q391" t="s">
        <v>1258</v>
      </c>
      <c r="R391" t="s">
        <v>1333</v>
      </c>
      <c r="S391" t="s">
        <v>918</v>
      </c>
      <c r="T391" t="s">
        <v>945</v>
      </c>
      <c r="U391" t="s">
        <v>2049</v>
      </c>
      <c r="V391" t="s">
        <v>934</v>
      </c>
      <c r="W391" t="s">
        <v>923</v>
      </c>
      <c r="X391" t="s">
        <v>945</v>
      </c>
      <c r="Y391" t="s">
        <v>922</v>
      </c>
      <c r="Z391" t="s">
        <v>1008</v>
      </c>
      <c r="AA391" t="s">
        <v>1094</v>
      </c>
      <c r="AB391" t="s">
        <v>1008</v>
      </c>
      <c r="AC391" t="s">
        <v>987</v>
      </c>
      <c r="AD391" t="s">
        <v>1172</v>
      </c>
      <c r="AE391" t="s">
        <v>927</v>
      </c>
      <c r="AF391">
        <f t="shared" si="12"/>
        <v>6.7</v>
      </c>
      <c r="AG391">
        <f t="shared" si="13"/>
        <v>6.7687000000000008</v>
      </c>
    </row>
    <row r="392" spans="1:33" x14ac:dyDescent="0.25">
      <c r="A392" t="s">
        <v>2296</v>
      </c>
      <c r="B392" t="s">
        <v>293</v>
      </c>
      <c r="C392" t="s">
        <v>1084</v>
      </c>
      <c r="D392" t="s">
        <v>1014</v>
      </c>
      <c r="E392" t="s">
        <v>72</v>
      </c>
      <c r="F392" t="s">
        <v>1410</v>
      </c>
      <c r="G392" t="s">
        <v>1343</v>
      </c>
      <c r="H392" t="s">
        <v>954</v>
      </c>
      <c r="I392" t="s">
        <v>964</v>
      </c>
      <c r="J392" t="s">
        <v>1228</v>
      </c>
      <c r="K392" t="s">
        <v>1680</v>
      </c>
      <c r="L392" t="s">
        <v>1600</v>
      </c>
      <c r="M392" t="s">
        <v>1119</v>
      </c>
      <c r="N392" t="s">
        <v>1646</v>
      </c>
      <c r="O392" t="s">
        <v>964</v>
      </c>
      <c r="P392" t="s">
        <v>1160</v>
      </c>
      <c r="Q392" t="s">
        <v>2297</v>
      </c>
      <c r="R392" t="s">
        <v>1680</v>
      </c>
      <c r="S392" t="s">
        <v>1064</v>
      </c>
      <c r="T392" t="s">
        <v>968</v>
      </c>
      <c r="U392" t="s">
        <v>1814</v>
      </c>
      <c r="V392" t="s">
        <v>1230</v>
      </c>
      <c r="W392" t="s">
        <v>1000</v>
      </c>
      <c r="X392" t="s">
        <v>1134</v>
      </c>
      <c r="Y392" t="s">
        <v>923</v>
      </c>
      <c r="Z392" t="s">
        <v>969</v>
      </c>
      <c r="AA392" t="s">
        <v>918</v>
      </c>
      <c r="AB392" t="s">
        <v>987</v>
      </c>
      <c r="AC392" t="s">
        <v>924</v>
      </c>
      <c r="AD392" t="s">
        <v>1172</v>
      </c>
      <c r="AE392" t="s">
        <v>927</v>
      </c>
      <c r="AF392">
        <f t="shared" si="12"/>
        <v>6.9</v>
      </c>
      <c r="AG392">
        <f t="shared" si="13"/>
        <v>6.8292000000000002</v>
      </c>
    </row>
    <row r="393" spans="1:33" x14ac:dyDescent="0.25">
      <c r="A393" t="s">
        <v>2298</v>
      </c>
      <c r="B393" t="s">
        <v>2299</v>
      </c>
      <c r="C393" t="s">
        <v>1032</v>
      </c>
      <c r="D393" t="s">
        <v>108</v>
      </c>
      <c r="E393" t="s">
        <v>47</v>
      </c>
      <c r="F393" t="s">
        <v>1106</v>
      </c>
      <c r="G393" t="s">
        <v>972</v>
      </c>
      <c r="H393" t="s">
        <v>1874</v>
      </c>
      <c r="I393" t="s">
        <v>1220</v>
      </c>
      <c r="J393" t="s">
        <v>1116</v>
      </c>
      <c r="K393" t="s">
        <v>1595</v>
      </c>
      <c r="L393" t="s">
        <v>1065</v>
      </c>
      <c r="M393" t="s">
        <v>1048</v>
      </c>
      <c r="N393" t="s">
        <v>2300</v>
      </c>
      <c r="O393" t="s">
        <v>925</v>
      </c>
      <c r="P393" t="s">
        <v>1030</v>
      </c>
      <c r="Q393" t="s">
        <v>1856</v>
      </c>
      <c r="R393" t="s">
        <v>1672</v>
      </c>
      <c r="S393" t="s">
        <v>987</v>
      </c>
      <c r="T393" t="s">
        <v>923</v>
      </c>
      <c r="U393" t="s">
        <v>963</v>
      </c>
      <c r="V393" t="s">
        <v>947</v>
      </c>
      <c r="W393" t="s">
        <v>957</v>
      </c>
      <c r="X393" t="s">
        <v>1023</v>
      </c>
      <c r="Y393" t="s">
        <v>923</v>
      </c>
      <c r="Z393" t="s">
        <v>918</v>
      </c>
      <c r="AA393" t="s">
        <v>945</v>
      </c>
      <c r="AB393" t="s">
        <v>1008</v>
      </c>
      <c r="AC393" t="s">
        <v>1029</v>
      </c>
      <c r="AD393" t="s">
        <v>1112</v>
      </c>
      <c r="AE393" t="s">
        <v>927</v>
      </c>
      <c r="AF393">
        <f t="shared" si="12"/>
        <v>6.7</v>
      </c>
      <c r="AG393">
        <f t="shared" si="13"/>
        <v>6.7005999999999997</v>
      </c>
    </row>
    <row r="394" spans="1:33" x14ac:dyDescent="0.25">
      <c r="A394" t="s">
        <v>874</v>
      </c>
      <c r="B394" t="s">
        <v>171</v>
      </c>
      <c r="C394" t="s">
        <v>875</v>
      </c>
      <c r="D394" t="s">
        <v>172</v>
      </c>
      <c r="E394" t="s">
        <v>876</v>
      </c>
      <c r="F394" t="s">
        <v>392</v>
      </c>
      <c r="G394" t="s">
        <v>877</v>
      </c>
      <c r="H394" t="s">
        <v>878</v>
      </c>
      <c r="I394" t="s">
        <v>879</v>
      </c>
      <c r="J394" t="s">
        <v>880</v>
      </c>
      <c r="K394" t="s">
        <v>881</v>
      </c>
      <c r="L394" t="s">
        <v>882</v>
      </c>
      <c r="M394" t="s">
        <v>883</v>
      </c>
      <c r="N394" t="s">
        <v>884</v>
      </c>
      <c r="O394" t="s">
        <v>885</v>
      </c>
      <c r="P394" t="s">
        <v>886</v>
      </c>
      <c r="Q394" t="s">
        <v>887</v>
      </c>
      <c r="R394" t="s">
        <v>888</v>
      </c>
      <c r="S394" t="s">
        <v>889</v>
      </c>
      <c r="T394" t="s">
        <v>890</v>
      </c>
      <c r="U394" t="s">
        <v>891</v>
      </c>
      <c r="V394" t="s">
        <v>892</v>
      </c>
      <c r="W394" t="s">
        <v>893</v>
      </c>
      <c r="X394" t="s">
        <v>894</v>
      </c>
      <c r="Y394" t="s">
        <v>895</v>
      </c>
      <c r="Z394" t="s">
        <v>896</v>
      </c>
      <c r="AA394" t="s">
        <v>897</v>
      </c>
      <c r="AB394" t="s">
        <v>898</v>
      </c>
      <c r="AC394" t="s">
        <v>93</v>
      </c>
      <c r="AD394" t="s">
        <v>899</v>
      </c>
      <c r="AE394" t="s">
        <v>900</v>
      </c>
      <c r="AF394" t="e">
        <f t="shared" si="12"/>
        <v>#VALUE!</v>
      </c>
      <c r="AG394" t="e">
        <f t="shared" si="13"/>
        <v>#VALUE!</v>
      </c>
    </row>
    <row r="395" spans="1:33" x14ac:dyDescent="0.25">
      <c r="A395" t="s">
        <v>2301</v>
      </c>
      <c r="B395" t="s">
        <v>2302</v>
      </c>
      <c r="C395" t="s">
        <v>1293</v>
      </c>
      <c r="D395" t="s">
        <v>1149</v>
      </c>
      <c r="E395" t="s">
        <v>63</v>
      </c>
      <c r="F395" t="s">
        <v>1150</v>
      </c>
      <c r="G395" t="s">
        <v>1238</v>
      </c>
      <c r="H395" t="s">
        <v>1347</v>
      </c>
      <c r="I395" t="s">
        <v>993</v>
      </c>
      <c r="J395" t="s">
        <v>985</v>
      </c>
      <c r="K395" t="s">
        <v>1154</v>
      </c>
      <c r="L395" t="s">
        <v>945</v>
      </c>
      <c r="M395" t="s">
        <v>979</v>
      </c>
      <c r="N395" t="s">
        <v>2238</v>
      </c>
      <c r="O395" t="s">
        <v>1195</v>
      </c>
      <c r="P395" t="s">
        <v>1220</v>
      </c>
      <c r="Q395" t="s">
        <v>1476</v>
      </c>
      <c r="R395" t="s">
        <v>1131</v>
      </c>
      <c r="S395" t="s">
        <v>1065</v>
      </c>
      <c r="T395" t="s">
        <v>969</v>
      </c>
      <c r="U395" t="s">
        <v>963</v>
      </c>
      <c r="V395" t="s">
        <v>987</v>
      </c>
      <c r="W395" t="s">
        <v>908</v>
      </c>
      <c r="X395" t="s">
        <v>964</v>
      </c>
      <c r="Y395" t="s">
        <v>1064</v>
      </c>
      <c r="Z395" t="s">
        <v>969</v>
      </c>
      <c r="AA395" t="s">
        <v>1065</v>
      </c>
      <c r="AB395" t="s">
        <v>1008</v>
      </c>
      <c r="AC395" t="s">
        <v>908</v>
      </c>
      <c r="AD395" t="s">
        <v>1112</v>
      </c>
      <c r="AE395" t="s">
        <v>927</v>
      </c>
      <c r="AF395">
        <f t="shared" si="12"/>
        <v>6.6999999999999993</v>
      </c>
      <c r="AG395">
        <f t="shared" si="13"/>
        <v>6.6759000000000004</v>
      </c>
    </row>
    <row r="396" spans="1:33" x14ac:dyDescent="0.25">
      <c r="A396" t="s">
        <v>2303</v>
      </c>
      <c r="B396" t="s">
        <v>2304</v>
      </c>
      <c r="C396" t="s">
        <v>1084</v>
      </c>
      <c r="D396" t="s">
        <v>974</v>
      </c>
      <c r="E396" t="s">
        <v>63</v>
      </c>
      <c r="F396" t="s">
        <v>1147</v>
      </c>
      <c r="G396" t="s">
        <v>1717</v>
      </c>
      <c r="H396" t="s">
        <v>1714</v>
      </c>
      <c r="I396" t="s">
        <v>924</v>
      </c>
      <c r="J396" t="s">
        <v>1063</v>
      </c>
      <c r="K396" t="s">
        <v>1225</v>
      </c>
      <c r="L396" t="s">
        <v>923</v>
      </c>
      <c r="M396" t="s">
        <v>1000</v>
      </c>
      <c r="N396" t="s">
        <v>1259</v>
      </c>
      <c r="O396" t="s">
        <v>1230</v>
      </c>
      <c r="P396" t="s">
        <v>1012</v>
      </c>
      <c r="Q396" t="s">
        <v>1352</v>
      </c>
      <c r="R396" t="s">
        <v>1300</v>
      </c>
      <c r="S396" t="s">
        <v>987</v>
      </c>
      <c r="T396" t="s">
        <v>923</v>
      </c>
      <c r="U396" t="s">
        <v>1102</v>
      </c>
      <c r="V396" t="s">
        <v>1094</v>
      </c>
      <c r="W396" t="s">
        <v>945</v>
      </c>
      <c r="X396" t="s">
        <v>1310</v>
      </c>
      <c r="Y396" t="s">
        <v>968</v>
      </c>
      <c r="Z396" t="s">
        <v>934</v>
      </c>
      <c r="AA396" t="s">
        <v>934</v>
      </c>
      <c r="AB396" t="s">
        <v>1064</v>
      </c>
      <c r="AC396" t="s">
        <v>1230</v>
      </c>
      <c r="AD396" t="s">
        <v>1006</v>
      </c>
      <c r="AE396" t="s">
        <v>927</v>
      </c>
      <c r="AF396">
        <f t="shared" si="12"/>
        <v>6.6</v>
      </c>
      <c r="AG396">
        <f t="shared" si="13"/>
        <v>6.6058000000000003</v>
      </c>
    </row>
    <row r="397" spans="1:33" x14ac:dyDescent="0.25">
      <c r="A397" t="s">
        <v>2303</v>
      </c>
      <c r="B397" t="s">
        <v>2304</v>
      </c>
      <c r="C397" t="s">
        <v>1084</v>
      </c>
      <c r="D397" t="s">
        <v>108</v>
      </c>
      <c r="E397" t="s">
        <v>63</v>
      </c>
      <c r="F397" t="s">
        <v>972</v>
      </c>
      <c r="G397" t="s">
        <v>1717</v>
      </c>
      <c r="H397" t="s">
        <v>1170</v>
      </c>
      <c r="I397" t="s">
        <v>923</v>
      </c>
      <c r="J397" t="s">
        <v>956</v>
      </c>
      <c r="K397" t="s">
        <v>1131</v>
      </c>
      <c r="L397" t="s">
        <v>1600</v>
      </c>
      <c r="M397" t="s">
        <v>987</v>
      </c>
      <c r="N397" t="s">
        <v>1646</v>
      </c>
      <c r="O397" t="s">
        <v>923</v>
      </c>
      <c r="P397" t="s">
        <v>1195</v>
      </c>
      <c r="Q397" t="s">
        <v>963</v>
      </c>
      <c r="R397" t="s">
        <v>1131</v>
      </c>
      <c r="S397" t="s">
        <v>1094</v>
      </c>
      <c r="T397" t="s">
        <v>1094</v>
      </c>
      <c r="U397" t="s">
        <v>2146</v>
      </c>
      <c r="V397" t="s">
        <v>987</v>
      </c>
      <c r="W397" t="s">
        <v>1094</v>
      </c>
      <c r="X397" t="s">
        <v>923</v>
      </c>
      <c r="Y397" t="s">
        <v>1094</v>
      </c>
      <c r="Z397" t="s">
        <v>1600</v>
      </c>
      <c r="AA397" t="s">
        <v>1600</v>
      </c>
      <c r="AB397" t="s">
        <v>923</v>
      </c>
      <c r="AC397" t="s">
        <v>1600</v>
      </c>
      <c r="AD397" t="s">
        <v>947</v>
      </c>
      <c r="AE397" t="s">
        <v>927</v>
      </c>
      <c r="AF397">
        <f t="shared" si="12"/>
        <v>2.2999999999999998</v>
      </c>
      <c r="AG397">
        <f t="shared" si="13"/>
        <v>2.2199999999999998</v>
      </c>
    </row>
    <row r="398" spans="1:33" x14ac:dyDescent="0.25">
      <c r="A398" t="s">
        <v>2303</v>
      </c>
      <c r="B398" t="s">
        <v>2304</v>
      </c>
      <c r="C398" t="s">
        <v>1084</v>
      </c>
      <c r="D398" t="s">
        <v>83</v>
      </c>
      <c r="E398" t="s">
        <v>63</v>
      </c>
      <c r="F398" t="s">
        <v>1096</v>
      </c>
      <c r="G398" t="s">
        <v>1717</v>
      </c>
      <c r="H398" t="s">
        <v>1540</v>
      </c>
      <c r="I398" t="s">
        <v>1135</v>
      </c>
      <c r="J398" t="s">
        <v>1011</v>
      </c>
      <c r="K398" t="s">
        <v>1588</v>
      </c>
      <c r="L398" t="s">
        <v>1230</v>
      </c>
      <c r="M398" t="s">
        <v>1211</v>
      </c>
      <c r="N398" t="s">
        <v>2305</v>
      </c>
      <c r="O398" t="s">
        <v>1029</v>
      </c>
      <c r="P398" t="s">
        <v>1048</v>
      </c>
      <c r="Q398" t="s">
        <v>1466</v>
      </c>
      <c r="R398" t="s">
        <v>1795</v>
      </c>
      <c r="S398" t="s">
        <v>1064</v>
      </c>
      <c r="T398" t="s">
        <v>1195</v>
      </c>
      <c r="U398" t="s">
        <v>1765</v>
      </c>
      <c r="V398" t="s">
        <v>1119</v>
      </c>
      <c r="W398" t="s">
        <v>1029</v>
      </c>
      <c r="X398" t="s">
        <v>922</v>
      </c>
      <c r="Y398" t="s">
        <v>1012</v>
      </c>
      <c r="Z398" t="s">
        <v>1094</v>
      </c>
      <c r="AA398" t="s">
        <v>934</v>
      </c>
      <c r="AB398" t="s">
        <v>1064</v>
      </c>
      <c r="AC398" t="s">
        <v>956</v>
      </c>
      <c r="AD398" t="s">
        <v>1152</v>
      </c>
      <c r="AE398" t="s">
        <v>927</v>
      </c>
      <c r="AF398">
        <f t="shared" si="12"/>
        <v>8.5</v>
      </c>
      <c r="AG398">
        <f t="shared" si="13"/>
        <v>8.5487000000000002</v>
      </c>
    </row>
    <row r="399" spans="1:33" x14ac:dyDescent="0.25">
      <c r="A399" t="s">
        <v>2306</v>
      </c>
      <c r="B399" t="s">
        <v>2307</v>
      </c>
      <c r="C399" t="s">
        <v>1176</v>
      </c>
      <c r="D399" t="s">
        <v>974</v>
      </c>
      <c r="E399" t="s">
        <v>56</v>
      </c>
      <c r="F399" t="s">
        <v>1403</v>
      </c>
      <c r="G399" t="s">
        <v>1202</v>
      </c>
      <c r="H399" t="s">
        <v>1485</v>
      </c>
      <c r="I399" t="s">
        <v>947</v>
      </c>
      <c r="J399" t="s">
        <v>1112</v>
      </c>
      <c r="K399" t="s">
        <v>2081</v>
      </c>
      <c r="L399" t="s">
        <v>1064</v>
      </c>
      <c r="M399" t="s">
        <v>1135</v>
      </c>
      <c r="N399" t="s">
        <v>1556</v>
      </c>
      <c r="O399" t="s">
        <v>945</v>
      </c>
      <c r="P399" t="s">
        <v>992</v>
      </c>
      <c r="Q399" t="s">
        <v>1835</v>
      </c>
      <c r="R399" t="s">
        <v>1075</v>
      </c>
      <c r="S399" t="s">
        <v>987</v>
      </c>
      <c r="T399" t="s">
        <v>923</v>
      </c>
      <c r="U399" t="s">
        <v>1243</v>
      </c>
      <c r="V399" t="s">
        <v>1065</v>
      </c>
      <c r="W399" t="s">
        <v>922</v>
      </c>
      <c r="X399" t="s">
        <v>925</v>
      </c>
      <c r="Y399" t="s">
        <v>946</v>
      </c>
      <c r="Z399" t="s">
        <v>991</v>
      </c>
      <c r="AA399" t="s">
        <v>1600</v>
      </c>
      <c r="AB399" t="s">
        <v>1049</v>
      </c>
      <c r="AC399" t="s">
        <v>1064</v>
      </c>
      <c r="AD399" t="s">
        <v>1006</v>
      </c>
      <c r="AE399" t="s">
        <v>927</v>
      </c>
      <c r="AF399">
        <f t="shared" si="12"/>
        <v>6.4999999999999991</v>
      </c>
      <c r="AG399">
        <f t="shared" si="13"/>
        <v>6.5702000000000007</v>
      </c>
    </row>
    <row r="400" spans="1:33" x14ac:dyDescent="0.25">
      <c r="A400" t="s">
        <v>2306</v>
      </c>
      <c r="B400" t="s">
        <v>2307</v>
      </c>
      <c r="C400" t="s">
        <v>1176</v>
      </c>
      <c r="D400" t="s">
        <v>1149</v>
      </c>
      <c r="E400" t="s">
        <v>56</v>
      </c>
      <c r="F400" t="s">
        <v>1068</v>
      </c>
      <c r="G400" t="s">
        <v>1202</v>
      </c>
      <c r="H400" t="s">
        <v>998</v>
      </c>
      <c r="I400" t="s">
        <v>1012</v>
      </c>
      <c r="J400" t="s">
        <v>1009</v>
      </c>
      <c r="K400" t="s">
        <v>2081</v>
      </c>
      <c r="L400" t="s">
        <v>1195</v>
      </c>
      <c r="M400" t="s">
        <v>979</v>
      </c>
      <c r="N400" t="s">
        <v>1556</v>
      </c>
      <c r="O400" t="s">
        <v>1230</v>
      </c>
      <c r="P400" t="s">
        <v>919</v>
      </c>
      <c r="Q400" t="s">
        <v>1835</v>
      </c>
      <c r="R400" t="s">
        <v>1075</v>
      </c>
      <c r="S400" t="s">
        <v>918</v>
      </c>
      <c r="T400" t="s">
        <v>1064</v>
      </c>
      <c r="U400" t="s">
        <v>1243</v>
      </c>
      <c r="V400" t="s">
        <v>969</v>
      </c>
      <c r="W400" t="s">
        <v>1049</v>
      </c>
      <c r="X400" t="s">
        <v>924</v>
      </c>
      <c r="Y400" t="s">
        <v>979</v>
      </c>
      <c r="Z400" t="s">
        <v>991</v>
      </c>
      <c r="AA400" t="s">
        <v>1600</v>
      </c>
      <c r="AB400" t="s">
        <v>908</v>
      </c>
      <c r="AC400" t="s">
        <v>945</v>
      </c>
      <c r="AD400" t="s">
        <v>1028</v>
      </c>
      <c r="AE400" t="s">
        <v>927</v>
      </c>
      <c r="AF400">
        <f t="shared" si="12"/>
        <v>7.4</v>
      </c>
      <c r="AG400">
        <f t="shared" si="13"/>
        <v>7.4635000000000007</v>
      </c>
    </row>
    <row r="401" spans="1:33" x14ac:dyDescent="0.25">
      <c r="A401" t="s">
        <v>2306</v>
      </c>
      <c r="B401" t="s">
        <v>2307</v>
      </c>
      <c r="C401" t="s">
        <v>1176</v>
      </c>
      <c r="D401" t="s">
        <v>1069</v>
      </c>
      <c r="E401" t="s">
        <v>56</v>
      </c>
      <c r="F401" t="s">
        <v>1031</v>
      </c>
      <c r="G401" t="s">
        <v>1717</v>
      </c>
      <c r="H401" t="s">
        <v>1081</v>
      </c>
      <c r="I401" t="s">
        <v>1600</v>
      </c>
      <c r="J401" t="s">
        <v>1600</v>
      </c>
      <c r="K401" t="s">
        <v>927</v>
      </c>
      <c r="L401" t="s">
        <v>1600</v>
      </c>
      <c r="M401" t="s">
        <v>1600</v>
      </c>
      <c r="N401" t="s">
        <v>927</v>
      </c>
      <c r="O401" t="s">
        <v>1600</v>
      </c>
      <c r="P401" t="s">
        <v>1600</v>
      </c>
      <c r="Q401" t="s">
        <v>927</v>
      </c>
      <c r="R401" t="s">
        <v>927</v>
      </c>
      <c r="S401" t="s">
        <v>1600</v>
      </c>
      <c r="T401" t="s">
        <v>1600</v>
      </c>
      <c r="U401" t="s">
        <v>927</v>
      </c>
      <c r="V401" t="s">
        <v>1600</v>
      </c>
      <c r="W401" t="s">
        <v>991</v>
      </c>
      <c r="X401" t="s">
        <v>991</v>
      </c>
      <c r="Y401" t="s">
        <v>934</v>
      </c>
      <c r="Z401" t="s">
        <v>1600</v>
      </c>
      <c r="AA401" t="s">
        <v>1600</v>
      </c>
      <c r="AB401" t="s">
        <v>969</v>
      </c>
      <c r="AC401" t="s">
        <v>934</v>
      </c>
      <c r="AD401" t="s">
        <v>1600</v>
      </c>
      <c r="AE401" t="s">
        <v>927</v>
      </c>
      <c r="AF401">
        <f t="shared" si="12"/>
        <v>0</v>
      </c>
      <c r="AG401" t="e">
        <f t="shared" si="13"/>
        <v>#VALUE!</v>
      </c>
    </row>
    <row r="402" spans="1:33" x14ac:dyDescent="0.25">
      <c r="A402" t="s">
        <v>2308</v>
      </c>
      <c r="B402" t="s">
        <v>412</v>
      </c>
      <c r="C402" t="s">
        <v>973</v>
      </c>
      <c r="D402" t="s">
        <v>129</v>
      </c>
      <c r="E402" t="s">
        <v>72</v>
      </c>
      <c r="F402" t="s">
        <v>1489</v>
      </c>
      <c r="G402" t="s">
        <v>1106</v>
      </c>
      <c r="H402" t="s">
        <v>977</v>
      </c>
      <c r="I402" t="s">
        <v>964</v>
      </c>
      <c r="J402" t="s">
        <v>909</v>
      </c>
      <c r="K402" t="s">
        <v>2024</v>
      </c>
      <c r="L402" t="s">
        <v>934</v>
      </c>
      <c r="M402" t="s">
        <v>969</v>
      </c>
      <c r="N402" t="s">
        <v>2309</v>
      </c>
      <c r="O402" t="s">
        <v>1220</v>
      </c>
      <c r="P402" t="s">
        <v>1005</v>
      </c>
      <c r="Q402" t="s">
        <v>1352</v>
      </c>
      <c r="R402" t="s">
        <v>1208</v>
      </c>
      <c r="S402" t="s">
        <v>1008</v>
      </c>
      <c r="T402" t="s">
        <v>945</v>
      </c>
      <c r="U402" t="s">
        <v>1561</v>
      </c>
      <c r="V402" t="s">
        <v>968</v>
      </c>
      <c r="W402" t="s">
        <v>1155</v>
      </c>
      <c r="X402" t="s">
        <v>1092</v>
      </c>
      <c r="Y402" t="s">
        <v>923</v>
      </c>
      <c r="Z402" t="s">
        <v>987</v>
      </c>
      <c r="AA402" t="s">
        <v>1008</v>
      </c>
      <c r="AB402" t="s">
        <v>987</v>
      </c>
      <c r="AC402" t="s">
        <v>1230</v>
      </c>
      <c r="AD402" t="s">
        <v>1006</v>
      </c>
      <c r="AE402" t="s">
        <v>927</v>
      </c>
      <c r="AF402">
        <f t="shared" si="12"/>
        <v>6.7</v>
      </c>
      <c r="AG402">
        <f t="shared" si="13"/>
        <v>6.6090000000000009</v>
      </c>
    </row>
    <row r="403" spans="1:33" x14ac:dyDescent="0.25">
      <c r="A403" t="s">
        <v>2310</v>
      </c>
      <c r="B403" t="s">
        <v>2311</v>
      </c>
      <c r="C403" t="s">
        <v>1084</v>
      </c>
      <c r="D403" t="s">
        <v>1223</v>
      </c>
      <c r="E403" t="s">
        <v>72</v>
      </c>
      <c r="F403" t="s">
        <v>1070</v>
      </c>
      <c r="G403" t="s">
        <v>1376</v>
      </c>
      <c r="H403" t="s">
        <v>1635</v>
      </c>
      <c r="I403" t="s">
        <v>1104</v>
      </c>
      <c r="J403" t="s">
        <v>1046</v>
      </c>
      <c r="K403" t="s">
        <v>955</v>
      </c>
      <c r="L403" t="s">
        <v>1600</v>
      </c>
      <c r="M403" t="s">
        <v>1600</v>
      </c>
      <c r="N403" t="s">
        <v>1646</v>
      </c>
      <c r="O403" t="s">
        <v>1104</v>
      </c>
      <c r="P403" t="s">
        <v>1134</v>
      </c>
      <c r="Q403" t="s">
        <v>1510</v>
      </c>
      <c r="R403" t="s">
        <v>955</v>
      </c>
      <c r="S403" t="s">
        <v>923</v>
      </c>
      <c r="T403" t="s">
        <v>1029</v>
      </c>
      <c r="U403" t="s">
        <v>1374</v>
      </c>
      <c r="V403" t="s">
        <v>956</v>
      </c>
      <c r="W403" t="s">
        <v>1135</v>
      </c>
      <c r="X403" t="s">
        <v>920</v>
      </c>
      <c r="Y403" t="s">
        <v>922</v>
      </c>
      <c r="Z403" t="s">
        <v>991</v>
      </c>
      <c r="AA403" t="s">
        <v>969</v>
      </c>
      <c r="AB403" t="s">
        <v>1008</v>
      </c>
      <c r="AC403" t="s">
        <v>945</v>
      </c>
      <c r="AD403" t="s">
        <v>1006</v>
      </c>
      <c r="AE403" t="s">
        <v>927</v>
      </c>
      <c r="AF403">
        <f t="shared" si="12"/>
        <v>6.6</v>
      </c>
      <c r="AG403">
        <f t="shared" si="13"/>
        <v>6.6284000000000001</v>
      </c>
    </row>
    <row r="404" spans="1:33" x14ac:dyDescent="0.25">
      <c r="A404" t="s">
        <v>2312</v>
      </c>
      <c r="B404" t="s">
        <v>2313</v>
      </c>
      <c r="C404" t="s">
        <v>1084</v>
      </c>
      <c r="D404" t="s">
        <v>97</v>
      </c>
      <c r="E404" t="s">
        <v>56</v>
      </c>
      <c r="F404" t="s">
        <v>1489</v>
      </c>
      <c r="G404" t="s">
        <v>901</v>
      </c>
      <c r="H404" t="s">
        <v>1454</v>
      </c>
      <c r="I404" t="s">
        <v>924</v>
      </c>
      <c r="J404" t="s">
        <v>962</v>
      </c>
      <c r="K404" t="s">
        <v>1258</v>
      </c>
      <c r="L404" t="s">
        <v>923</v>
      </c>
      <c r="M404" t="s">
        <v>1220</v>
      </c>
      <c r="N404" t="s">
        <v>2226</v>
      </c>
      <c r="O404" t="s">
        <v>1230</v>
      </c>
      <c r="P404" t="s">
        <v>993</v>
      </c>
      <c r="Q404" t="s">
        <v>1209</v>
      </c>
      <c r="R404" t="s">
        <v>1559</v>
      </c>
      <c r="S404" t="s">
        <v>987</v>
      </c>
      <c r="T404" t="s">
        <v>918</v>
      </c>
      <c r="U404" t="s">
        <v>1159</v>
      </c>
      <c r="V404" t="s">
        <v>1094</v>
      </c>
      <c r="W404" t="s">
        <v>918</v>
      </c>
      <c r="X404" t="s">
        <v>945</v>
      </c>
      <c r="Y404" t="s">
        <v>947</v>
      </c>
      <c r="Z404" t="s">
        <v>969</v>
      </c>
      <c r="AA404" t="s">
        <v>1119</v>
      </c>
      <c r="AB404" t="s">
        <v>918</v>
      </c>
      <c r="AC404" t="s">
        <v>1195</v>
      </c>
      <c r="AD404" t="s">
        <v>1006</v>
      </c>
      <c r="AE404" t="s">
        <v>927</v>
      </c>
      <c r="AF404">
        <f t="shared" si="12"/>
        <v>6.6</v>
      </c>
      <c r="AG404">
        <f t="shared" si="13"/>
        <v>6.5979000000000001</v>
      </c>
    </row>
    <row r="405" spans="1:33" x14ac:dyDescent="0.25">
      <c r="A405" t="s">
        <v>2314</v>
      </c>
      <c r="B405" t="s">
        <v>277</v>
      </c>
      <c r="C405" t="s">
        <v>1084</v>
      </c>
      <c r="D405" t="s">
        <v>156</v>
      </c>
      <c r="E405" t="s">
        <v>63</v>
      </c>
      <c r="F405" t="s">
        <v>1293</v>
      </c>
      <c r="G405" t="s">
        <v>1031</v>
      </c>
      <c r="H405" t="s">
        <v>1109</v>
      </c>
      <c r="I405" t="s">
        <v>993</v>
      </c>
      <c r="J405" t="s">
        <v>985</v>
      </c>
      <c r="K405" t="s">
        <v>1206</v>
      </c>
      <c r="L405" t="s">
        <v>923</v>
      </c>
      <c r="M405" t="s">
        <v>979</v>
      </c>
      <c r="N405" t="s">
        <v>1320</v>
      </c>
      <c r="O405" t="s">
        <v>1310</v>
      </c>
      <c r="P405" t="s">
        <v>1220</v>
      </c>
      <c r="Q405" t="s">
        <v>914</v>
      </c>
      <c r="R405" t="s">
        <v>1795</v>
      </c>
      <c r="S405" t="s">
        <v>1008</v>
      </c>
      <c r="T405" t="s">
        <v>918</v>
      </c>
      <c r="U405" t="s">
        <v>1616</v>
      </c>
      <c r="V405" t="s">
        <v>987</v>
      </c>
      <c r="W405" t="s">
        <v>1104</v>
      </c>
      <c r="X405" t="s">
        <v>992</v>
      </c>
      <c r="Y405" t="s">
        <v>956</v>
      </c>
      <c r="Z405" t="s">
        <v>991</v>
      </c>
      <c r="AA405" t="s">
        <v>1094</v>
      </c>
      <c r="AB405" t="s">
        <v>945</v>
      </c>
      <c r="AC405" t="s">
        <v>922</v>
      </c>
      <c r="AD405" t="s">
        <v>1006</v>
      </c>
      <c r="AE405" t="s">
        <v>927</v>
      </c>
      <c r="AF405">
        <f t="shared" si="12"/>
        <v>6.7</v>
      </c>
      <c r="AG405">
        <f t="shared" si="13"/>
        <v>6.6623999999999999</v>
      </c>
    </row>
    <row r="406" spans="1:33" x14ac:dyDescent="0.25">
      <c r="A406" t="s">
        <v>2315</v>
      </c>
      <c r="B406" t="s">
        <v>2316</v>
      </c>
      <c r="C406" t="s">
        <v>1293</v>
      </c>
      <c r="D406" t="s">
        <v>974</v>
      </c>
      <c r="E406" t="s">
        <v>72</v>
      </c>
      <c r="F406" t="s">
        <v>1535</v>
      </c>
      <c r="G406" t="s">
        <v>1083</v>
      </c>
      <c r="H406" t="s">
        <v>1685</v>
      </c>
      <c r="I406" t="s">
        <v>993</v>
      </c>
      <c r="J406" t="s">
        <v>1046</v>
      </c>
      <c r="K406" t="s">
        <v>1471</v>
      </c>
      <c r="L406" t="s">
        <v>1008</v>
      </c>
      <c r="M406" t="s">
        <v>925</v>
      </c>
      <c r="N406" t="s">
        <v>1351</v>
      </c>
      <c r="O406" t="s">
        <v>922</v>
      </c>
      <c r="P406" t="s">
        <v>1012</v>
      </c>
      <c r="Q406" t="s">
        <v>2317</v>
      </c>
      <c r="R406" t="s">
        <v>1494</v>
      </c>
      <c r="S406" t="s">
        <v>987</v>
      </c>
      <c r="T406" t="s">
        <v>923</v>
      </c>
      <c r="U406" t="s">
        <v>2318</v>
      </c>
      <c r="V406" t="s">
        <v>1195</v>
      </c>
      <c r="W406" t="s">
        <v>993</v>
      </c>
      <c r="X406" t="s">
        <v>1155</v>
      </c>
      <c r="Y406" t="s">
        <v>987</v>
      </c>
      <c r="Z406" t="s">
        <v>991</v>
      </c>
      <c r="AA406" t="s">
        <v>969</v>
      </c>
      <c r="AB406" t="s">
        <v>1065</v>
      </c>
      <c r="AC406" t="s">
        <v>945</v>
      </c>
      <c r="AD406" t="s">
        <v>940</v>
      </c>
      <c r="AE406" t="s">
        <v>927</v>
      </c>
      <c r="AF406">
        <f t="shared" si="12"/>
        <v>6.4999999999999991</v>
      </c>
      <c r="AG406">
        <f t="shared" si="13"/>
        <v>6.5884000000000009</v>
      </c>
    </row>
    <row r="407" spans="1:33" x14ac:dyDescent="0.25">
      <c r="A407" t="s">
        <v>2315</v>
      </c>
      <c r="B407" t="s">
        <v>2316</v>
      </c>
      <c r="C407" t="s">
        <v>1293</v>
      </c>
      <c r="D407" t="s">
        <v>133</v>
      </c>
      <c r="E407" t="s">
        <v>72</v>
      </c>
      <c r="F407" t="s">
        <v>1106</v>
      </c>
      <c r="G407" t="s">
        <v>1717</v>
      </c>
      <c r="H407" t="s">
        <v>1002</v>
      </c>
      <c r="I407" t="s">
        <v>945</v>
      </c>
      <c r="J407" t="s">
        <v>1104</v>
      </c>
      <c r="K407" t="s">
        <v>1729</v>
      </c>
      <c r="L407" t="s">
        <v>969</v>
      </c>
      <c r="M407" t="s">
        <v>922</v>
      </c>
      <c r="N407" t="s">
        <v>1886</v>
      </c>
      <c r="O407" t="s">
        <v>969</v>
      </c>
      <c r="P407" t="s">
        <v>1064</v>
      </c>
      <c r="Q407" t="s">
        <v>1713</v>
      </c>
      <c r="R407" t="s">
        <v>984</v>
      </c>
      <c r="S407" t="s">
        <v>1064</v>
      </c>
      <c r="T407" t="s">
        <v>1064</v>
      </c>
      <c r="U407" t="s">
        <v>2146</v>
      </c>
      <c r="V407" t="s">
        <v>969</v>
      </c>
      <c r="W407" t="s">
        <v>1012</v>
      </c>
      <c r="X407" t="s">
        <v>1048</v>
      </c>
      <c r="Y407" t="s">
        <v>991</v>
      </c>
      <c r="Z407" t="s">
        <v>1119</v>
      </c>
      <c r="AA407" t="s">
        <v>918</v>
      </c>
      <c r="AB407" t="s">
        <v>934</v>
      </c>
      <c r="AC407" t="s">
        <v>918</v>
      </c>
      <c r="AD407" t="s">
        <v>919</v>
      </c>
      <c r="AE407" t="s">
        <v>927</v>
      </c>
      <c r="AF407">
        <f t="shared" si="12"/>
        <v>4.0999999999999996</v>
      </c>
      <c r="AG407">
        <f t="shared" si="13"/>
        <v>4.0992999999999995</v>
      </c>
    </row>
    <row r="408" spans="1:33" x14ac:dyDescent="0.25">
      <c r="A408" t="s">
        <v>2315</v>
      </c>
      <c r="B408" t="s">
        <v>2316</v>
      </c>
      <c r="C408" t="s">
        <v>1293</v>
      </c>
      <c r="D408" t="s">
        <v>170</v>
      </c>
      <c r="E408" t="s">
        <v>72</v>
      </c>
      <c r="F408" t="s">
        <v>1410</v>
      </c>
      <c r="G408" t="s">
        <v>1083</v>
      </c>
      <c r="H408" t="s">
        <v>1439</v>
      </c>
      <c r="I408" t="s">
        <v>1220</v>
      </c>
      <c r="J408" t="s">
        <v>962</v>
      </c>
      <c r="K408" t="s">
        <v>1090</v>
      </c>
      <c r="L408" t="s">
        <v>987</v>
      </c>
      <c r="M408" t="s">
        <v>947</v>
      </c>
      <c r="N408" t="s">
        <v>2319</v>
      </c>
      <c r="O408" t="s">
        <v>1049</v>
      </c>
      <c r="P408" t="s">
        <v>964</v>
      </c>
      <c r="Q408" t="s">
        <v>2320</v>
      </c>
      <c r="R408" t="s">
        <v>1532</v>
      </c>
      <c r="S408" t="s">
        <v>987</v>
      </c>
      <c r="T408" t="s">
        <v>918</v>
      </c>
      <c r="U408" t="s">
        <v>2321</v>
      </c>
      <c r="V408" t="s">
        <v>1230</v>
      </c>
      <c r="W408" t="s">
        <v>993</v>
      </c>
      <c r="X408" t="s">
        <v>1160</v>
      </c>
      <c r="Y408" t="s">
        <v>918</v>
      </c>
      <c r="Z408" t="s">
        <v>1065</v>
      </c>
      <c r="AA408" t="s">
        <v>969</v>
      </c>
      <c r="AB408" t="s">
        <v>1065</v>
      </c>
      <c r="AC408" t="s">
        <v>945</v>
      </c>
      <c r="AD408" t="s">
        <v>1116</v>
      </c>
      <c r="AE408" t="s">
        <v>927</v>
      </c>
      <c r="AF408">
        <f t="shared" si="12"/>
        <v>7.0000000000000009</v>
      </c>
      <c r="AG408">
        <f t="shared" si="13"/>
        <v>6.8653000000000013</v>
      </c>
    </row>
    <row r="409" spans="1:33" x14ac:dyDescent="0.25">
      <c r="A409" t="s">
        <v>2322</v>
      </c>
      <c r="B409" t="s">
        <v>361</v>
      </c>
      <c r="C409" t="s">
        <v>1238</v>
      </c>
      <c r="D409" t="s">
        <v>95</v>
      </c>
      <c r="E409" t="s">
        <v>72</v>
      </c>
      <c r="F409" t="s">
        <v>930</v>
      </c>
      <c r="G409" t="s">
        <v>1376</v>
      </c>
      <c r="H409" t="s">
        <v>1125</v>
      </c>
      <c r="I409" t="s">
        <v>1220</v>
      </c>
      <c r="J409" t="s">
        <v>920</v>
      </c>
      <c r="K409" t="s">
        <v>1114</v>
      </c>
      <c r="L409" t="s">
        <v>934</v>
      </c>
      <c r="M409" t="s">
        <v>1008</v>
      </c>
      <c r="N409" t="s">
        <v>1785</v>
      </c>
      <c r="O409" t="s">
        <v>993</v>
      </c>
      <c r="P409" t="s">
        <v>1170</v>
      </c>
      <c r="Q409" t="s">
        <v>1510</v>
      </c>
      <c r="R409" t="s">
        <v>1192</v>
      </c>
      <c r="S409" t="s">
        <v>918</v>
      </c>
      <c r="T409" t="s">
        <v>1029</v>
      </c>
      <c r="U409" t="s">
        <v>1542</v>
      </c>
      <c r="V409" t="s">
        <v>1048</v>
      </c>
      <c r="W409" t="s">
        <v>1211</v>
      </c>
      <c r="X409" t="s">
        <v>915</v>
      </c>
      <c r="Y409" t="s">
        <v>1064</v>
      </c>
      <c r="Z409" t="s">
        <v>1065</v>
      </c>
      <c r="AA409" t="s">
        <v>1029</v>
      </c>
      <c r="AB409" t="s">
        <v>1064</v>
      </c>
      <c r="AC409" t="s">
        <v>1104</v>
      </c>
      <c r="AD409" t="s">
        <v>940</v>
      </c>
      <c r="AE409" t="s">
        <v>927</v>
      </c>
      <c r="AF409">
        <f t="shared" si="12"/>
        <v>6.5</v>
      </c>
      <c r="AG409">
        <f t="shared" si="13"/>
        <v>6.5593999999999992</v>
      </c>
    </row>
    <row r="410" spans="1:33" x14ac:dyDescent="0.25">
      <c r="A410" t="s">
        <v>2323</v>
      </c>
      <c r="B410" t="s">
        <v>2324</v>
      </c>
      <c r="C410" t="s">
        <v>1164</v>
      </c>
      <c r="D410" t="s">
        <v>1149</v>
      </c>
      <c r="E410" t="s">
        <v>63</v>
      </c>
      <c r="F410" t="s">
        <v>1431</v>
      </c>
      <c r="G410" t="s">
        <v>1162</v>
      </c>
      <c r="H410" t="s">
        <v>1635</v>
      </c>
      <c r="I410" t="s">
        <v>924</v>
      </c>
      <c r="J410" t="s">
        <v>920</v>
      </c>
      <c r="K410" t="s">
        <v>1157</v>
      </c>
      <c r="L410" t="s">
        <v>945</v>
      </c>
      <c r="M410" t="s">
        <v>1220</v>
      </c>
      <c r="N410" t="s">
        <v>1923</v>
      </c>
      <c r="O410" t="s">
        <v>945</v>
      </c>
      <c r="P410" t="s">
        <v>924</v>
      </c>
      <c r="Q410" t="s">
        <v>2084</v>
      </c>
      <c r="R410" t="s">
        <v>1541</v>
      </c>
      <c r="S410" t="s">
        <v>1065</v>
      </c>
      <c r="T410" t="s">
        <v>969</v>
      </c>
      <c r="U410" t="s">
        <v>1102</v>
      </c>
      <c r="V410" t="s">
        <v>991</v>
      </c>
      <c r="W410" t="s">
        <v>1195</v>
      </c>
      <c r="X410" t="s">
        <v>922</v>
      </c>
      <c r="Y410" t="s">
        <v>918</v>
      </c>
      <c r="Z410" t="s">
        <v>991</v>
      </c>
      <c r="AA410" t="s">
        <v>1119</v>
      </c>
      <c r="AB410" t="s">
        <v>1065</v>
      </c>
      <c r="AC410" t="s">
        <v>918</v>
      </c>
      <c r="AD410" t="s">
        <v>940</v>
      </c>
      <c r="AE410" t="s">
        <v>927</v>
      </c>
      <c r="AF410">
        <f t="shared" si="12"/>
        <v>6.5</v>
      </c>
      <c r="AG410">
        <f t="shared" si="13"/>
        <v>6.5149999999999997</v>
      </c>
    </row>
    <row r="411" spans="1:33" x14ac:dyDescent="0.25">
      <c r="A411" t="s">
        <v>2325</v>
      </c>
      <c r="B411" t="s">
        <v>295</v>
      </c>
      <c r="C411" t="s">
        <v>1015</v>
      </c>
      <c r="D411" t="s">
        <v>133</v>
      </c>
      <c r="E411" t="s">
        <v>47</v>
      </c>
      <c r="F411" t="s">
        <v>1322</v>
      </c>
      <c r="G411" t="s">
        <v>1187</v>
      </c>
      <c r="H411" t="s">
        <v>1221</v>
      </c>
      <c r="I411" t="s">
        <v>924</v>
      </c>
      <c r="J411" t="s">
        <v>1043</v>
      </c>
      <c r="K411" t="s">
        <v>1555</v>
      </c>
      <c r="L411" t="s">
        <v>945</v>
      </c>
      <c r="M411" t="s">
        <v>946</v>
      </c>
      <c r="N411" t="s">
        <v>2226</v>
      </c>
      <c r="O411" t="s">
        <v>945</v>
      </c>
      <c r="P411" t="s">
        <v>908</v>
      </c>
      <c r="Q411" t="s">
        <v>1218</v>
      </c>
      <c r="R411" t="s">
        <v>1227</v>
      </c>
      <c r="S411" t="s">
        <v>991</v>
      </c>
      <c r="T411" t="s">
        <v>969</v>
      </c>
      <c r="U411" t="s">
        <v>2326</v>
      </c>
      <c r="V411" t="s">
        <v>923</v>
      </c>
      <c r="W411" t="s">
        <v>924</v>
      </c>
      <c r="X411" t="s">
        <v>1000</v>
      </c>
      <c r="Y411" t="s">
        <v>1310</v>
      </c>
      <c r="Z411" t="s">
        <v>918</v>
      </c>
      <c r="AA411" t="s">
        <v>1065</v>
      </c>
      <c r="AB411" t="s">
        <v>1008</v>
      </c>
      <c r="AC411" t="s">
        <v>925</v>
      </c>
      <c r="AD411" t="s">
        <v>940</v>
      </c>
      <c r="AE411" t="s">
        <v>927</v>
      </c>
      <c r="AF411">
        <f t="shared" si="12"/>
        <v>6.4</v>
      </c>
      <c r="AG411">
        <f t="shared" si="13"/>
        <v>6.4931999999999999</v>
      </c>
    </row>
    <row r="412" spans="1:33" x14ac:dyDescent="0.25">
      <c r="A412" t="s">
        <v>2327</v>
      </c>
      <c r="B412" t="s">
        <v>2328</v>
      </c>
      <c r="C412" t="s">
        <v>1084</v>
      </c>
      <c r="D412" t="s">
        <v>131</v>
      </c>
      <c r="E412" t="s">
        <v>63</v>
      </c>
      <c r="F412" t="s">
        <v>1165</v>
      </c>
      <c r="G412" t="s">
        <v>1717</v>
      </c>
      <c r="H412" t="s">
        <v>1236</v>
      </c>
      <c r="I412" t="s">
        <v>947</v>
      </c>
      <c r="J412" t="s">
        <v>920</v>
      </c>
      <c r="K412" t="s">
        <v>1776</v>
      </c>
      <c r="L412" t="s">
        <v>1008</v>
      </c>
      <c r="M412" t="s">
        <v>908</v>
      </c>
      <c r="N412" t="s">
        <v>2329</v>
      </c>
      <c r="O412" t="s">
        <v>1029</v>
      </c>
      <c r="P412" t="s">
        <v>964</v>
      </c>
      <c r="Q412" t="s">
        <v>1004</v>
      </c>
      <c r="R412" t="s">
        <v>1074</v>
      </c>
      <c r="S412" t="s">
        <v>945</v>
      </c>
      <c r="T412" t="s">
        <v>922</v>
      </c>
      <c r="U412" t="s">
        <v>2330</v>
      </c>
      <c r="V412" t="s">
        <v>1094</v>
      </c>
      <c r="W412" t="s">
        <v>1230</v>
      </c>
      <c r="X412" t="s">
        <v>922</v>
      </c>
      <c r="Y412" t="s">
        <v>1230</v>
      </c>
      <c r="Z412" t="s">
        <v>991</v>
      </c>
      <c r="AA412" t="s">
        <v>934</v>
      </c>
      <c r="AB412" t="s">
        <v>1008</v>
      </c>
      <c r="AC412" t="s">
        <v>923</v>
      </c>
      <c r="AD412" t="s">
        <v>940</v>
      </c>
      <c r="AE412" t="s">
        <v>927</v>
      </c>
      <c r="AF412">
        <f t="shared" si="12"/>
        <v>6.4999999999999991</v>
      </c>
      <c r="AG412">
        <f t="shared" si="13"/>
        <v>6.5215000000000005</v>
      </c>
    </row>
    <row r="413" spans="1:33" x14ac:dyDescent="0.25">
      <c r="A413" t="s">
        <v>2331</v>
      </c>
      <c r="B413" t="s">
        <v>2332</v>
      </c>
      <c r="C413" t="s">
        <v>950</v>
      </c>
      <c r="D413" t="s">
        <v>121</v>
      </c>
      <c r="E413" t="s">
        <v>93</v>
      </c>
      <c r="F413" t="s">
        <v>1377</v>
      </c>
      <c r="G413" t="s">
        <v>1031</v>
      </c>
      <c r="H413" t="s">
        <v>1314</v>
      </c>
      <c r="I413" t="s">
        <v>947</v>
      </c>
      <c r="J413" t="s">
        <v>1329</v>
      </c>
      <c r="K413" t="s">
        <v>1240</v>
      </c>
      <c r="L413" t="s">
        <v>945</v>
      </c>
      <c r="M413" t="s">
        <v>1000</v>
      </c>
      <c r="N413" t="s">
        <v>1267</v>
      </c>
      <c r="O413" t="s">
        <v>1064</v>
      </c>
      <c r="P413" t="s">
        <v>956</v>
      </c>
      <c r="Q413" t="s">
        <v>1057</v>
      </c>
      <c r="R413" t="s">
        <v>1171</v>
      </c>
      <c r="S413" t="s">
        <v>987</v>
      </c>
      <c r="T413" t="s">
        <v>945</v>
      </c>
      <c r="U413" t="s">
        <v>2333</v>
      </c>
      <c r="V413" t="s">
        <v>945</v>
      </c>
      <c r="W413" t="s">
        <v>1000</v>
      </c>
      <c r="X413" t="s">
        <v>1211</v>
      </c>
      <c r="Y413" t="s">
        <v>945</v>
      </c>
      <c r="Z413" t="s">
        <v>969</v>
      </c>
      <c r="AA413" t="s">
        <v>1094</v>
      </c>
      <c r="AB413" t="s">
        <v>969</v>
      </c>
      <c r="AC413" t="s">
        <v>945</v>
      </c>
      <c r="AD413" t="s">
        <v>940</v>
      </c>
      <c r="AE413" t="s">
        <v>927</v>
      </c>
      <c r="AF413">
        <f t="shared" si="12"/>
        <v>6.5999999999999988</v>
      </c>
      <c r="AG413">
        <f t="shared" si="13"/>
        <v>6.5440000000000005</v>
      </c>
    </row>
    <row r="414" spans="1:33" x14ac:dyDescent="0.25">
      <c r="A414" t="s">
        <v>2334</v>
      </c>
      <c r="B414" t="s">
        <v>2335</v>
      </c>
      <c r="C414" t="s">
        <v>995</v>
      </c>
      <c r="D414" t="s">
        <v>48</v>
      </c>
      <c r="E414" t="s">
        <v>63</v>
      </c>
      <c r="F414" t="s">
        <v>1068</v>
      </c>
      <c r="G414" t="s">
        <v>901</v>
      </c>
      <c r="H414" t="s">
        <v>1296</v>
      </c>
      <c r="I414" t="s">
        <v>993</v>
      </c>
      <c r="J414" t="s">
        <v>1005</v>
      </c>
      <c r="K414" t="s">
        <v>1451</v>
      </c>
      <c r="L414" t="s">
        <v>969</v>
      </c>
      <c r="M414" t="s">
        <v>922</v>
      </c>
      <c r="N414" t="s">
        <v>1111</v>
      </c>
      <c r="O414" t="s">
        <v>1049</v>
      </c>
      <c r="P414" t="s">
        <v>1000</v>
      </c>
      <c r="Q414" t="s">
        <v>1370</v>
      </c>
      <c r="R414" t="s">
        <v>1522</v>
      </c>
      <c r="S414" t="s">
        <v>987</v>
      </c>
      <c r="T414" t="s">
        <v>923</v>
      </c>
      <c r="U414" t="s">
        <v>1243</v>
      </c>
      <c r="V414" t="s">
        <v>1065</v>
      </c>
      <c r="W414" t="s">
        <v>1230</v>
      </c>
      <c r="X414" t="s">
        <v>1049</v>
      </c>
      <c r="Y414" t="s">
        <v>968</v>
      </c>
      <c r="Z414" t="s">
        <v>1008</v>
      </c>
      <c r="AA414" t="s">
        <v>1119</v>
      </c>
      <c r="AB414" t="s">
        <v>987</v>
      </c>
      <c r="AC414" t="s">
        <v>1049</v>
      </c>
      <c r="AD414" t="s">
        <v>940</v>
      </c>
      <c r="AE414" t="s">
        <v>927</v>
      </c>
      <c r="AF414">
        <f t="shared" si="12"/>
        <v>6.3999999999999995</v>
      </c>
      <c r="AG414">
        <f t="shared" si="13"/>
        <v>6.5086999999999993</v>
      </c>
    </row>
    <row r="415" spans="1:33" x14ac:dyDescent="0.25">
      <c r="A415" t="s">
        <v>2336</v>
      </c>
      <c r="B415" t="s">
        <v>2337</v>
      </c>
      <c r="C415" t="s">
        <v>1204</v>
      </c>
      <c r="D415" t="s">
        <v>1223</v>
      </c>
      <c r="E415" t="s">
        <v>63</v>
      </c>
      <c r="F415" t="s">
        <v>1070</v>
      </c>
      <c r="G415" t="s">
        <v>1121</v>
      </c>
      <c r="H415" t="s">
        <v>1487</v>
      </c>
      <c r="I415" t="s">
        <v>1104</v>
      </c>
      <c r="J415" t="s">
        <v>1134</v>
      </c>
      <c r="K415" t="s">
        <v>1077</v>
      </c>
      <c r="L415" t="s">
        <v>1065</v>
      </c>
      <c r="M415" t="s">
        <v>1310</v>
      </c>
      <c r="N415" t="s">
        <v>1977</v>
      </c>
      <c r="O415" t="s">
        <v>947</v>
      </c>
      <c r="P415" t="s">
        <v>970</v>
      </c>
      <c r="Q415" t="s">
        <v>2185</v>
      </c>
      <c r="R415" t="s">
        <v>2149</v>
      </c>
      <c r="S415" t="s">
        <v>991</v>
      </c>
      <c r="T415" t="s">
        <v>969</v>
      </c>
      <c r="U415" t="s">
        <v>1801</v>
      </c>
      <c r="V415" t="s">
        <v>918</v>
      </c>
      <c r="W415" t="s">
        <v>908</v>
      </c>
      <c r="X415" t="s">
        <v>1135</v>
      </c>
      <c r="Y415" t="s">
        <v>1195</v>
      </c>
      <c r="Z415" t="s">
        <v>987</v>
      </c>
      <c r="AA415" t="s">
        <v>1094</v>
      </c>
      <c r="AB415" t="s">
        <v>969</v>
      </c>
      <c r="AC415" t="s">
        <v>922</v>
      </c>
      <c r="AD415" t="s">
        <v>940</v>
      </c>
      <c r="AE415" t="s">
        <v>927</v>
      </c>
      <c r="AF415">
        <f t="shared" si="12"/>
        <v>6.5</v>
      </c>
      <c r="AG415">
        <f t="shared" si="13"/>
        <v>6.4475999999999987</v>
      </c>
    </row>
    <row r="416" spans="1:33" x14ac:dyDescent="0.25">
      <c r="A416" t="s">
        <v>2338</v>
      </c>
      <c r="B416" t="s">
        <v>2339</v>
      </c>
      <c r="C416" t="s">
        <v>1293</v>
      </c>
      <c r="D416" t="s">
        <v>974</v>
      </c>
      <c r="E416" t="s">
        <v>93</v>
      </c>
      <c r="F416" t="s">
        <v>1446</v>
      </c>
      <c r="G416" t="s">
        <v>1137</v>
      </c>
      <c r="H416" t="s">
        <v>1527</v>
      </c>
      <c r="I416" t="s">
        <v>924</v>
      </c>
      <c r="J416" t="s">
        <v>957</v>
      </c>
      <c r="K416" t="s">
        <v>1262</v>
      </c>
      <c r="L416" t="s">
        <v>1065</v>
      </c>
      <c r="M416" t="s">
        <v>922</v>
      </c>
      <c r="N416" t="s">
        <v>1763</v>
      </c>
      <c r="O416" t="s">
        <v>1049</v>
      </c>
      <c r="P416" t="s">
        <v>946</v>
      </c>
      <c r="Q416" t="s">
        <v>942</v>
      </c>
      <c r="R416" t="s">
        <v>1192</v>
      </c>
      <c r="S416" t="s">
        <v>1064</v>
      </c>
      <c r="T416" t="s">
        <v>945</v>
      </c>
      <c r="U416" t="s">
        <v>2340</v>
      </c>
      <c r="V416" t="s">
        <v>1029</v>
      </c>
      <c r="W416" t="s">
        <v>964</v>
      </c>
      <c r="X416" t="s">
        <v>1047</v>
      </c>
      <c r="Y416" t="s">
        <v>922</v>
      </c>
      <c r="Z416" t="s">
        <v>1065</v>
      </c>
      <c r="AA416" t="s">
        <v>1065</v>
      </c>
      <c r="AB416" t="s">
        <v>918</v>
      </c>
      <c r="AC416" t="s">
        <v>908</v>
      </c>
      <c r="AD416" t="s">
        <v>921</v>
      </c>
      <c r="AE416" t="s">
        <v>927</v>
      </c>
      <c r="AF416">
        <f t="shared" si="12"/>
        <v>6.4</v>
      </c>
      <c r="AG416">
        <f t="shared" si="13"/>
        <v>6.3042000000000007</v>
      </c>
    </row>
    <row r="417" spans="1:33" x14ac:dyDescent="0.25">
      <c r="A417" t="s">
        <v>2338</v>
      </c>
      <c r="B417" t="s">
        <v>2339</v>
      </c>
      <c r="C417" t="s">
        <v>1293</v>
      </c>
      <c r="D417" t="s">
        <v>70</v>
      </c>
      <c r="E417" t="s">
        <v>72</v>
      </c>
      <c r="F417" t="s">
        <v>1068</v>
      </c>
      <c r="G417" t="s">
        <v>972</v>
      </c>
      <c r="H417" t="s">
        <v>931</v>
      </c>
      <c r="I417" t="s">
        <v>922</v>
      </c>
      <c r="J417" t="s">
        <v>1030</v>
      </c>
      <c r="K417" t="s">
        <v>1709</v>
      </c>
      <c r="L417" t="s">
        <v>991</v>
      </c>
      <c r="M417" t="s">
        <v>1195</v>
      </c>
      <c r="N417" t="s">
        <v>2259</v>
      </c>
      <c r="O417" t="s">
        <v>1195</v>
      </c>
      <c r="P417" t="s">
        <v>924</v>
      </c>
      <c r="Q417" t="s">
        <v>1042</v>
      </c>
      <c r="R417" t="s">
        <v>1090</v>
      </c>
      <c r="S417" t="s">
        <v>918</v>
      </c>
      <c r="T417" t="s">
        <v>923</v>
      </c>
      <c r="U417" t="s">
        <v>1397</v>
      </c>
      <c r="V417" t="s">
        <v>1064</v>
      </c>
      <c r="W417" t="s">
        <v>968</v>
      </c>
      <c r="X417" t="s">
        <v>1104</v>
      </c>
      <c r="Y417" t="s">
        <v>1230</v>
      </c>
      <c r="Z417" t="s">
        <v>991</v>
      </c>
      <c r="AA417" t="s">
        <v>991</v>
      </c>
      <c r="AB417" t="s">
        <v>969</v>
      </c>
      <c r="AC417" t="s">
        <v>1049</v>
      </c>
      <c r="AD417" t="s">
        <v>1211</v>
      </c>
      <c r="AE417" t="s">
        <v>927</v>
      </c>
      <c r="AF417">
        <f t="shared" si="12"/>
        <v>4.7</v>
      </c>
      <c r="AG417">
        <f t="shared" si="13"/>
        <v>4.6972000000000005</v>
      </c>
    </row>
    <row r="418" spans="1:33" x14ac:dyDescent="0.25">
      <c r="A418" t="s">
        <v>2338</v>
      </c>
      <c r="B418" t="s">
        <v>2339</v>
      </c>
      <c r="C418" t="s">
        <v>1293</v>
      </c>
      <c r="D418" t="s">
        <v>131</v>
      </c>
      <c r="E418" t="s">
        <v>93</v>
      </c>
      <c r="F418" t="s">
        <v>1015</v>
      </c>
      <c r="G418" t="s">
        <v>1083</v>
      </c>
      <c r="H418" t="s">
        <v>932</v>
      </c>
      <c r="I418" t="s">
        <v>970</v>
      </c>
      <c r="J418" t="s">
        <v>1059</v>
      </c>
      <c r="K418" t="s">
        <v>1369</v>
      </c>
      <c r="L418" t="s">
        <v>969</v>
      </c>
      <c r="M418" t="s">
        <v>908</v>
      </c>
      <c r="N418" t="s">
        <v>2341</v>
      </c>
      <c r="O418" t="s">
        <v>1012</v>
      </c>
      <c r="P418" t="s">
        <v>1160</v>
      </c>
      <c r="Q418" t="s">
        <v>2320</v>
      </c>
      <c r="R418" t="s">
        <v>1561</v>
      </c>
      <c r="S418" t="s">
        <v>1230</v>
      </c>
      <c r="T418" t="s">
        <v>1310</v>
      </c>
      <c r="U418" t="s">
        <v>2342</v>
      </c>
      <c r="V418" t="s">
        <v>947</v>
      </c>
      <c r="W418" t="s">
        <v>1103</v>
      </c>
      <c r="X418" t="s">
        <v>1112</v>
      </c>
      <c r="Y418" t="s">
        <v>908</v>
      </c>
      <c r="Z418" t="s">
        <v>1065</v>
      </c>
      <c r="AA418" t="s">
        <v>1065</v>
      </c>
      <c r="AB418" t="s">
        <v>1195</v>
      </c>
      <c r="AC418" t="s">
        <v>925</v>
      </c>
      <c r="AD418" t="s">
        <v>1152</v>
      </c>
      <c r="AE418" t="s">
        <v>927</v>
      </c>
      <c r="AF418">
        <f t="shared" si="12"/>
        <v>8.6</v>
      </c>
      <c r="AG418">
        <f t="shared" si="13"/>
        <v>8.6</v>
      </c>
    </row>
    <row r="419" spans="1:33" x14ac:dyDescent="0.25">
      <c r="A419" t="s">
        <v>2343</v>
      </c>
      <c r="B419" t="s">
        <v>204</v>
      </c>
      <c r="C419" t="s">
        <v>929</v>
      </c>
      <c r="D419" t="s">
        <v>79</v>
      </c>
      <c r="E419" t="s">
        <v>56</v>
      </c>
      <c r="F419" t="s">
        <v>1322</v>
      </c>
      <c r="G419" t="s">
        <v>1165</v>
      </c>
      <c r="H419" t="s">
        <v>1899</v>
      </c>
      <c r="I419" t="s">
        <v>1012</v>
      </c>
      <c r="J419" t="s">
        <v>1126</v>
      </c>
      <c r="K419" t="s">
        <v>1577</v>
      </c>
      <c r="L419" t="s">
        <v>923</v>
      </c>
      <c r="M419" t="s">
        <v>1135</v>
      </c>
      <c r="N419" t="s">
        <v>2238</v>
      </c>
      <c r="O419" t="s">
        <v>1029</v>
      </c>
      <c r="P419" t="s">
        <v>964</v>
      </c>
      <c r="Q419" t="s">
        <v>1209</v>
      </c>
      <c r="R419" t="s">
        <v>1144</v>
      </c>
      <c r="S419" t="s">
        <v>934</v>
      </c>
      <c r="T419" t="s">
        <v>1094</v>
      </c>
      <c r="U419" t="s">
        <v>2121</v>
      </c>
      <c r="V419" t="s">
        <v>1008</v>
      </c>
      <c r="W419" t="s">
        <v>1220</v>
      </c>
      <c r="X419" t="s">
        <v>1000</v>
      </c>
      <c r="Y419" t="s">
        <v>1104</v>
      </c>
      <c r="Z419" t="s">
        <v>922</v>
      </c>
      <c r="AA419" t="s">
        <v>991</v>
      </c>
      <c r="AB419" t="s">
        <v>923</v>
      </c>
      <c r="AC419" t="s">
        <v>1220</v>
      </c>
      <c r="AD419" t="s">
        <v>921</v>
      </c>
      <c r="AE419" t="s">
        <v>927</v>
      </c>
      <c r="AF419">
        <f t="shared" si="12"/>
        <v>6.4</v>
      </c>
      <c r="AG419">
        <f t="shared" si="13"/>
        <v>6.4038000000000013</v>
      </c>
    </row>
    <row r="420" spans="1:33" x14ac:dyDescent="0.25">
      <c r="A420" t="s">
        <v>2344</v>
      </c>
      <c r="B420" t="s">
        <v>2345</v>
      </c>
      <c r="C420" t="s">
        <v>1232</v>
      </c>
      <c r="D420" t="s">
        <v>97</v>
      </c>
      <c r="E420" t="s">
        <v>47</v>
      </c>
      <c r="F420" t="s">
        <v>1598</v>
      </c>
      <c r="G420" t="s">
        <v>928</v>
      </c>
      <c r="H420" t="s">
        <v>1635</v>
      </c>
      <c r="I420" t="s">
        <v>924</v>
      </c>
      <c r="J420" t="s">
        <v>1005</v>
      </c>
      <c r="K420" t="s">
        <v>1268</v>
      </c>
      <c r="L420" t="s">
        <v>991</v>
      </c>
      <c r="M420" t="s">
        <v>1049</v>
      </c>
      <c r="N420" t="s">
        <v>1957</v>
      </c>
      <c r="O420" t="s">
        <v>956</v>
      </c>
      <c r="P420" t="s">
        <v>970</v>
      </c>
      <c r="Q420" t="s">
        <v>2053</v>
      </c>
      <c r="R420" t="s">
        <v>1208</v>
      </c>
      <c r="S420" t="s">
        <v>1064</v>
      </c>
      <c r="T420" t="s">
        <v>1310</v>
      </c>
      <c r="U420" t="s">
        <v>1484</v>
      </c>
      <c r="V420" t="s">
        <v>1065</v>
      </c>
      <c r="W420" t="s">
        <v>925</v>
      </c>
      <c r="X420" t="s">
        <v>1220</v>
      </c>
      <c r="Y420" t="s">
        <v>923</v>
      </c>
      <c r="Z420" t="s">
        <v>969</v>
      </c>
      <c r="AA420" t="s">
        <v>934</v>
      </c>
      <c r="AB420" t="s">
        <v>918</v>
      </c>
      <c r="AC420" t="s">
        <v>922</v>
      </c>
      <c r="AD420" t="s">
        <v>921</v>
      </c>
      <c r="AE420" t="s">
        <v>927</v>
      </c>
      <c r="AF420">
        <f t="shared" si="12"/>
        <v>6.3000000000000007</v>
      </c>
      <c r="AG420">
        <f t="shared" si="13"/>
        <v>6.3788</v>
      </c>
    </row>
    <row r="421" spans="1:33" x14ac:dyDescent="0.25">
      <c r="A421" t="s">
        <v>2346</v>
      </c>
      <c r="B421" t="s">
        <v>2347</v>
      </c>
      <c r="C421" t="s">
        <v>1084</v>
      </c>
      <c r="D421" t="s">
        <v>974</v>
      </c>
      <c r="E421" t="s">
        <v>93</v>
      </c>
      <c r="F421" t="s">
        <v>1414</v>
      </c>
      <c r="G421" t="s">
        <v>1202</v>
      </c>
      <c r="H421" t="s">
        <v>998</v>
      </c>
      <c r="I421" t="s">
        <v>1012</v>
      </c>
      <c r="J421" t="s">
        <v>957</v>
      </c>
      <c r="K421" t="s">
        <v>1592</v>
      </c>
      <c r="L421" t="s">
        <v>1094</v>
      </c>
      <c r="M421" t="s">
        <v>1195</v>
      </c>
      <c r="N421" t="s">
        <v>1934</v>
      </c>
      <c r="O421" t="s">
        <v>925</v>
      </c>
      <c r="P421" t="s">
        <v>970</v>
      </c>
      <c r="Q421" t="s">
        <v>1891</v>
      </c>
      <c r="R421" t="s">
        <v>1482</v>
      </c>
      <c r="S421" t="s">
        <v>918</v>
      </c>
      <c r="T421" t="s">
        <v>1064</v>
      </c>
      <c r="U421" t="s">
        <v>2348</v>
      </c>
      <c r="V421" t="s">
        <v>1008</v>
      </c>
      <c r="W421" t="s">
        <v>925</v>
      </c>
      <c r="X421" t="s">
        <v>964</v>
      </c>
      <c r="Y421" t="s">
        <v>1064</v>
      </c>
      <c r="Z421" t="s">
        <v>991</v>
      </c>
      <c r="AA421" t="s">
        <v>1065</v>
      </c>
      <c r="AB421" t="s">
        <v>969</v>
      </c>
      <c r="AC421" t="s">
        <v>947</v>
      </c>
      <c r="AD421" t="s">
        <v>921</v>
      </c>
      <c r="AE421" t="s">
        <v>927</v>
      </c>
      <c r="AF421">
        <f t="shared" si="12"/>
        <v>6.4</v>
      </c>
      <c r="AG421">
        <f t="shared" si="13"/>
        <v>6.438600000000001</v>
      </c>
    </row>
    <row r="422" spans="1:33" x14ac:dyDescent="0.25">
      <c r="A422" t="s">
        <v>2346</v>
      </c>
      <c r="B422" t="s">
        <v>2347</v>
      </c>
      <c r="C422" t="s">
        <v>1084</v>
      </c>
      <c r="D422" t="s">
        <v>108</v>
      </c>
      <c r="E422" t="s">
        <v>93</v>
      </c>
      <c r="F422" t="s">
        <v>1084</v>
      </c>
      <c r="G422" t="s">
        <v>1067</v>
      </c>
      <c r="H422" t="s">
        <v>1017</v>
      </c>
      <c r="I422" t="s">
        <v>993</v>
      </c>
      <c r="J422" t="s">
        <v>919</v>
      </c>
      <c r="K422" t="s">
        <v>1780</v>
      </c>
      <c r="L422" t="s">
        <v>1094</v>
      </c>
      <c r="M422" t="s">
        <v>918</v>
      </c>
      <c r="N422" t="s">
        <v>1679</v>
      </c>
      <c r="O422" t="s">
        <v>925</v>
      </c>
      <c r="P422" t="s">
        <v>970</v>
      </c>
      <c r="Q422" t="s">
        <v>1611</v>
      </c>
      <c r="R422" t="s">
        <v>2349</v>
      </c>
      <c r="S422" t="s">
        <v>923</v>
      </c>
      <c r="T422" t="s">
        <v>945</v>
      </c>
      <c r="U422" t="s">
        <v>1884</v>
      </c>
      <c r="V422" t="s">
        <v>918</v>
      </c>
      <c r="W422" t="s">
        <v>908</v>
      </c>
      <c r="X422" t="s">
        <v>1135</v>
      </c>
      <c r="Y422" t="s">
        <v>987</v>
      </c>
      <c r="Z422" t="s">
        <v>1065</v>
      </c>
      <c r="AA422" t="s">
        <v>1008</v>
      </c>
      <c r="AB422" t="s">
        <v>1065</v>
      </c>
      <c r="AC422" t="s">
        <v>1012</v>
      </c>
      <c r="AD422" t="s">
        <v>921</v>
      </c>
      <c r="AE422" t="s">
        <v>927</v>
      </c>
      <c r="AF422">
        <f t="shared" si="12"/>
        <v>6.3000000000000007</v>
      </c>
      <c r="AG422">
        <f t="shared" si="13"/>
        <v>6.3678999999999997</v>
      </c>
    </row>
    <row r="423" spans="1:33" x14ac:dyDescent="0.25">
      <c r="A423" t="s">
        <v>2346</v>
      </c>
      <c r="B423" t="s">
        <v>2347</v>
      </c>
      <c r="C423" t="s">
        <v>1084</v>
      </c>
      <c r="D423" t="s">
        <v>45</v>
      </c>
      <c r="E423" t="s">
        <v>47</v>
      </c>
      <c r="F423" t="s">
        <v>1232</v>
      </c>
      <c r="G423" t="s">
        <v>1096</v>
      </c>
      <c r="H423" t="s">
        <v>1883</v>
      </c>
      <c r="I423" t="s">
        <v>1012</v>
      </c>
      <c r="J423" t="s">
        <v>1329</v>
      </c>
      <c r="K423" t="s">
        <v>1565</v>
      </c>
      <c r="L423" t="s">
        <v>991</v>
      </c>
      <c r="M423" t="s">
        <v>1049</v>
      </c>
      <c r="N423" t="s">
        <v>2350</v>
      </c>
      <c r="O423" t="s">
        <v>947</v>
      </c>
      <c r="P423" t="s">
        <v>1000</v>
      </c>
      <c r="Q423" t="s">
        <v>2219</v>
      </c>
      <c r="R423" t="s">
        <v>1144</v>
      </c>
      <c r="S423" t="s">
        <v>1008</v>
      </c>
      <c r="T423" t="s">
        <v>918</v>
      </c>
      <c r="U423" t="s">
        <v>1680</v>
      </c>
      <c r="V423" t="s">
        <v>1065</v>
      </c>
      <c r="W423" t="s">
        <v>947</v>
      </c>
      <c r="X423" t="s">
        <v>1104</v>
      </c>
      <c r="Y423" t="s">
        <v>1310</v>
      </c>
      <c r="Z423" t="s">
        <v>1094</v>
      </c>
      <c r="AA423" t="s">
        <v>1094</v>
      </c>
      <c r="AB423" t="s">
        <v>969</v>
      </c>
      <c r="AC423" t="s">
        <v>908</v>
      </c>
      <c r="AD423" t="s">
        <v>1044</v>
      </c>
      <c r="AE423" t="s">
        <v>927</v>
      </c>
      <c r="AF423">
        <f t="shared" si="12"/>
        <v>6.3000000000000007</v>
      </c>
      <c r="AG423">
        <f t="shared" si="13"/>
        <v>6.3611000000000013</v>
      </c>
    </row>
    <row r="424" spans="1:33" x14ac:dyDescent="0.25">
      <c r="A424" t="s">
        <v>2351</v>
      </c>
      <c r="B424" t="s">
        <v>192</v>
      </c>
      <c r="C424" t="s">
        <v>1015</v>
      </c>
      <c r="D424" t="s">
        <v>1014</v>
      </c>
      <c r="E424" t="s">
        <v>56</v>
      </c>
      <c r="F424" t="s">
        <v>1052</v>
      </c>
      <c r="G424" t="s">
        <v>1121</v>
      </c>
      <c r="H424" t="s">
        <v>998</v>
      </c>
      <c r="I424" t="s">
        <v>947</v>
      </c>
      <c r="J424" t="s">
        <v>1079</v>
      </c>
      <c r="K424" t="s">
        <v>1719</v>
      </c>
      <c r="L424" t="s">
        <v>1310</v>
      </c>
      <c r="M424" t="s">
        <v>1170</v>
      </c>
      <c r="N424" t="s">
        <v>1886</v>
      </c>
      <c r="O424" t="s">
        <v>987</v>
      </c>
      <c r="P424" t="s">
        <v>1310</v>
      </c>
      <c r="Q424" t="s">
        <v>1615</v>
      </c>
      <c r="R424" t="s">
        <v>1022</v>
      </c>
      <c r="S424" t="s">
        <v>934</v>
      </c>
      <c r="T424" t="s">
        <v>1094</v>
      </c>
      <c r="U424" t="s">
        <v>1999</v>
      </c>
      <c r="V424" t="s">
        <v>1094</v>
      </c>
      <c r="W424" t="s">
        <v>923</v>
      </c>
      <c r="X424" t="s">
        <v>1195</v>
      </c>
      <c r="Y424" t="s">
        <v>1230</v>
      </c>
      <c r="Z424" t="s">
        <v>1008</v>
      </c>
      <c r="AA424" t="s">
        <v>934</v>
      </c>
      <c r="AB424" t="s">
        <v>969</v>
      </c>
      <c r="AC424" t="s">
        <v>908</v>
      </c>
      <c r="AD424" t="s">
        <v>921</v>
      </c>
      <c r="AE424" t="s">
        <v>927</v>
      </c>
      <c r="AF424">
        <f t="shared" si="12"/>
        <v>6.3</v>
      </c>
      <c r="AG424">
        <f t="shared" si="13"/>
        <v>6.3638999999999992</v>
      </c>
    </row>
    <row r="425" spans="1:33" x14ac:dyDescent="0.25">
      <c r="A425" t="s">
        <v>2352</v>
      </c>
      <c r="B425" t="s">
        <v>2353</v>
      </c>
      <c r="C425" t="s">
        <v>973</v>
      </c>
      <c r="D425" t="s">
        <v>70</v>
      </c>
      <c r="E425" t="s">
        <v>93</v>
      </c>
      <c r="F425" t="s">
        <v>1512</v>
      </c>
      <c r="G425" t="s">
        <v>1717</v>
      </c>
      <c r="H425" t="s">
        <v>953</v>
      </c>
      <c r="I425" t="s">
        <v>947</v>
      </c>
      <c r="J425" t="s">
        <v>1211</v>
      </c>
      <c r="K425" t="s">
        <v>2024</v>
      </c>
      <c r="L425" t="s">
        <v>923</v>
      </c>
      <c r="M425" t="s">
        <v>1012</v>
      </c>
      <c r="N425" t="s">
        <v>1411</v>
      </c>
      <c r="O425" t="s">
        <v>1195</v>
      </c>
      <c r="P425" t="s">
        <v>956</v>
      </c>
      <c r="Q425" t="s">
        <v>1880</v>
      </c>
      <c r="R425" t="s">
        <v>1325</v>
      </c>
      <c r="S425" t="s">
        <v>1008</v>
      </c>
      <c r="T425" t="s">
        <v>923</v>
      </c>
      <c r="U425" t="s">
        <v>2254</v>
      </c>
      <c r="V425" t="s">
        <v>923</v>
      </c>
      <c r="W425" t="s">
        <v>956</v>
      </c>
      <c r="X425" t="s">
        <v>946</v>
      </c>
      <c r="Y425" t="s">
        <v>987</v>
      </c>
      <c r="Z425" t="s">
        <v>991</v>
      </c>
      <c r="AA425" t="s">
        <v>1094</v>
      </c>
      <c r="AB425" t="s">
        <v>991</v>
      </c>
      <c r="AC425" t="s">
        <v>923</v>
      </c>
      <c r="AD425" t="s">
        <v>1044</v>
      </c>
      <c r="AE425" t="s">
        <v>927</v>
      </c>
      <c r="AF425">
        <f t="shared" si="12"/>
        <v>6.3</v>
      </c>
      <c r="AG425">
        <f t="shared" si="13"/>
        <v>6.3503999999999987</v>
      </c>
    </row>
    <row r="426" spans="1:33" x14ac:dyDescent="0.25">
      <c r="A426" t="s">
        <v>2354</v>
      </c>
      <c r="B426" t="s">
        <v>2355</v>
      </c>
      <c r="C426" t="s">
        <v>1084</v>
      </c>
      <c r="D426" t="s">
        <v>83</v>
      </c>
      <c r="E426" t="s">
        <v>93</v>
      </c>
      <c r="F426" t="s">
        <v>1535</v>
      </c>
      <c r="G426" t="s">
        <v>1096</v>
      </c>
      <c r="H426" t="s">
        <v>1304</v>
      </c>
      <c r="I426" t="s">
        <v>924</v>
      </c>
      <c r="J426" t="s">
        <v>1043</v>
      </c>
      <c r="K426" t="s">
        <v>1665</v>
      </c>
      <c r="L426" t="s">
        <v>987</v>
      </c>
      <c r="M426" t="s">
        <v>993</v>
      </c>
      <c r="N426" t="s">
        <v>1997</v>
      </c>
      <c r="O426" t="s">
        <v>1310</v>
      </c>
      <c r="P426" t="s">
        <v>1104</v>
      </c>
      <c r="Q426" t="s">
        <v>1522</v>
      </c>
      <c r="R426" t="s">
        <v>984</v>
      </c>
      <c r="S426" t="s">
        <v>1008</v>
      </c>
      <c r="T426" t="s">
        <v>987</v>
      </c>
      <c r="U426" t="s">
        <v>1252</v>
      </c>
      <c r="V426" t="s">
        <v>922</v>
      </c>
      <c r="W426" t="s">
        <v>946</v>
      </c>
      <c r="X426" t="s">
        <v>1134</v>
      </c>
      <c r="Y426" t="s">
        <v>1195</v>
      </c>
      <c r="Z426" t="s">
        <v>969</v>
      </c>
      <c r="AA426" t="s">
        <v>1119</v>
      </c>
      <c r="AB426" t="s">
        <v>987</v>
      </c>
      <c r="AC426" t="s">
        <v>945</v>
      </c>
      <c r="AD426" t="s">
        <v>1044</v>
      </c>
      <c r="AE426" t="s">
        <v>927</v>
      </c>
      <c r="AF426">
        <f t="shared" si="12"/>
        <v>6.3</v>
      </c>
      <c r="AG426">
        <f t="shared" si="13"/>
        <v>6.3455000000000004</v>
      </c>
    </row>
    <row r="427" spans="1:33" x14ac:dyDescent="0.25">
      <c r="A427" t="s">
        <v>2356</v>
      </c>
      <c r="B427" t="s">
        <v>2357</v>
      </c>
      <c r="C427" t="s">
        <v>929</v>
      </c>
      <c r="D427" t="s">
        <v>48</v>
      </c>
      <c r="E427" t="s">
        <v>93</v>
      </c>
      <c r="F427" t="s">
        <v>1377</v>
      </c>
      <c r="G427" t="s">
        <v>1067</v>
      </c>
      <c r="H427" t="s">
        <v>1345</v>
      </c>
      <c r="I427" t="s">
        <v>993</v>
      </c>
      <c r="J427" t="s">
        <v>1005</v>
      </c>
      <c r="K427" t="s">
        <v>1466</v>
      </c>
      <c r="L427" t="s">
        <v>923</v>
      </c>
      <c r="M427" t="s">
        <v>993</v>
      </c>
      <c r="N427" t="s">
        <v>1588</v>
      </c>
      <c r="O427" t="s">
        <v>1310</v>
      </c>
      <c r="P427" t="s">
        <v>1220</v>
      </c>
      <c r="Q427" t="s">
        <v>1077</v>
      </c>
      <c r="R427" t="s">
        <v>955</v>
      </c>
      <c r="S427" t="s">
        <v>991</v>
      </c>
      <c r="T427" t="s">
        <v>969</v>
      </c>
      <c r="U427" t="s">
        <v>1745</v>
      </c>
      <c r="V427" t="s">
        <v>918</v>
      </c>
      <c r="W427" t="s">
        <v>1012</v>
      </c>
      <c r="X427" t="s">
        <v>979</v>
      </c>
      <c r="Y427" t="s">
        <v>1230</v>
      </c>
      <c r="Z427" t="s">
        <v>969</v>
      </c>
      <c r="AA427" t="s">
        <v>1119</v>
      </c>
      <c r="AB427" t="s">
        <v>969</v>
      </c>
      <c r="AC427" t="s">
        <v>1029</v>
      </c>
      <c r="AD427" t="s">
        <v>1044</v>
      </c>
      <c r="AE427" t="s">
        <v>927</v>
      </c>
      <c r="AF427">
        <f t="shared" si="12"/>
        <v>6.4</v>
      </c>
      <c r="AG427">
        <f t="shared" si="13"/>
        <v>6.3105999999999991</v>
      </c>
    </row>
    <row r="428" spans="1:33" x14ac:dyDescent="0.25">
      <c r="A428" t="s">
        <v>2358</v>
      </c>
      <c r="B428" t="s">
        <v>2359</v>
      </c>
      <c r="C428" t="s">
        <v>1084</v>
      </c>
      <c r="D428" t="s">
        <v>974</v>
      </c>
      <c r="E428" t="s">
        <v>56</v>
      </c>
      <c r="F428" t="s">
        <v>1084</v>
      </c>
      <c r="G428" t="s">
        <v>1717</v>
      </c>
      <c r="H428" t="s">
        <v>1450</v>
      </c>
      <c r="I428" t="s">
        <v>956</v>
      </c>
      <c r="J428" t="s">
        <v>1046</v>
      </c>
      <c r="K428" t="s">
        <v>1686</v>
      </c>
      <c r="L428" t="s">
        <v>1195</v>
      </c>
      <c r="M428" t="s">
        <v>1000</v>
      </c>
      <c r="N428" t="s">
        <v>1509</v>
      </c>
      <c r="O428" t="s">
        <v>969</v>
      </c>
      <c r="P428" t="s">
        <v>1310</v>
      </c>
      <c r="Q428" t="s">
        <v>958</v>
      </c>
      <c r="R428" t="s">
        <v>1226</v>
      </c>
      <c r="S428" t="s">
        <v>923</v>
      </c>
      <c r="T428" t="s">
        <v>1064</v>
      </c>
      <c r="U428" t="s">
        <v>2340</v>
      </c>
      <c r="V428" t="s">
        <v>934</v>
      </c>
      <c r="W428" t="s">
        <v>987</v>
      </c>
      <c r="X428" t="s">
        <v>923</v>
      </c>
      <c r="Y428" t="s">
        <v>1195</v>
      </c>
      <c r="Z428" t="s">
        <v>987</v>
      </c>
      <c r="AA428" t="s">
        <v>934</v>
      </c>
      <c r="AB428" t="s">
        <v>923</v>
      </c>
      <c r="AC428" t="s">
        <v>945</v>
      </c>
      <c r="AD428" t="s">
        <v>985</v>
      </c>
      <c r="AE428" t="s">
        <v>927</v>
      </c>
      <c r="AF428">
        <f t="shared" si="12"/>
        <v>6.3000000000000007</v>
      </c>
      <c r="AG428">
        <f t="shared" si="13"/>
        <v>6.2025000000000015</v>
      </c>
    </row>
    <row r="429" spans="1:33" x14ac:dyDescent="0.25">
      <c r="A429" t="s">
        <v>2358</v>
      </c>
      <c r="B429" t="s">
        <v>2359</v>
      </c>
      <c r="C429" t="s">
        <v>1084</v>
      </c>
      <c r="D429" t="s">
        <v>79</v>
      </c>
      <c r="E429" t="s">
        <v>56</v>
      </c>
      <c r="F429" t="s">
        <v>1238</v>
      </c>
      <c r="G429" t="s">
        <v>1717</v>
      </c>
      <c r="H429" t="s">
        <v>1368</v>
      </c>
      <c r="I429" t="s">
        <v>947</v>
      </c>
      <c r="J429" t="s">
        <v>1079</v>
      </c>
      <c r="K429" t="s">
        <v>1595</v>
      </c>
      <c r="L429" t="s">
        <v>1029</v>
      </c>
      <c r="M429" t="s">
        <v>1228</v>
      </c>
      <c r="N429" t="s">
        <v>1519</v>
      </c>
      <c r="O429" t="s">
        <v>1008</v>
      </c>
      <c r="P429" t="s">
        <v>968</v>
      </c>
      <c r="Q429" t="s">
        <v>1719</v>
      </c>
      <c r="R429" t="s">
        <v>1239</v>
      </c>
      <c r="S429" t="s">
        <v>945</v>
      </c>
      <c r="T429" t="s">
        <v>1195</v>
      </c>
      <c r="U429" t="s">
        <v>2340</v>
      </c>
      <c r="V429" t="s">
        <v>1094</v>
      </c>
      <c r="W429" t="s">
        <v>923</v>
      </c>
      <c r="X429" t="s">
        <v>945</v>
      </c>
      <c r="Y429" t="s">
        <v>1230</v>
      </c>
      <c r="Z429" t="s">
        <v>918</v>
      </c>
      <c r="AA429" t="s">
        <v>934</v>
      </c>
      <c r="AB429" t="s">
        <v>945</v>
      </c>
      <c r="AC429" t="s">
        <v>1195</v>
      </c>
      <c r="AD429" t="s">
        <v>1026</v>
      </c>
      <c r="AE429" t="s">
        <v>927</v>
      </c>
      <c r="AF429">
        <f t="shared" si="12"/>
        <v>7.4</v>
      </c>
      <c r="AG429">
        <f t="shared" si="13"/>
        <v>7.2465000000000002</v>
      </c>
    </row>
    <row r="430" spans="1:33" x14ac:dyDescent="0.25">
      <c r="A430" t="s">
        <v>2358</v>
      </c>
      <c r="B430" t="s">
        <v>2359</v>
      </c>
      <c r="C430" t="s">
        <v>1084</v>
      </c>
      <c r="D430" t="s">
        <v>102</v>
      </c>
      <c r="E430" t="s">
        <v>56</v>
      </c>
      <c r="F430" t="s">
        <v>972</v>
      </c>
      <c r="G430" t="s">
        <v>1717</v>
      </c>
      <c r="H430" t="s">
        <v>1170</v>
      </c>
      <c r="I430" t="s">
        <v>1065</v>
      </c>
      <c r="J430" t="s">
        <v>987</v>
      </c>
      <c r="K430" t="s">
        <v>1696</v>
      </c>
      <c r="L430" t="s">
        <v>1094</v>
      </c>
      <c r="M430" t="s">
        <v>1065</v>
      </c>
      <c r="N430" t="s">
        <v>1131</v>
      </c>
      <c r="O430" t="s">
        <v>1094</v>
      </c>
      <c r="P430" t="s">
        <v>1094</v>
      </c>
      <c r="Q430" t="s">
        <v>2146</v>
      </c>
      <c r="R430" t="s">
        <v>1765</v>
      </c>
      <c r="S430" t="s">
        <v>1600</v>
      </c>
      <c r="T430" t="s">
        <v>1600</v>
      </c>
      <c r="U430" t="s">
        <v>927</v>
      </c>
      <c r="V430" t="s">
        <v>1600</v>
      </c>
      <c r="W430" t="s">
        <v>1094</v>
      </c>
      <c r="X430" t="s">
        <v>1094</v>
      </c>
      <c r="Y430" t="s">
        <v>923</v>
      </c>
      <c r="Z430" t="s">
        <v>1600</v>
      </c>
      <c r="AA430" t="s">
        <v>1600</v>
      </c>
      <c r="AB430" t="s">
        <v>1094</v>
      </c>
      <c r="AC430" t="s">
        <v>987</v>
      </c>
      <c r="AD430" t="s">
        <v>1195</v>
      </c>
      <c r="AE430" t="s">
        <v>927</v>
      </c>
      <c r="AF430">
        <f t="shared" si="12"/>
        <v>1.2999999999999998</v>
      </c>
      <c r="AG430" t="e">
        <f t="shared" si="13"/>
        <v>#VALUE!</v>
      </c>
    </row>
    <row r="431" spans="1:33" x14ac:dyDescent="0.25">
      <c r="A431" t="s">
        <v>2360</v>
      </c>
      <c r="B431" t="s">
        <v>222</v>
      </c>
      <c r="C431" t="s">
        <v>1032</v>
      </c>
      <c r="D431" t="s">
        <v>163</v>
      </c>
      <c r="E431" t="s">
        <v>93</v>
      </c>
      <c r="F431" t="s">
        <v>1349</v>
      </c>
      <c r="G431" t="s">
        <v>1222</v>
      </c>
      <c r="H431" t="s">
        <v>1036</v>
      </c>
      <c r="I431" t="s">
        <v>993</v>
      </c>
      <c r="J431" t="s">
        <v>909</v>
      </c>
      <c r="K431" t="s">
        <v>1018</v>
      </c>
      <c r="L431" t="s">
        <v>1094</v>
      </c>
      <c r="M431" t="s">
        <v>1064</v>
      </c>
      <c r="N431" t="s">
        <v>2361</v>
      </c>
      <c r="O431" t="s">
        <v>925</v>
      </c>
      <c r="P431" t="s">
        <v>1047</v>
      </c>
      <c r="Q431" t="s">
        <v>1976</v>
      </c>
      <c r="R431" t="s">
        <v>1709</v>
      </c>
      <c r="S431" t="s">
        <v>923</v>
      </c>
      <c r="T431" t="s">
        <v>1195</v>
      </c>
      <c r="U431" t="s">
        <v>2297</v>
      </c>
      <c r="V431" t="s">
        <v>922</v>
      </c>
      <c r="W431" t="s">
        <v>1048</v>
      </c>
      <c r="X431" t="s">
        <v>1046</v>
      </c>
      <c r="Y431" t="s">
        <v>947</v>
      </c>
      <c r="Z431" t="s">
        <v>918</v>
      </c>
      <c r="AA431" t="s">
        <v>1065</v>
      </c>
      <c r="AB431" t="s">
        <v>1064</v>
      </c>
      <c r="AC431" t="s">
        <v>925</v>
      </c>
      <c r="AD431" t="s">
        <v>985</v>
      </c>
      <c r="AE431" t="s">
        <v>927</v>
      </c>
      <c r="AF431">
        <f t="shared" si="12"/>
        <v>6.3000000000000007</v>
      </c>
      <c r="AG431">
        <f t="shared" si="13"/>
        <v>6.2246999999999995</v>
      </c>
    </row>
    <row r="432" spans="1:33" x14ac:dyDescent="0.25">
      <c r="A432" t="s">
        <v>2362</v>
      </c>
      <c r="B432" t="s">
        <v>307</v>
      </c>
      <c r="C432" t="s">
        <v>995</v>
      </c>
      <c r="D432" t="s">
        <v>105</v>
      </c>
      <c r="E432" t="s">
        <v>56</v>
      </c>
      <c r="F432" t="s">
        <v>1410</v>
      </c>
      <c r="G432" t="s">
        <v>1232</v>
      </c>
      <c r="H432" t="s">
        <v>1685</v>
      </c>
      <c r="I432" t="s">
        <v>924</v>
      </c>
      <c r="J432" t="s">
        <v>1134</v>
      </c>
      <c r="K432" t="s">
        <v>1845</v>
      </c>
      <c r="L432" t="s">
        <v>918</v>
      </c>
      <c r="M432" t="s">
        <v>908</v>
      </c>
      <c r="N432" t="s">
        <v>1619</v>
      </c>
      <c r="O432" t="s">
        <v>1310</v>
      </c>
      <c r="P432" t="s">
        <v>1220</v>
      </c>
      <c r="Q432" t="s">
        <v>1442</v>
      </c>
      <c r="R432" t="s">
        <v>1493</v>
      </c>
      <c r="S432" t="s">
        <v>969</v>
      </c>
      <c r="T432" t="s">
        <v>987</v>
      </c>
      <c r="U432" t="s">
        <v>963</v>
      </c>
      <c r="V432" t="s">
        <v>991</v>
      </c>
      <c r="W432" t="s">
        <v>1029</v>
      </c>
      <c r="X432" t="s">
        <v>1049</v>
      </c>
      <c r="Y432" t="s">
        <v>1049</v>
      </c>
      <c r="Z432" t="s">
        <v>987</v>
      </c>
      <c r="AA432" t="s">
        <v>1094</v>
      </c>
      <c r="AB432" t="s">
        <v>918</v>
      </c>
      <c r="AC432" t="s">
        <v>1029</v>
      </c>
      <c r="AD432" t="s">
        <v>985</v>
      </c>
      <c r="AE432" t="s">
        <v>927</v>
      </c>
      <c r="AF432">
        <f t="shared" si="12"/>
        <v>6.3</v>
      </c>
      <c r="AG432">
        <f t="shared" si="13"/>
        <v>6.1804000000000006</v>
      </c>
    </row>
    <row r="433" spans="1:33" x14ac:dyDescent="0.25">
      <c r="A433" t="s">
        <v>2363</v>
      </c>
      <c r="B433" t="s">
        <v>2364</v>
      </c>
      <c r="C433" t="s">
        <v>1293</v>
      </c>
      <c r="D433" t="s">
        <v>133</v>
      </c>
      <c r="E433" t="s">
        <v>63</v>
      </c>
      <c r="F433" t="s">
        <v>1162</v>
      </c>
      <c r="G433" t="s">
        <v>901</v>
      </c>
      <c r="H433" t="s">
        <v>1485</v>
      </c>
      <c r="I433" t="s">
        <v>925</v>
      </c>
      <c r="J433" t="s">
        <v>1103</v>
      </c>
      <c r="K433" t="s">
        <v>1471</v>
      </c>
      <c r="L433" t="s">
        <v>1064</v>
      </c>
      <c r="M433" t="s">
        <v>908</v>
      </c>
      <c r="N433" t="s">
        <v>1381</v>
      </c>
      <c r="O433" t="s">
        <v>1064</v>
      </c>
      <c r="P433" t="s">
        <v>925</v>
      </c>
      <c r="Q433" t="s">
        <v>1200</v>
      </c>
      <c r="R433" t="s">
        <v>2170</v>
      </c>
      <c r="S433" t="s">
        <v>969</v>
      </c>
      <c r="T433" t="s">
        <v>918</v>
      </c>
      <c r="U433" t="s">
        <v>2049</v>
      </c>
      <c r="V433" t="s">
        <v>918</v>
      </c>
      <c r="W433" t="s">
        <v>922</v>
      </c>
      <c r="X433" t="s">
        <v>1012</v>
      </c>
      <c r="Y433" t="s">
        <v>1029</v>
      </c>
      <c r="Z433" t="s">
        <v>1310</v>
      </c>
      <c r="AA433" t="s">
        <v>991</v>
      </c>
      <c r="AB433" t="s">
        <v>945</v>
      </c>
      <c r="AC433" t="s">
        <v>908</v>
      </c>
      <c r="AD433" t="s">
        <v>985</v>
      </c>
      <c r="AE433" t="s">
        <v>927</v>
      </c>
      <c r="AF433">
        <f t="shared" si="12"/>
        <v>6.1</v>
      </c>
      <c r="AG433">
        <f t="shared" si="13"/>
        <v>6.2593000000000005</v>
      </c>
    </row>
    <row r="434" spans="1:33" x14ac:dyDescent="0.25">
      <c r="A434" t="s">
        <v>2365</v>
      </c>
      <c r="B434" t="s">
        <v>484</v>
      </c>
      <c r="C434" t="s">
        <v>1084</v>
      </c>
      <c r="D434" t="s">
        <v>85</v>
      </c>
      <c r="E434" t="s">
        <v>63</v>
      </c>
      <c r="F434" t="s">
        <v>1480</v>
      </c>
      <c r="G434" t="s">
        <v>995</v>
      </c>
      <c r="H434" t="s">
        <v>1485</v>
      </c>
      <c r="I434" t="s">
        <v>947</v>
      </c>
      <c r="J434" t="s">
        <v>1046</v>
      </c>
      <c r="K434" t="s">
        <v>999</v>
      </c>
      <c r="L434" t="s">
        <v>923</v>
      </c>
      <c r="M434" t="s">
        <v>1220</v>
      </c>
      <c r="N434" t="s">
        <v>1909</v>
      </c>
      <c r="O434" t="s">
        <v>945</v>
      </c>
      <c r="P434" t="s">
        <v>908</v>
      </c>
      <c r="Q434" t="s">
        <v>1251</v>
      </c>
      <c r="R434" t="s">
        <v>914</v>
      </c>
      <c r="S434" t="s">
        <v>969</v>
      </c>
      <c r="T434" t="s">
        <v>987</v>
      </c>
      <c r="U434" t="s">
        <v>1413</v>
      </c>
      <c r="V434" t="s">
        <v>918</v>
      </c>
      <c r="W434" t="s">
        <v>1310</v>
      </c>
      <c r="X434" t="s">
        <v>924</v>
      </c>
      <c r="Y434" t="s">
        <v>945</v>
      </c>
      <c r="Z434" t="s">
        <v>969</v>
      </c>
      <c r="AA434" t="s">
        <v>1094</v>
      </c>
      <c r="AB434" t="s">
        <v>991</v>
      </c>
      <c r="AC434" t="s">
        <v>1049</v>
      </c>
      <c r="AD434" t="s">
        <v>1059</v>
      </c>
      <c r="AE434" t="s">
        <v>927</v>
      </c>
      <c r="AF434">
        <f t="shared" si="12"/>
        <v>6.1999999999999993</v>
      </c>
      <c r="AG434">
        <f t="shared" si="13"/>
        <v>6.1571000000000007</v>
      </c>
    </row>
    <row r="435" spans="1:33" x14ac:dyDescent="0.25">
      <c r="A435" t="s">
        <v>2366</v>
      </c>
      <c r="B435" t="s">
        <v>2367</v>
      </c>
      <c r="C435" t="s">
        <v>1245</v>
      </c>
      <c r="D435" t="s">
        <v>170</v>
      </c>
      <c r="E435" t="s">
        <v>93</v>
      </c>
      <c r="F435" t="s">
        <v>1138</v>
      </c>
      <c r="G435" t="s">
        <v>1031</v>
      </c>
      <c r="H435" t="s">
        <v>1191</v>
      </c>
      <c r="I435" t="s">
        <v>947</v>
      </c>
      <c r="J435" t="s">
        <v>1134</v>
      </c>
      <c r="K435" t="s">
        <v>1287</v>
      </c>
      <c r="L435" t="s">
        <v>923</v>
      </c>
      <c r="M435" t="s">
        <v>993</v>
      </c>
      <c r="N435" t="s">
        <v>1154</v>
      </c>
      <c r="O435" t="s">
        <v>1195</v>
      </c>
      <c r="P435" t="s">
        <v>947</v>
      </c>
      <c r="Q435" t="s">
        <v>1396</v>
      </c>
      <c r="R435" t="s">
        <v>955</v>
      </c>
      <c r="S435" t="s">
        <v>969</v>
      </c>
      <c r="T435" t="s">
        <v>918</v>
      </c>
      <c r="U435" t="s">
        <v>1696</v>
      </c>
      <c r="V435" t="s">
        <v>1094</v>
      </c>
      <c r="W435" t="s">
        <v>1220</v>
      </c>
      <c r="X435" t="s">
        <v>946</v>
      </c>
      <c r="Y435" t="s">
        <v>1310</v>
      </c>
      <c r="Z435" t="s">
        <v>1008</v>
      </c>
      <c r="AA435" t="s">
        <v>1094</v>
      </c>
      <c r="AB435" t="s">
        <v>923</v>
      </c>
      <c r="AC435" t="s">
        <v>1310</v>
      </c>
      <c r="AD435" t="s">
        <v>1059</v>
      </c>
      <c r="AE435" t="s">
        <v>927</v>
      </c>
      <c r="AF435">
        <f t="shared" si="12"/>
        <v>6.1999999999999993</v>
      </c>
      <c r="AG435">
        <f t="shared" si="13"/>
        <v>6.1356000000000002</v>
      </c>
    </row>
    <row r="436" spans="1:33" x14ac:dyDescent="0.25">
      <c r="A436" t="s">
        <v>2368</v>
      </c>
      <c r="B436" t="s">
        <v>2369</v>
      </c>
      <c r="C436" t="s">
        <v>1032</v>
      </c>
      <c r="D436" t="s">
        <v>65</v>
      </c>
      <c r="E436" t="s">
        <v>72</v>
      </c>
      <c r="F436" t="s">
        <v>972</v>
      </c>
      <c r="G436" t="s">
        <v>1717</v>
      </c>
      <c r="H436" t="s">
        <v>1244</v>
      </c>
      <c r="I436" t="s">
        <v>993</v>
      </c>
      <c r="J436" t="s">
        <v>970</v>
      </c>
      <c r="K436" t="s">
        <v>1947</v>
      </c>
      <c r="L436" t="s">
        <v>1600</v>
      </c>
      <c r="M436" t="s">
        <v>1600</v>
      </c>
      <c r="N436" t="s">
        <v>927</v>
      </c>
      <c r="O436" t="s">
        <v>993</v>
      </c>
      <c r="P436" t="s">
        <v>970</v>
      </c>
      <c r="Q436" t="s">
        <v>1947</v>
      </c>
      <c r="R436" t="s">
        <v>1947</v>
      </c>
      <c r="S436" t="s">
        <v>923</v>
      </c>
      <c r="T436" t="s">
        <v>1195</v>
      </c>
      <c r="U436" t="s">
        <v>963</v>
      </c>
      <c r="V436" t="s">
        <v>1310</v>
      </c>
      <c r="W436" t="s">
        <v>1155</v>
      </c>
      <c r="X436" t="s">
        <v>1043</v>
      </c>
      <c r="Y436" t="s">
        <v>1065</v>
      </c>
      <c r="Z436" t="s">
        <v>1094</v>
      </c>
      <c r="AA436" t="s">
        <v>1195</v>
      </c>
      <c r="AB436" t="s">
        <v>1065</v>
      </c>
      <c r="AC436" t="s">
        <v>947</v>
      </c>
      <c r="AD436" t="s">
        <v>1063</v>
      </c>
      <c r="AE436" t="s">
        <v>927</v>
      </c>
      <c r="AF436">
        <f t="shared" si="12"/>
        <v>6</v>
      </c>
      <c r="AG436" t="e">
        <f t="shared" si="13"/>
        <v>#VALUE!</v>
      </c>
    </row>
    <row r="437" spans="1:33" x14ac:dyDescent="0.25">
      <c r="A437" t="s">
        <v>2370</v>
      </c>
      <c r="B437" t="s">
        <v>306</v>
      </c>
      <c r="C437" t="s">
        <v>995</v>
      </c>
      <c r="D437" t="s">
        <v>111</v>
      </c>
      <c r="E437" t="s">
        <v>93</v>
      </c>
      <c r="F437" t="s">
        <v>1355</v>
      </c>
      <c r="G437" t="s">
        <v>1015</v>
      </c>
      <c r="H437" t="s">
        <v>1621</v>
      </c>
      <c r="I437" t="s">
        <v>925</v>
      </c>
      <c r="J437" t="s">
        <v>962</v>
      </c>
      <c r="K437" t="s">
        <v>1818</v>
      </c>
      <c r="L437" t="s">
        <v>969</v>
      </c>
      <c r="M437" t="s">
        <v>993</v>
      </c>
      <c r="N437" t="s">
        <v>1934</v>
      </c>
      <c r="O437" t="s">
        <v>1310</v>
      </c>
      <c r="P437" t="s">
        <v>1220</v>
      </c>
      <c r="Q437" t="s">
        <v>1215</v>
      </c>
      <c r="R437" t="s">
        <v>1420</v>
      </c>
      <c r="S437" t="s">
        <v>923</v>
      </c>
      <c r="T437" t="s">
        <v>1195</v>
      </c>
      <c r="U437" t="s">
        <v>1972</v>
      </c>
      <c r="V437" t="s">
        <v>1195</v>
      </c>
      <c r="W437" t="s">
        <v>964</v>
      </c>
      <c r="X437" t="s">
        <v>1081</v>
      </c>
      <c r="Y437" t="s">
        <v>987</v>
      </c>
      <c r="Z437" t="s">
        <v>987</v>
      </c>
      <c r="AA437" t="s">
        <v>923</v>
      </c>
      <c r="AB437" t="s">
        <v>1065</v>
      </c>
      <c r="AC437" t="s">
        <v>922</v>
      </c>
      <c r="AD437" t="s">
        <v>1063</v>
      </c>
      <c r="AE437" t="s">
        <v>927</v>
      </c>
      <c r="AF437">
        <f t="shared" si="12"/>
        <v>6</v>
      </c>
      <c r="AG437">
        <f t="shared" si="13"/>
        <v>5.9948999999999995</v>
      </c>
    </row>
    <row r="438" spans="1:33" x14ac:dyDescent="0.25">
      <c r="A438" t="s">
        <v>2371</v>
      </c>
      <c r="B438" t="s">
        <v>2372</v>
      </c>
      <c r="C438" t="s">
        <v>950</v>
      </c>
      <c r="D438" t="s">
        <v>113</v>
      </c>
      <c r="E438" t="s">
        <v>72</v>
      </c>
      <c r="F438" t="s">
        <v>1438</v>
      </c>
      <c r="G438" t="s">
        <v>1202</v>
      </c>
      <c r="H438" t="s">
        <v>1248</v>
      </c>
      <c r="I438" t="s">
        <v>1012</v>
      </c>
      <c r="J438" t="s">
        <v>1155</v>
      </c>
      <c r="K438" t="s">
        <v>1642</v>
      </c>
      <c r="L438" t="s">
        <v>1600</v>
      </c>
      <c r="M438" t="s">
        <v>1600</v>
      </c>
      <c r="N438" t="s">
        <v>1646</v>
      </c>
      <c r="O438" t="s">
        <v>1012</v>
      </c>
      <c r="P438" t="s">
        <v>1155</v>
      </c>
      <c r="Q438" t="s">
        <v>1880</v>
      </c>
      <c r="R438" t="s">
        <v>1642</v>
      </c>
      <c r="S438" t="s">
        <v>918</v>
      </c>
      <c r="T438" t="s">
        <v>1195</v>
      </c>
      <c r="U438" t="s">
        <v>1803</v>
      </c>
      <c r="V438" t="s">
        <v>1012</v>
      </c>
      <c r="W438" t="s">
        <v>1220</v>
      </c>
      <c r="X438" t="s">
        <v>1043</v>
      </c>
      <c r="Y438" t="s">
        <v>1029</v>
      </c>
      <c r="Z438" t="s">
        <v>1065</v>
      </c>
      <c r="AA438" t="s">
        <v>923</v>
      </c>
      <c r="AB438" t="s">
        <v>991</v>
      </c>
      <c r="AC438" t="s">
        <v>1029</v>
      </c>
      <c r="AD438" t="s">
        <v>1063</v>
      </c>
      <c r="AE438" t="s">
        <v>927</v>
      </c>
      <c r="AF438">
        <f t="shared" si="12"/>
        <v>6.1000000000000005</v>
      </c>
      <c r="AG438">
        <f t="shared" si="13"/>
        <v>6.0282999999999998</v>
      </c>
    </row>
    <row r="439" spans="1:33" x14ac:dyDescent="0.25">
      <c r="A439" t="s">
        <v>2373</v>
      </c>
      <c r="B439" t="s">
        <v>2374</v>
      </c>
      <c r="C439" t="s">
        <v>973</v>
      </c>
      <c r="D439" t="s">
        <v>108</v>
      </c>
      <c r="E439" t="s">
        <v>93</v>
      </c>
      <c r="F439" t="s">
        <v>901</v>
      </c>
      <c r="G439" t="s">
        <v>1717</v>
      </c>
      <c r="H439" t="s">
        <v>1357</v>
      </c>
      <c r="I439" t="s">
        <v>956</v>
      </c>
      <c r="J439" t="s">
        <v>1023</v>
      </c>
      <c r="K439" t="s">
        <v>1785</v>
      </c>
      <c r="L439" t="s">
        <v>923</v>
      </c>
      <c r="M439" t="s">
        <v>1135</v>
      </c>
      <c r="N439" t="s">
        <v>1666</v>
      </c>
      <c r="O439" t="s">
        <v>923</v>
      </c>
      <c r="P439" t="s">
        <v>1228</v>
      </c>
      <c r="Q439" t="s">
        <v>2152</v>
      </c>
      <c r="R439" t="s">
        <v>1545</v>
      </c>
      <c r="S439" t="s">
        <v>923</v>
      </c>
      <c r="T439" t="s">
        <v>956</v>
      </c>
      <c r="U439" t="s">
        <v>1131</v>
      </c>
      <c r="V439" t="s">
        <v>923</v>
      </c>
      <c r="W439" t="s">
        <v>1135</v>
      </c>
      <c r="X439" t="s">
        <v>1228</v>
      </c>
      <c r="Y439" t="s">
        <v>920</v>
      </c>
      <c r="Z439" t="s">
        <v>923</v>
      </c>
      <c r="AA439" t="s">
        <v>923</v>
      </c>
      <c r="AB439" t="s">
        <v>1600</v>
      </c>
      <c r="AC439" t="s">
        <v>1135</v>
      </c>
      <c r="AD439" t="s">
        <v>1063</v>
      </c>
      <c r="AE439" t="s">
        <v>927</v>
      </c>
      <c r="AF439">
        <f t="shared" si="12"/>
        <v>6</v>
      </c>
      <c r="AG439">
        <f t="shared" si="13"/>
        <v>5.9969999999999999</v>
      </c>
    </row>
    <row r="440" spans="1:33" x14ac:dyDescent="0.25">
      <c r="A440" t="s">
        <v>2375</v>
      </c>
      <c r="B440" t="s">
        <v>2376</v>
      </c>
      <c r="C440" t="s">
        <v>1032</v>
      </c>
      <c r="D440" t="s">
        <v>97</v>
      </c>
      <c r="E440" t="s">
        <v>72</v>
      </c>
      <c r="F440" t="s">
        <v>1052</v>
      </c>
      <c r="G440" t="s">
        <v>972</v>
      </c>
      <c r="H440" t="s">
        <v>1806</v>
      </c>
      <c r="I440" t="s">
        <v>924</v>
      </c>
      <c r="J440" t="s">
        <v>1103</v>
      </c>
      <c r="K440" t="s">
        <v>1057</v>
      </c>
      <c r="L440" t="s">
        <v>934</v>
      </c>
      <c r="M440" t="s">
        <v>1008</v>
      </c>
      <c r="N440" t="s">
        <v>2319</v>
      </c>
      <c r="O440" t="s">
        <v>925</v>
      </c>
      <c r="P440" t="s">
        <v>992</v>
      </c>
      <c r="Q440" t="s">
        <v>939</v>
      </c>
      <c r="R440" t="s">
        <v>1251</v>
      </c>
      <c r="S440" t="s">
        <v>918</v>
      </c>
      <c r="T440" t="s">
        <v>945</v>
      </c>
      <c r="U440" t="s">
        <v>1747</v>
      </c>
      <c r="V440" t="s">
        <v>968</v>
      </c>
      <c r="W440" t="s">
        <v>1030</v>
      </c>
      <c r="X440" t="s">
        <v>1291</v>
      </c>
      <c r="Y440" t="s">
        <v>922</v>
      </c>
      <c r="Z440" t="s">
        <v>991</v>
      </c>
      <c r="AA440" t="s">
        <v>1230</v>
      </c>
      <c r="AB440" t="s">
        <v>918</v>
      </c>
      <c r="AC440" t="s">
        <v>993</v>
      </c>
      <c r="AD440" t="s">
        <v>1063</v>
      </c>
      <c r="AE440" t="s">
        <v>927</v>
      </c>
      <c r="AF440">
        <f t="shared" si="12"/>
        <v>5.9</v>
      </c>
      <c r="AG440">
        <f t="shared" si="13"/>
        <v>6.0767000000000007</v>
      </c>
    </row>
    <row r="441" spans="1:33" x14ac:dyDescent="0.25">
      <c r="A441" t="s">
        <v>2377</v>
      </c>
      <c r="B441" t="s">
        <v>2378</v>
      </c>
      <c r="C441" t="s">
        <v>1032</v>
      </c>
      <c r="D441" t="s">
        <v>170</v>
      </c>
      <c r="E441" t="s">
        <v>72</v>
      </c>
      <c r="F441" t="s">
        <v>901</v>
      </c>
      <c r="G441" t="s">
        <v>1717</v>
      </c>
      <c r="H441" t="s">
        <v>920</v>
      </c>
      <c r="I441" t="s">
        <v>956</v>
      </c>
      <c r="J441" t="s">
        <v>1228</v>
      </c>
      <c r="K441" t="s">
        <v>1131</v>
      </c>
      <c r="L441" t="s">
        <v>1600</v>
      </c>
      <c r="M441" t="s">
        <v>923</v>
      </c>
      <c r="N441" t="s">
        <v>1646</v>
      </c>
      <c r="O441" t="s">
        <v>956</v>
      </c>
      <c r="P441" t="s">
        <v>1135</v>
      </c>
      <c r="Q441" t="s">
        <v>1696</v>
      </c>
      <c r="R441" t="s">
        <v>1131</v>
      </c>
      <c r="S441" t="s">
        <v>956</v>
      </c>
      <c r="T441" t="s">
        <v>956</v>
      </c>
      <c r="U441" t="s">
        <v>2146</v>
      </c>
      <c r="V441" t="s">
        <v>1600</v>
      </c>
      <c r="W441" t="s">
        <v>923</v>
      </c>
      <c r="X441" t="s">
        <v>923</v>
      </c>
      <c r="Y441" t="s">
        <v>1600</v>
      </c>
      <c r="Z441" t="s">
        <v>1600</v>
      </c>
      <c r="AA441" t="s">
        <v>1600</v>
      </c>
      <c r="AB441" t="s">
        <v>1600</v>
      </c>
      <c r="AC441" t="s">
        <v>1600</v>
      </c>
      <c r="AD441" t="s">
        <v>1063</v>
      </c>
      <c r="AE441" t="s">
        <v>927</v>
      </c>
      <c r="AF441">
        <f t="shared" si="12"/>
        <v>6</v>
      </c>
      <c r="AG441">
        <f t="shared" si="13"/>
        <v>6.0020000000000007</v>
      </c>
    </row>
    <row r="442" spans="1:33" x14ac:dyDescent="0.25">
      <c r="A442" t="s">
        <v>2379</v>
      </c>
      <c r="B442" t="s">
        <v>2380</v>
      </c>
      <c r="C442" t="s">
        <v>1084</v>
      </c>
      <c r="D442" t="s">
        <v>1149</v>
      </c>
      <c r="E442" t="s">
        <v>63</v>
      </c>
      <c r="F442" t="s">
        <v>1238</v>
      </c>
      <c r="G442" t="s">
        <v>1717</v>
      </c>
      <c r="H442" t="s">
        <v>1316</v>
      </c>
      <c r="I442" t="s">
        <v>908</v>
      </c>
      <c r="J442" t="s">
        <v>1043</v>
      </c>
      <c r="K442" t="s">
        <v>1509</v>
      </c>
      <c r="L442" t="s">
        <v>1008</v>
      </c>
      <c r="M442" t="s">
        <v>922</v>
      </c>
      <c r="N442" t="s">
        <v>1775</v>
      </c>
      <c r="O442" t="s">
        <v>1230</v>
      </c>
      <c r="P442" t="s">
        <v>992</v>
      </c>
      <c r="Q442" t="s">
        <v>1461</v>
      </c>
      <c r="R442" t="s">
        <v>1055</v>
      </c>
      <c r="S442" t="s">
        <v>1195</v>
      </c>
      <c r="T442" t="s">
        <v>922</v>
      </c>
      <c r="U442" t="s">
        <v>2330</v>
      </c>
      <c r="V442" t="s">
        <v>1008</v>
      </c>
      <c r="W442" t="s">
        <v>918</v>
      </c>
      <c r="X442" t="s">
        <v>1029</v>
      </c>
      <c r="Y442" t="s">
        <v>1230</v>
      </c>
      <c r="Z442" t="s">
        <v>969</v>
      </c>
      <c r="AA442" t="s">
        <v>1600</v>
      </c>
      <c r="AB442" t="s">
        <v>918</v>
      </c>
      <c r="AC442" t="s">
        <v>1064</v>
      </c>
      <c r="AD442" t="s">
        <v>1063</v>
      </c>
      <c r="AE442" t="s">
        <v>927</v>
      </c>
      <c r="AF442">
        <f t="shared" si="12"/>
        <v>6.2</v>
      </c>
      <c r="AG442">
        <f t="shared" si="13"/>
        <v>6.0597000000000003</v>
      </c>
    </row>
    <row r="443" spans="1:33" x14ac:dyDescent="0.25">
      <c r="A443" t="s">
        <v>2381</v>
      </c>
      <c r="B443" t="s">
        <v>2382</v>
      </c>
      <c r="C443" t="s">
        <v>973</v>
      </c>
      <c r="D443" t="s">
        <v>974</v>
      </c>
      <c r="E443" t="s">
        <v>47</v>
      </c>
      <c r="F443" t="s">
        <v>1106</v>
      </c>
      <c r="G443" t="s">
        <v>1717</v>
      </c>
      <c r="H443" t="s">
        <v>1197</v>
      </c>
      <c r="I443" t="s">
        <v>925</v>
      </c>
      <c r="J443" t="s">
        <v>1044</v>
      </c>
      <c r="K443" t="s">
        <v>1282</v>
      </c>
      <c r="L443" t="s">
        <v>1310</v>
      </c>
      <c r="M443" t="s">
        <v>957</v>
      </c>
      <c r="N443" t="s">
        <v>2383</v>
      </c>
      <c r="O443" t="s">
        <v>1008</v>
      </c>
      <c r="P443" t="s">
        <v>1029</v>
      </c>
      <c r="Q443" t="s">
        <v>1018</v>
      </c>
      <c r="R443" t="s">
        <v>1405</v>
      </c>
      <c r="S443" t="s">
        <v>1600</v>
      </c>
      <c r="T443" t="s">
        <v>1119</v>
      </c>
      <c r="U443" t="s">
        <v>1646</v>
      </c>
      <c r="V443" t="s">
        <v>1065</v>
      </c>
      <c r="W443" t="s">
        <v>925</v>
      </c>
      <c r="X443" t="s">
        <v>1220</v>
      </c>
      <c r="Y443" t="s">
        <v>1094</v>
      </c>
      <c r="Z443" t="s">
        <v>991</v>
      </c>
      <c r="AA443" t="s">
        <v>934</v>
      </c>
      <c r="AB443" t="s">
        <v>991</v>
      </c>
      <c r="AC443" t="s">
        <v>945</v>
      </c>
      <c r="AD443" t="s">
        <v>1126</v>
      </c>
      <c r="AE443" t="s">
        <v>927</v>
      </c>
      <c r="AF443">
        <f t="shared" si="12"/>
        <v>5.9</v>
      </c>
      <c r="AG443">
        <f t="shared" si="13"/>
        <v>5.8994999999999997</v>
      </c>
    </row>
    <row r="444" spans="1:33" x14ac:dyDescent="0.25">
      <c r="A444" t="s">
        <v>2381</v>
      </c>
      <c r="B444" t="s">
        <v>2382</v>
      </c>
      <c r="C444" t="s">
        <v>973</v>
      </c>
      <c r="D444" t="s">
        <v>97</v>
      </c>
      <c r="E444" t="s">
        <v>47</v>
      </c>
      <c r="F444" t="s">
        <v>928</v>
      </c>
      <c r="G444" t="s">
        <v>1717</v>
      </c>
      <c r="H444" t="s">
        <v>940</v>
      </c>
      <c r="I444" t="s">
        <v>1600</v>
      </c>
      <c r="J444" t="s">
        <v>993</v>
      </c>
      <c r="K444" t="s">
        <v>1646</v>
      </c>
      <c r="L444" t="s">
        <v>1600</v>
      </c>
      <c r="M444" t="s">
        <v>993</v>
      </c>
      <c r="N444" t="s">
        <v>1646</v>
      </c>
      <c r="O444" t="s">
        <v>1600</v>
      </c>
      <c r="P444" t="s">
        <v>1600</v>
      </c>
      <c r="Q444" t="s">
        <v>927</v>
      </c>
      <c r="R444" t="s">
        <v>1646</v>
      </c>
      <c r="S444" t="s">
        <v>1600</v>
      </c>
      <c r="T444" t="s">
        <v>1600</v>
      </c>
      <c r="U444" t="s">
        <v>927</v>
      </c>
      <c r="V444" t="s">
        <v>1600</v>
      </c>
      <c r="W444" t="s">
        <v>923</v>
      </c>
      <c r="X444" t="s">
        <v>923</v>
      </c>
      <c r="Y444" t="s">
        <v>1065</v>
      </c>
      <c r="Z444" t="s">
        <v>1600</v>
      </c>
      <c r="AA444" t="s">
        <v>1600</v>
      </c>
      <c r="AB444" t="s">
        <v>1600</v>
      </c>
      <c r="AC444" t="s">
        <v>1065</v>
      </c>
      <c r="AD444" t="s">
        <v>1600</v>
      </c>
      <c r="AE444" t="s">
        <v>927</v>
      </c>
      <c r="AF444">
        <f t="shared" si="12"/>
        <v>0</v>
      </c>
      <c r="AG444" t="e">
        <f t="shared" si="13"/>
        <v>#VALUE!</v>
      </c>
    </row>
    <row r="445" spans="1:33" x14ac:dyDescent="0.25">
      <c r="A445" t="s">
        <v>2381</v>
      </c>
      <c r="B445" t="s">
        <v>2382</v>
      </c>
      <c r="C445" t="s">
        <v>973</v>
      </c>
      <c r="D445" t="s">
        <v>163</v>
      </c>
      <c r="E445" t="s">
        <v>47</v>
      </c>
      <c r="F445" t="s">
        <v>1083</v>
      </c>
      <c r="G445" t="s">
        <v>1717</v>
      </c>
      <c r="H445" t="s">
        <v>954</v>
      </c>
      <c r="I445" t="s">
        <v>1104</v>
      </c>
      <c r="J445" t="s">
        <v>1118</v>
      </c>
      <c r="K445" t="s">
        <v>1019</v>
      </c>
      <c r="L445" t="s">
        <v>1049</v>
      </c>
      <c r="M445" t="s">
        <v>1043</v>
      </c>
      <c r="N445" t="s">
        <v>1545</v>
      </c>
      <c r="O445" t="s">
        <v>918</v>
      </c>
      <c r="P445" t="s">
        <v>956</v>
      </c>
      <c r="Q445" t="s">
        <v>1018</v>
      </c>
      <c r="R445" t="s">
        <v>1130</v>
      </c>
      <c r="S445" t="s">
        <v>1600</v>
      </c>
      <c r="T445" t="s">
        <v>1119</v>
      </c>
      <c r="U445" t="s">
        <v>1646</v>
      </c>
      <c r="V445" t="s">
        <v>969</v>
      </c>
      <c r="W445" t="s">
        <v>993</v>
      </c>
      <c r="X445" t="s">
        <v>946</v>
      </c>
      <c r="Y445" t="s">
        <v>1094</v>
      </c>
      <c r="Z445" t="s">
        <v>1065</v>
      </c>
      <c r="AA445" t="s">
        <v>1094</v>
      </c>
      <c r="AB445" t="s">
        <v>1065</v>
      </c>
      <c r="AC445" t="s">
        <v>1230</v>
      </c>
      <c r="AD445" t="s">
        <v>988</v>
      </c>
      <c r="AE445" t="s">
        <v>927</v>
      </c>
      <c r="AF445">
        <f t="shared" si="12"/>
        <v>7.4999999999999991</v>
      </c>
      <c r="AG445">
        <f t="shared" si="13"/>
        <v>7.4282999999999992</v>
      </c>
    </row>
    <row r="446" spans="1:33" x14ac:dyDescent="0.25">
      <c r="A446" t="s">
        <v>2384</v>
      </c>
      <c r="B446" t="s">
        <v>2385</v>
      </c>
      <c r="C446" t="s">
        <v>902</v>
      </c>
      <c r="D446" t="s">
        <v>974</v>
      </c>
      <c r="E446" t="s">
        <v>93</v>
      </c>
      <c r="F446" t="s">
        <v>1096</v>
      </c>
      <c r="G446" t="s">
        <v>949</v>
      </c>
      <c r="H446" t="s">
        <v>906</v>
      </c>
      <c r="I446" t="s">
        <v>925</v>
      </c>
      <c r="J446" t="s">
        <v>1103</v>
      </c>
      <c r="K446" t="s">
        <v>1131</v>
      </c>
      <c r="L446" t="s">
        <v>945</v>
      </c>
      <c r="M446" t="s">
        <v>946</v>
      </c>
      <c r="N446" t="s">
        <v>1393</v>
      </c>
      <c r="O446" t="s">
        <v>923</v>
      </c>
      <c r="P446" t="s">
        <v>1195</v>
      </c>
      <c r="Q446" t="s">
        <v>2049</v>
      </c>
      <c r="R446" t="s">
        <v>2386</v>
      </c>
      <c r="S446" t="s">
        <v>934</v>
      </c>
      <c r="T446" t="s">
        <v>1094</v>
      </c>
      <c r="U446" t="s">
        <v>1696</v>
      </c>
      <c r="V446" t="s">
        <v>947</v>
      </c>
      <c r="W446" t="s">
        <v>964</v>
      </c>
      <c r="X446" t="s">
        <v>962</v>
      </c>
      <c r="Y446" t="s">
        <v>922</v>
      </c>
      <c r="Z446" t="s">
        <v>969</v>
      </c>
      <c r="AA446" t="s">
        <v>991</v>
      </c>
      <c r="AB446" t="s">
        <v>1094</v>
      </c>
      <c r="AC446" t="s">
        <v>969</v>
      </c>
      <c r="AD446" t="s">
        <v>1126</v>
      </c>
      <c r="AE446" t="s">
        <v>927</v>
      </c>
      <c r="AF446">
        <f t="shared" si="12"/>
        <v>5.8</v>
      </c>
      <c r="AG446">
        <f t="shared" si="13"/>
        <v>5.8050000000000006</v>
      </c>
    </row>
    <row r="447" spans="1:33" x14ac:dyDescent="0.25">
      <c r="A447" t="s">
        <v>2384</v>
      </c>
      <c r="B447" t="s">
        <v>2385</v>
      </c>
      <c r="C447" t="s">
        <v>902</v>
      </c>
      <c r="D447" t="s">
        <v>108</v>
      </c>
      <c r="E447" t="s">
        <v>93</v>
      </c>
      <c r="F447" t="s">
        <v>1067</v>
      </c>
      <c r="G447" t="s">
        <v>949</v>
      </c>
      <c r="H447" t="s">
        <v>1237</v>
      </c>
      <c r="I447" t="s">
        <v>1012</v>
      </c>
      <c r="J447" t="s">
        <v>957</v>
      </c>
      <c r="K447" t="s">
        <v>1713</v>
      </c>
      <c r="L447" t="s">
        <v>1230</v>
      </c>
      <c r="M447" t="s">
        <v>946</v>
      </c>
      <c r="N447" t="s">
        <v>1665</v>
      </c>
      <c r="O447" t="s">
        <v>1064</v>
      </c>
      <c r="P447" t="s">
        <v>1029</v>
      </c>
      <c r="Q447" t="s">
        <v>1133</v>
      </c>
      <c r="R447" t="s">
        <v>2387</v>
      </c>
      <c r="S447" t="s">
        <v>1094</v>
      </c>
      <c r="T447" t="s">
        <v>991</v>
      </c>
      <c r="U447" t="s">
        <v>1696</v>
      </c>
      <c r="V447" t="s">
        <v>964</v>
      </c>
      <c r="W447" t="s">
        <v>970</v>
      </c>
      <c r="X447" t="s">
        <v>1059</v>
      </c>
      <c r="Y447" t="s">
        <v>1049</v>
      </c>
      <c r="Z447" t="s">
        <v>1008</v>
      </c>
      <c r="AA447" t="s">
        <v>991</v>
      </c>
      <c r="AB447" t="s">
        <v>991</v>
      </c>
      <c r="AC447" t="s">
        <v>1008</v>
      </c>
      <c r="AD447" t="s">
        <v>1116</v>
      </c>
      <c r="AE447" t="s">
        <v>927</v>
      </c>
      <c r="AF447">
        <f t="shared" si="12"/>
        <v>6.8999999999999995</v>
      </c>
      <c r="AG447">
        <f t="shared" si="13"/>
        <v>6.8247</v>
      </c>
    </row>
    <row r="448" spans="1:33" x14ac:dyDescent="0.25">
      <c r="A448" t="s">
        <v>2384</v>
      </c>
      <c r="B448" t="s">
        <v>2385</v>
      </c>
      <c r="C448" t="s">
        <v>902</v>
      </c>
      <c r="D448" t="s">
        <v>85</v>
      </c>
      <c r="E448" t="s">
        <v>93</v>
      </c>
      <c r="F448" t="s">
        <v>928</v>
      </c>
      <c r="G448" t="s">
        <v>1717</v>
      </c>
      <c r="H448" t="s">
        <v>1236</v>
      </c>
      <c r="I448" t="s">
        <v>923</v>
      </c>
      <c r="J448" t="s">
        <v>979</v>
      </c>
      <c r="K448" t="s">
        <v>1785</v>
      </c>
      <c r="L448" t="s">
        <v>1065</v>
      </c>
      <c r="M448" t="s">
        <v>1135</v>
      </c>
      <c r="N448" t="s">
        <v>2388</v>
      </c>
      <c r="O448" t="s">
        <v>1065</v>
      </c>
      <c r="P448" t="s">
        <v>1065</v>
      </c>
      <c r="Q448" t="s">
        <v>2146</v>
      </c>
      <c r="R448" t="s">
        <v>1545</v>
      </c>
      <c r="S448" t="s">
        <v>1600</v>
      </c>
      <c r="T448" t="s">
        <v>1600</v>
      </c>
      <c r="U448" t="s">
        <v>927</v>
      </c>
      <c r="V448" t="s">
        <v>1065</v>
      </c>
      <c r="W448" t="s">
        <v>1310</v>
      </c>
      <c r="X448" t="s">
        <v>956</v>
      </c>
      <c r="Y448" t="s">
        <v>923</v>
      </c>
      <c r="Z448" t="s">
        <v>1600</v>
      </c>
      <c r="AA448" t="s">
        <v>1065</v>
      </c>
      <c r="AB448" t="s">
        <v>1600</v>
      </c>
      <c r="AC448" t="s">
        <v>1600</v>
      </c>
      <c r="AD448" t="s">
        <v>993</v>
      </c>
      <c r="AE448" t="s">
        <v>927</v>
      </c>
      <c r="AF448">
        <f t="shared" si="12"/>
        <v>2.5</v>
      </c>
      <c r="AG448" t="e">
        <f t="shared" si="13"/>
        <v>#VALUE!</v>
      </c>
    </row>
    <row r="449" spans="1:33" x14ac:dyDescent="0.25">
      <c r="A449" t="s">
        <v>2389</v>
      </c>
      <c r="B449" t="s">
        <v>299</v>
      </c>
      <c r="C449" t="s">
        <v>1176</v>
      </c>
      <c r="D449" t="s">
        <v>974</v>
      </c>
      <c r="E449" t="s">
        <v>93</v>
      </c>
      <c r="F449" t="s">
        <v>1512</v>
      </c>
      <c r="G449" t="s">
        <v>972</v>
      </c>
      <c r="H449" t="s">
        <v>1345</v>
      </c>
      <c r="I449" t="s">
        <v>947</v>
      </c>
      <c r="J449" t="s">
        <v>920</v>
      </c>
      <c r="K449" t="s">
        <v>1099</v>
      </c>
      <c r="L449" t="s">
        <v>991</v>
      </c>
      <c r="M449" t="s">
        <v>1064</v>
      </c>
      <c r="N449" t="s">
        <v>1545</v>
      </c>
      <c r="O449" t="s">
        <v>1049</v>
      </c>
      <c r="P449" t="s">
        <v>1155</v>
      </c>
      <c r="Q449" t="s">
        <v>2024</v>
      </c>
      <c r="R449" t="s">
        <v>1436</v>
      </c>
      <c r="S449" t="s">
        <v>987</v>
      </c>
      <c r="T449" t="s">
        <v>1064</v>
      </c>
      <c r="U449" t="s">
        <v>2390</v>
      </c>
      <c r="V449" t="s">
        <v>918</v>
      </c>
      <c r="W449" t="s">
        <v>993</v>
      </c>
      <c r="X449" t="s">
        <v>1000</v>
      </c>
      <c r="Y449" t="s">
        <v>924</v>
      </c>
      <c r="Z449" t="s">
        <v>1008</v>
      </c>
      <c r="AA449" t="s">
        <v>1065</v>
      </c>
      <c r="AB449" t="s">
        <v>969</v>
      </c>
      <c r="AC449" t="s">
        <v>1195</v>
      </c>
      <c r="AD449" t="s">
        <v>1126</v>
      </c>
      <c r="AE449" t="s">
        <v>927</v>
      </c>
      <c r="AF449">
        <f t="shared" si="12"/>
        <v>5.8</v>
      </c>
      <c r="AG449">
        <f t="shared" si="13"/>
        <v>5.9055</v>
      </c>
    </row>
    <row r="450" spans="1:33" x14ac:dyDescent="0.25">
      <c r="A450" t="s">
        <v>874</v>
      </c>
      <c r="B450" t="s">
        <v>171</v>
      </c>
      <c r="C450" t="s">
        <v>875</v>
      </c>
      <c r="D450" t="s">
        <v>172</v>
      </c>
      <c r="E450" t="s">
        <v>876</v>
      </c>
      <c r="F450" t="s">
        <v>392</v>
      </c>
      <c r="G450" t="s">
        <v>877</v>
      </c>
      <c r="H450" t="s">
        <v>878</v>
      </c>
      <c r="I450" t="s">
        <v>879</v>
      </c>
      <c r="J450" t="s">
        <v>880</v>
      </c>
      <c r="K450" t="s">
        <v>881</v>
      </c>
      <c r="L450" t="s">
        <v>882</v>
      </c>
      <c r="M450" t="s">
        <v>883</v>
      </c>
      <c r="N450" t="s">
        <v>884</v>
      </c>
      <c r="O450" t="s">
        <v>885</v>
      </c>
      <c r="P450" t="s">
        <v>886</v>
      </c>
      <c r="Q450" t="s">
        <v>887</v>
      </c>
      <c r="R450" t="s">
        <v>888</v>
      </c>
      <c r="S450" t="s">
        <v>889</v>
      </c>
      <c r="T450" t="s">
        <v>890</v>
      </c>
      <c r="U450" t="s">
        <v>891</v>
      </c>
      <c r="V450" t="s">
        <v>892</v>
      </c>
      <c r="W450" t="s">
        <v>893</v>
      </c>
      <c r="X450" t="s">
        <v>894</v>
      </c>
      <c r="Y450" t="s">
        <v>895</v>
      </c>
      <c r="Z450" t="s">
        <v>896</v>
      </c>
      <c r="AA450" t="s">
        <v>897</v>
      </c>
      <c r="AB450" t="s">
        <v>898</v>
      </c>
      <c r="AC450" t="s">
        <v>93</v>
      </c>
      <c r="AD450" t="s">
        <v>899</v>
      </c>
      <c r="AE450" t="s">
        <v>900</v>
      </c>
      <c r="AF450" t="e">
        <f t="shared" si="12"/>
        <v>#VALUE!</v>
      </c>
      <c r="AG450" t="e">
        <f t="shared" si="13"/>
        <v>#VALUE!</v>
      </c>
    </row>
    <row r="451" spans="1:33" x14ac:dyDescent="0.25">
      <c r="A451" t="s">
        <v>2389</v>
      </c>
      <c r="B451" t="s">
        <v>299</v>
      </c>
      <c r="C451" t="s">
        <v>1176</v>
      </c>
      <c r="D451" t="s">
        <v>1223</v>
      </c>
      <c r="E451" t="s">
        <v>93</v>
      </c>
      <c r="F451" t="s">
        <v>1068</v>
      </c>
      <c r="G451" t="s">
        <v>949</v>
      </c>
      <c r="H451" t="s">
        <v>1487</v>
      </c>
      <c r="I451" t="s">
        <v>908</v>
      </c>
      <c r="J451" t="s">
        <v>957</v>
      </c>
      <c r="K451" t="s">
        <v>978</v>
      </c>
      <c r="L451" t="s">
        <v>1065</v>
      </c>
      <c r="M451" t="s">
        <v>1230</v>
      </c>
      <c r="N451" t="s">
        <v>1379</v>
      </c>
      <c r="O451" t="s">
        <v>1029</v>
      </c>
      <c r="P451" t="s">
        <v>970</v>
      </c>
      <c r="Q451" t="s">
        <v>1845</v>
      </c>
      <c r="R451" t="s">
        <v>1283</v>
      </c>
      <c r="S451" t="s">
        <v>1065</v>
      </c>
      <c r="T451" t="s">
        <v>987</v>
      </c>
      <c r="U451" t="s">
        <v>1696</v>
      </c>
      <c r="V451" t="s">
        <v>987</v>
      </c>
      <c r="W451" t="s">
        <v>947</v>
      </c>
      <c r="X451" t="s">
        <v>946</v>
      </c>
      <c r="Y451" t="s">
        <v>947</v>
      </c>
      <c r="Z451" t="s">
        <v>1008</v>
      </c>
      <c r="AA451" t="s">
        <v>969</v>
      </c>
      <c r="AB451" t="s">
        <v>969</v>
      </c>
      <c r="AC451" t="s">
        <v>1064</v>
      </c>
      <c r="AD451" t="s">
        <v>1043</v>
      </c>
      <c r="AE451" t="s">
        <v>927</v>
      </c>
      <c r="AF451">
        <f t="shared" ref="AF451:AF514" si="14">(L451 * 3) + ((I451 - L451) * 2) + S451</f>
        <v>5.2</v>
      </c>
      <c r="AG451">
        <f t="shared" ref="AG451:AG514" si="15">(M451 * N451 * 3) + ((J451 - M451) * Q451 * 2) + (T451 * U451)</f>
        <v>5.2808000000000002</v>
      </c>
    </row>
    <row r="452" spans="1:33" x14ac:dyDescent="0.25">
      <c r="A452" t="s">
        <v>2389</v>
      </c>
      <c r="B452" t="s">
        <v>299</v>
      </c>
      <c r="C452" t="s">
        <v>1176</v>
      </c>
      <c r="D452" t="s">
        <v>133</v>
      </c>
      <c r="E452" t="s">
        <v>47</v>
      </c>
      <c r="F452" t="s">
        <v>973</v>
      </c>
      <c r="G452" t="s">
        <v>901</v>
      </c>
      <c r="H452" t="s">
        <v>1540</v>
      </c>
      <c r="I452" t="s">
        <v>1012</v>
      </c>
      <c r="J452" t="s">
        <v>1329</v>
      </c>
      <c r="K452" t="s">
        <v>1021</v>
      </c>
      <c r="L452" t="s">
        <v>934</v>
      </c>
      <c r="M452" t="s">
        <v>1008</v>
      </c>
      <c r="N452" t="s">
        <v>1666</v>
      </c>
      <c r="O452" t="s">
        <v>924</v>
      </c>
      <c r="P452" t="s">
        <v>1211</v>
      </c>
      <c r="Q452" t="s">
        <v>1208</v>
      </c>
      <c r="R452" t="s">
        <v>1090</v>
      </c>
      <c r="S452" t="s">
        <v>945</v>
      </c>
      <c r="T452" t="s">
        <v>1310</v>
      </c>
      <c r="U452" t="s">
        <v>1382</v>
      </c>
      <c r="V452" t="s">
        <v>923</v>
      </c>
      <c r="W452" t="s">
        <v>1104</v>
      </c>
      <c r="X452" t="s">
        <v>1155</v>
      </c>
      <c r="Y452" t="s">
        <v>1012</v>
      </c>
      <c r="Z452" t="s">
        <v>969</v>
      </c>
      <c r="AA452" t="s">
        <v>1065</v>
      </c>
      <c r="AB452" t="s">
        <v>1008</v>
      </c>
      <c r="AC452" t="s">
        <v>1029</v>
      </c>
      <c r="AD452" t="s">
        <v>1112</v>
      </c>
      <c r="AE452" t="s">
        <v>927</v>
      </c>
      <c r="AF452">
        <f t="shared" si="14"/>
        <v>6.6000000000000005</v>
      </c>
      <c r="AG452">
        <f t="shared" si="15"/>
        <v>6.7425999999999995</v>
      </c>
    </row>
    <row r="453" spans="1:33" x14ac:dyDescent="0.25">
      <c r="A453" t="s">
        <v>2391</v>
      </c>
      <c r="B453" t="s">
        <v>2392</v>
      </c>
      <c r="C453" t="s">
        <v>950</v>
      </c>
      <c r="D453" t="s">
        <v>97</v>
      </c>
      <c r="E453" t="s">
        <v>47</v>
      </c>
      <c r="F453" t="s">
        <v>1138</v>
      </c>
      <c r="G453" t="s">
        <v>1717</v>
      </c>
      <c r="H453" t="s">
        <v>1217</v>
      </c>
      <c r="I453" t="s">
        <v>956</v>
      </c>
      <c r="J453" t="s">
        <v>920</v>
      </c>
      <c r="K453" t="s">
        <v>1531</v>
      </c>
      <c r="L453" t="s">
        <v>923</v>
      </c>
      <c r="M453" t="s">
        <v>1135</v>
      </c>
      <c r="N453" t="s">
        <v>2238</v>
      </c>
      <c r="O453" t="s">
        <v>923</v>
      </c>
      <c r="P453" t="s">
        <v>1049</v>
      </c>
      <c r="Q453" t="s">
        <v>1262</v>
      </c>
      <c r="R453" t="s">
        <v>1340</v>
      </c>
      <c r="S453" t="s">
        <v>918</v>
      </c>
      <c r="T453" t="s">
        <v>1064</v>
      </c>
      <c r="U453" t="s">
        <v>1765</v>
      </c>
      <c r="V453" t="s">
        <v>1008</v>
      </c>
      <c r="W453" t="s">
        <v>925</v>
      </c>
      <c r="X453" t="s">
        <v>964</v>
      </c>
      <c r="Y453" t="s">
        <v>918</v>
      </c>
      <c r="Z453" t="s">
        <v>991</v>
      </c>
      <c r="AA453" t="s">
        <v>934</v>
      </c>
      <c r="AB453" t="s">
        <v>1008</v>
      </c>
      <c r="AC453" t="s">
        <v>1195</v>
      </c>
      <c r="AD453" t="s">
        <v>1126</v>
      </c>
      <c r="AE453" t="s">
        <v>927</v>
      </c>
      <c r="AF453">
        <f t="shared" si="14"/>
        <v>5.9</v>
      </c>
      <c r="AG453">
        <f t="shared" si="15"/>
        <v>5.9593000000000007</v>
      </c>
    </row>
    <row r="454" spans="1:33" x14ac:dyDescent="0.25">
      <c r="A454" t="s">
        <v>2393</v>
      </c>
      <c r="B454" t="s">
        <v>2394</v>
      </c>
      <c r="C454" t="s">
        <v>973</v>
      </c>
      <c r="D454" t="s">
        <v>1069</v>
      </c>
      <c r="E454" t="s">
        <v>56</v>
      </c>
      <c r="F454" t="s">
        <v>1355</v>
      </c>
      <c r="G454" t="s">
        <v>1096</v>
      </c>
      <c r="H454" t="s">
        <v>1548</v>
      </c>
      <c r="I454" t="s">
        <v>908</v>
      </c>
      <c r="J454" t="s">
        <v>1134</v>
      </c>
      <c r="K454" t="s">
        <v>1075</v>
      </c>
      <c r="L454" t="s">
        <v>945</v>
      </c>
      <c r="M454" t="s">
        <v>1220</v>
      </c>
      <c r="N454" t="s">
        <v>1784</v>
      </c>
      <c r="O454" t="s">
        <v>918</v>
      </c>
      <c r="P454" t="s">
        <v>908</v>
      </c>
      <c r="Q454" t="s">
        <v>1474</v>
      </c>
      <c r="R454" t="s">
        <v>1656</v>
      </c>
      <c r="S454" t="s">
        <v>969</v>
      </c>
      <c r="T454" t="s">
        <v>1008</v>
      </c>
      <c r="U454" t="s">
        <v>2395</v>
      </c>
      <c r="V454" t="s">
        <v>1008</v>
      </c>
      <c r="W454" t="s">
        <v>922</v>
      </c>
      <c r="X454" t="s">
        <v>924</v>
      </c>
      <c r="Y454" t="s">
        <v>924</v>
      </c>
      <c r="Z454" t="s">
        <v>969</v>
      </c>
      <c r="AA454" t="s">
        <v>934</v>
      </c>
      <c r="AB454" t="s">
        <v>1065</v>
      </c>
      <c r="AC454" t="s">
        <v>918</v>
      </c>
      <c r="AD454" t="s">
        <v>1126</v>
      </c>
      <c r="AE454" t="s">
        <v>927</v>
      </c>
      <c r="AF454">
        <f t="shared" si="14"/>
        <v>6</v>
      </c>
      <c r="AG454">
        <f t="shared" si="15"/>
        <v>5.9013</v>
      </c>
    </row>
    <row r="455" spans="1:33" x14ac:dyDescent="0.25">
      <c r="A455" t="s">
        <v>2396</v>
      </c>
      <c r="B455" t="s">
        <v>2397</v>
      </c>
      <c r="C455" t="s">
        <v>1232</v>
      </c>
      <c r="D455" t="s">
        <v>1149</v>
      </c>
      <c r="E455" t="s">
        <v>93</v>
      </c>
      <c r="F455" t="s">
        <v>1255</v>
      </c>
      <c r="G455" t="s">
        <v>1106</v>
      </c>
      <c r="H455" t="s">
        <v>2139</v>
      </c>
      <c r="I455" t="s">
        <v>1049</v>
      </c>
      <c r="J455" t="s">
        <v>1079</v>
      </c>
      <c r="K455" t="s">
        <v>1828</v>
      </c>
      <c r="L455" t="s">
        <v>923</v>
      </c>
      <c r="M455" t="s">
        <v>1000</v>
      </c>
      <c r="N455" t="s">
        <v>2095</v>
      </c>
      <c r="O455" t="s">
        <v>918</v>
      </c>
      <c r="P455" t="s">
        <v>947</v>
      </c>
      <c r="Q455" t="s">
        <v>1719</v>
      </c>
      <c r="R455" t="s">
        <v>1968</v>
      </c>
      <c r="S455" t="s">
        <v>1064</v>
      </c>
      <c r="T455" t="s">
        <v>1029</v>
      </c>
      <c r="U455" t="s">
        <v>2009</v>
      </c>
      <c r="V455" t="s">
        <v>945</v>
      </c>
      <c r="W455" t="s">
        <v>979</v>
      </c>
      <c r="X455" t="s">
        <v>957</v>
      </c>
      <c r="Y455" t="s">
        <v>945</v>
      </c>
      <c r="Z455" t="s">
        <v>1065</v>
      </c>
      <c r="AA455" t="s">
        <v>934</v>
      </c>
      <c r="AB455" t="s">
        <v>923</v>
      </c>
      <c r="AC455" t="s">
        <v>1230</v>
      </c>
      <c r="AD455" t="s">
        <v>1126</v>
      </c>
      <c r="AE455" t="s">
        <v>927</v>
      </c>
      <c r="AF455">
        <f t="shared" si="14"/>
        <v>5.9</v>
      </c>
      <c r="AG455">
        <f t="shared" si="15"/>
        <v>5.9474</v>
      </c>
    </row>
    <row r="456" spans="1:33" x14ac:dyDescent="0.25">
      <c r="A456" t="s">
        <v>2398</v>
      </c>
      <c r="B456" t="s">
        <v>2399</v>
      </c>
      <c r="C456" t="s">
        <v>995</v>
      </c>
      <c r="D456" t="s">
        <v>48</v>
      </c>
      <c r="E456" t="s">
        <v>93</v>
      </c>
      <c r="F456" t="s">
        <v>1150</v>
      </c>
      <c r="G456" t="s">
        <v>1096</v>
      </c>
      <c r="H456" t="s">
        <v>1392</v>
      </c>
      <c r="I456" t="s">
        <v>908</v>
      </c>
      <c r="J456" t="s">
        <v>957</v>
      </c>
      <c r="K456" t="s">
        <v>1577</v>
      </c>
      <c r="L456" t="s">
        <v>1195</v>
      </c>
      <c r="M456" t="s">
        <v>970</v>
      </c>
      <c r="N456" t="s">
        <v>1492</v>
      </c>
      <c r="O456" t="s">
        <v>987</v>
      </c>
      <c r="P456" t="s">
        <v>1230</v>
      </c>
      <c r="Q456" t="s">
        <v>1352</v>
      </c>
      <c r="R456" t="s">
        <v>1493</v>
      </c>
      <c r="S456" t="s">
        <v>1065</v>
      </c>
      <c r="T456" t="s">
        <v>969</v>
      </c>
      <c r="U456" t="s">
        <v>1007</v>
      </c>
      <c r="V456" t="s">
        <v>923</v>
      </c>
      <c r="W456" t="s">
        <v>1211</v>
      </c>
      <c r="X456" t="s">
        <v>1092</v>
      </c>
      <c r="Y456" t="s">
        <v>1012</v>
      </c>
      <c r="Z456" t="s">
        <v>1065</v>
      </c>
      <c r="AA456" t="s">
        <v>969</v>
      </c>
      <c r="AB456" t="s">
        <v>1008</v>
      </c>
      <c r="AC456" t="s">
        <v>922</v>
      </c>
      <c r="AD456" t="s">
        <v>1126</v>
      </c>
      <c r="AE456" t="s">
        <v>927</v>
      </c>
      <c r="AF456">
        <f t="shared" si="14"/>
        <v>6</v>
      </c>
      <c r="AG456">
        <f t="shared" si="15"/>
        <v>5.8915000000000006</v>
      </c>
    </row>
    <row r="457" spans="1:33" x14ac:dyDescent="0.25">
      <c r="A457" t="s">
        <v>2400</v>
      </c>
      <c r="B457" t="s">
        <v>2401</v>
      </c>
      <c r="C457" t="s">
        <v>973</v>
      </c>
      <c r="D457" t="s">
        <v>974</v>
      </c>
      <c r="E457" t="s">
        <v>72</v>
      </c>
      <c r="F457" t="s">
        <v>1147</v>
      </c>
      <c r="G457" t="s">
        <v>928</v>
      </c>
      <c r="H457" t="s">
        <v>911</v>
      </c>
      <c r="I457" t="s">
        <v>1012</v>
      </c>
      <c r="J457" t="s">
        <v>1155</v>
      </c>
      <c r="K457" t="s">
        <v>2290</v>
      </c>
      <c r="L457" t="s">
        <v>1600</v>
      </c>
      <c r="M457" t="s">
        <v>1600</v>
      </c>
      <c r="N457" t="s">
        <v>927</v>
      </c>
      <c r="O457" t="s">
        <v>1012</v>
      </c>
      <c r="P457" t="s">
        <v>1155</v>
      </c>
      <c r="Q457" t="s">
        <v>2290</v>
      </c>
      <c r="R457" t="s">
        <v>2290</v>
      </c>
      <c r="S457" t="s">
        <v>969</v>
      </c>
      <c r="T457" t="s">
        <v>987</v>
      </c>
      <c r="U457" t="s">
        <v>1133</v>
      </c>
      <c r="V457" t="s">
        <v>918</v>
      </c>
      <c r="W457" t="s">
        <v>993</v>
      </c>
      <c r="X457" t="s">
        <v>1000</v>
      </c>
      <c r="Y457" t="s">
        <v>934</v>
      </c>
      <c r="Z457" t="s">
        <v>1065</v>
      </c>
      <c r="AA457" t="s">
        <v>1094</v>
      </c>
      <c r="AB457" t="s">
        <v>987</v>
      </c>
      <c r="AC457" t="s">
        <v>1195</v>
      </c>
      <c r="AD457" t="s">
        <v>1079</v>
      </c>
      <c r="AE457" t="s">
        <v>927</v>
      </c>
      <c r="AF457">
        <f t="shared" si="14"/>
        <v>5.8</v>
      </c>
      <c r="AG457" t="e">
        <f t="shared" si="15"/>
        <v>#VALUE!</v>
      </c>
    </row>
    <row r="458" spans="1:33" x14ac:dyDescent="0.25">
      <c r="A458" t="s">
        <v>2400</v>
      </c>
      <c r="B458" t="s">
        <v>2401</v>
      </c>
      <c r="C458" t="s">
        <v>973</v>
      </c>
      <c r="D458" t="s">
        <v>170</v>
      </c>
      <c r="E458" t="s">
        <v>72</v>
      </c>
      <c r="F458" t="s">
        <v>1096</v>
      </c>
      <c r="G458" t="s">
        <v>1717</v>
      </c>
      <c r="H458" t="s">
        <v>1005</v>
      </c>
      <c r="I458" t="s">
        <v>1230</v>
      </c>
      <c r="J458" t="s">
        <v>925</v>
      </c>
      <c r="K458" t="s">
        <v>2028</v>
      </c>
      <c r="L458" t="s">
        <v>1600</v>
      </c>
      <c r="M458" t="s">
        <v>1600</v>
      </c>
      <c r="N458" t="s">
        <v>927</v>
      </c>
      <c r="O458" t="s">
        <v>1230</v>
      </c>
      <c r="P458" t="s">
        <v>925</v>
      </c>
      <c r="Q458" t="s">
        <v>2028</v>
      </c>
      <c r="R458" t="s">
        <v>2028</v>
      </c>
      <c r="S458" t="s">
        <v>1094</v>
      </c>
      <c r="T458" t="s">
        <v>969</v>
      </c>
      <c r="U458" t="s">
        <v>1836</v>
      </c>
      <c r="V458" t="s">
        <v>991</v>
      </c>
      <c r="W458" t="s">
        <v>923</v>
      </c>
      <c r="X458" t="s">
        <v>1230</v>
      </c>
      <c r="Y458" t="s">
        <v>1600</v>
      </c>
      <c r="Z458" t="s">
        <v>934</v>
      </c>
      <c r="AA458" t="s">
        <v>1119</v>
      </c>
      <c r="AB458" t="s">
        <v>1008</v>
      </c>
      <c r="AC458" t="s">
        <v>1008</v>
      </c>
      <c r="AD458" t="s">
        <v>1048</v>
      </c>
      <c r="AE458" t="s">
        <v>927</v>
      </c>
      <c r="AF458">
        <f t="shared" si="14"/>
        <v>3.0999999999999996</v>
      </c>
      <c r="AG458" t="e">
        <f t="shared" si="15"/>
        <v>#VALUE!</v>
      </c>
    </row>
    <row r="459" spans="1:33" x14ac:dyDescent="0.25">
      <c r="A459" t="s">
        <v>2400</v>
      </c>
      <c r="B459" t="s">
        <v>2401</v>
      </c>
      <c r="C459" t="s">
        <v>973</v>
      </c>
      <c r="D459" t="s">
        <v>151</v>
      </c>
      <c r="E459" t="s">
        <v>72</v>
      </c>
      <c r="F459" t="s">
        <v>972</v>
      </c>
      <c r="G459" t="s">
        <v>928</v>
      </c>
      <c r="H459" t="s">
        <v>2255</v>
      </c>
      <c r="I459" t="s">
        <v>1043</v>
      </c>
      <c r="J459" t="s">
        <v>1118</v>
      </c>
      <c r="K459" t="s">
        <v>1674</v>
      </c>
      <c r="L459" t="s">
        <v>1600</v>
      </c>
      <c r="M459" t="s">
        <v>1600</v>
      </c>
      <c r="N459" t="s">
        <v>927</v>
      </c>
      <c r="O459" t="s">
        <v>1043</v>
      </c>
      <c r="P459" t="s">
        <v>1118</v>
      </c>
      <c r="Q459" t="s">
        <v>1674</v>
      </c>
      <c r="R459" t="s">
        <v>1674</v>
      </c>
      <c r="S459" t="s">
        <v>1195</v>
      </c>
      <c r="T459" t="s">
        <v>1310</v>
      </c>
      <c r="U459" t="s">
        <v>1765</v>
      </c>
      <c r="V459" t="s">
        <v>956</v>
      </c>
      <c r="W459" t="s">
        <v>1079</v>
      </c>
      <c r="X459" t="s">
        <v>1011</v>
      </c>
      <c r="Y459" t="s">
        <v>1065</v>
      </c>
      <c r="Z459" t="s">
        <v>923</v>
      </c>
      <c r="AA459" t="s">
        <v>987</v>
      </c>
      <c r="AB459" t="s">
        <v>1195</v>
      </c>
      <c r="AC459" t="s">
        <v>1104</v>
      </c>
      <c r="AD459" t="s">
        <v>931</v>
      </c>
      <c r="AE459" t="s">
        <v>927</v>
      </c>
      <c r="AF459">
        <f t="shared" si="14"/>
        <v>11.9</v>
      </c>
      <c r="AG459" t="e">
        <f t="shared" si="15"/>
        <v>#VALUE!</v>
      </c>
    </row>
    <row r="460" spans="1:33" x14ac:dyDescent="0.25">
      <c r="A460" t="s">
        <v>2402</v>
      </c>
      <c r="B460" t="s">
        <v>370</v>
      </c>
      <c r="C460" t="s">
        <v>1245</v>
      </c>
      <c r="D460" t="s">
        <v>108</v>
      </c>
      <c r="E460" t="s">
        <v>72</v>
      </c>
      <c r="F460" t="s">
        <v>1165</v>
      </c>
      <c r="G460" t="s">
        <v>1121</v>
      </c>
      <c r="H460" t="s">
        <v>1635</v>
      </c>
      <c r="I460" t="s">
        <v>947</v>
      </c>
      <c r="J460" t="s">
        <v>970</v>
      </c>
      <c r="K460" t="s">
        <v>1983</v>
      </c>
      <c r="L460" t="s">
        <v>1600</v>
      </c>
      <c r="M460" t="s">
        <v>1600</v>
      </c>
      <c r="N460" t="s">
        <v>1646</v>
      </c>
      <c r="O460" t="s">
        <v>947</v>
      </c>
      <c r="P460" t="s">
        <v>970</v>
      </c>
      <c r="Q460" t="s">
        <v>2403</v>
      </c>
      <c r="R460" t="s">
        <v>1983</v>
      </c>
      <c r="S460" t="s">
        <v>945</v>
      </c>
      <c r="T460" t="s">
        <v>922</v>
      </c>
      <c r="U460" t="s">
        <v>2404</v>
      </c>
      <c r="V460" t="s">
        <v>1029</v>
      </c>
      <c r="W460" t="s">
        <v>1012</v>
      </c>
      <c r="X460" t="s">
        <v>1081</v>
      </c>
      <c r="Y460" t="s">
        <v>1065</v>
      </c>
      <c r="Z460" t="s">
        <v>991</v>
      </c>
      <c r="AA460" t="s">
        <v>945</v>
      </c>
      <c r="AB460" t="s">
        <v>1064</v>
      </c>
      <c r="AC460" t="s">
        <v>925</v>
      </c>
      <c r="AD460" t="s">
        <v>1079</v>
      </c>
      <c r="AE460" t="s">
        <v>927</v>
      </c>
      <c r="AF460">
        <f t="shared" si="14"/>
        <v>5.8</v>
      </c>
      <c r="AG460">
        <f t="shared" si="15"/>
        <v>5.8052000000000001</v>
      </c>
    </row>
    <row r="461" spans="1:33" x14ac:dyDescent="0.25">
      <c r="A461" t="s">
        <v>2405</v>
      </c>
      <c r="B461" t="s">
        <v>2406</v>
      </c>
      <c r="C461" t="s">
        <v>902</v>
      </c>
      <c r="D461" t="s">
        <v>170</v>
      </c>
      <c r="E461" t="s">
        <v>56</v>
      </c>
      <c r="F461" t="s">
        <v>1015</v>
      </c>
      <c r="G461" t="s">
        <v>1067</v>
      </c>
      <c r="H461" t="s">
        <v>1199</v>
      </c>
      <c r="I461" t="s">
        <v>908</v>
      </c>
      <c r="J461" t="s">
        <v>1103</v>
      </c>
      <c r="K461" t="s">
        <v>1426</v>
      </c>
      <c r="L461" t="s">
        <v>1065</v>
      </c>
      <c r="M461" t="s">
        <v>1230</v>
      </c>
      <c r="N461" t="s">
        <v>910</v>
      </c>
      <c r="O461" t="s">
        <v>1310</v>
      </c>
      <c r="P461" t="s">
        <v>964</v>
      </c>
      <c r="Q461" t="s">
        <v>1551</v>
      </c>
      <c r="R461" t="s">
        <v>1058</v>
      </c>
      <c r="S461" t="s">
        <v>1064</v>
      </c>
      <c r="T461" t="s">
        <v>1230</v>
      </c>
      <c r="U461" t="s">
        <v>1185</v>
      </c>
      <c r="V461" t="s">
        <v>1065</v>
      </c>
      <c r="W461" t="s">
        <v>1064</v>
      </c>
      <c r="X461" t="s">
        <v>1029</v>
      </c>
      <c r="Y461" t="s">
        <v>1049</v>
      </c>
      <c r="Z461" t="s">
        <v>987</v>
      </c>
      <c r="AA461" t="s">
        <v>934</v>
      </c>
      <c r="AB461" t="s">
        <v>969</v>
      </c>
      <c r="AC461" t="s">
        <v>1310</v>
      </c>
      <c r="AD461" t="s">
        <v>1079</v>
      </c>
      <c r="AE461" t="s">
        <v>927</v>
      </c>
      <c r="AF461">
        <f t="shared" si="14"/>
        <v>5.8000000000000007</v>
      </c>
      <c r="AG461">
        <f t="shared" si="15"/>
        <v>5.8040000000000003</v>
      </c>
    </row>
    <row r="462" spans="1:33" x14ac:dyDescent="0.25">
      <c r="A462" t="s">
        <v>2407</v>
      </c>
      <c r="B462" t="s">
        <v>2408</v>
      </c>
      <c r="C462" t="s">
        <v>1293</v>
      </c>
      <c r="D462" t="s">
        <v>95</v>
      </c>
      <c r="E462" t="s">
        <v>72</v>
      </c>
      <c r="F462" t="s">
        <v>1238</v>
      </c>
      <c r="G462" t="s">
        <v>949</v>
      </c>
      <c r="H462" t="s">
        <v>1553</v>
      </c>
      <c r="I462" t="s">
        <v>993</v>
      </c>
      <c r="J462" t="s">
        <v>1160</v>
      </c>
      <c r="K462" t="s">
        <v>1987</v>
      </c>
      <c r="L462" t="s">
        <v>1119</v>
      </c>
      <c r="M462" t="s">
        <v>934</v>
      </c>
      <c r="N462" t="s">
        <v>1666</v>
      </c>
      <c r="O462" t="s">
        <v>993</v>
      </c>
      <c r="P462" t="s">
        <v>1155</v>
      </c>
      <c r="Q462" t="s">
        <v>2409</v>
      </c>
      <c r="R462" t="s">
        <v>2166</v>
      </c>
      <c r="S462" t="s">
        <v>987</v>
      </c>
      <c r="T462" t="s">
        <v>918</v>
      </c>
      <c r="U462" t="s">
        <v>1301</v>
      </c>
      <c r="V462" t="s">
        <v>968</v>
      </c>
      <c r="W462" t="s">
        <v>1081</v>
      </c>
      <c r="X462" t="s">
        <v>1126</v>
      </c>
      <c r="Y462" t="s">
        <v>1064</v>
      </c>
      <c r="Z462" t="s">
        <v>1008</v>
      </c>
      <c r="AA462" t="s">
        <v>922</v>
      </c>
      <c r="AB462" t="s">
        <v>918</v>
      </c>
      <c r="AC462" t="s">
        <v>1029</v>
      </c>
      <c r="AD462" t="s">
        <v>1079</v>
      </c>
      <c r="AE462" t="s">
        <v>927</v>
      </c>
      <c r="AF462">
        <f t="shared" si="14"/>
        <v>5.8999999999999995</v>
      </c>
      <c r="AG462">
        <f t="shared" si="15"/>
        <v>5.8258000000000001</v>
      </c>
    </row>
    <row r="463" spans="1:33" x14ac:dyDescent="0.25">
      <c r="A463" t="s">
        <v>2410</v>
      </c>
      <c r="B463" t="s">
        <v>2411</v>
      </c>
      <c r="C463" t="s">
        <v>1032</v>
      </c>
      <c r="D463" t="s">
        <v>1149</v>
      </c>
      <c r="E463" t="s">
        <v>72</v>
      </c>
      <c r="F463" t="s">
        <v>1271</v>
      </c>
      <c r="G463" t="s">
        <v>1083</v>
      </c>
      <c r="H463" t="s">
        <v>1418</v>
      </c>
      <c r="I463" t="s">
        <v>924</v>
      </c>
      <c r="J463" t="s">
        <v>1160</v>
      </c>
      <c r="K463" t="s">
        <v>1542</v>
      </c>
      <c r="L463" t="s">
        <v>1600</v>
      </c>
      <c r="M463" t="s">
        <v>1119</v>
      </c>
      <c r="N463" t="s">
        <v>1646</v>
      </c>
      <c r="O463" t="s">
        <v>924</v>
      </c>
      <c r="P463" t="s">
        <v>1160</v>
      </c>
      <c r="Q463" t="s">
        <v>1325</v>
      </c>
      <c r="R463" t="s">
        <v>1542</v>
      </c>
      <c r="S463" t="s">
        <v>923</v>
      </c>
      <c r="T463" t="s">
        <v>1029</v>
      </c>
      <c r="U463" t="s">
        <v>1856</v>
      </c>
      <c r="V463" t="s">
        <v>1012</v>
      </c>
      <c r="W463" t="s">
        <v>979</v>
      </c>
      <c r="X463" t="s">
        <v>985</v>
      </c>
      <c r="Y463" t="s">
        <v>987</v>
      </c>
      <c r="Z463" t="s">
        <v>969</v>
      </c>
      <c r="AA463" t="s">
        <v>969</v>
      </c>
      <c r="AB463" t="s">
        <v>918</v>
      </c>
      <c r="AC463" t="s">
        <v>1310</v>
      </c>
      <c r="AD463" t="s">
        <v>909</v>
      </c>
      <c r="AE463" t="s">
        <v>927</v>
      </c>
      <c r="AF463">
        <f t="shared" si="14"/>
        <v>5.8</v>
      </c>
      <c r="AG463">
        <f t="shared" si="15"/>
        <v>5.5804</v>
      </c>
    </row>
    <row r="464" spans="1:33" x14ac:dyDescent="0.25">
      <c r="A464" t="s">
        <v>2412</v>
      </c>
      <c r="B464" t="s">
        <v>2413</v>
      </c>
      <c r="C464" t="s">
        <v>1238</v>
      </c>
      <c r="D464" t="s">
        <v>1279</v>
      </c>
      <c r="E464" t="s">
        <v>47</v>
      </c>
      <c r="F464" t="s">
        <v>1238</v>
      </c>
      <c r="G464" t="s">
        <v>1717</v>
      </c>
      <c r="H464" t="s">
        <v>1815</v>
      </c>
      <c r="I464" t="s">
        <v>956</v>
      </c>
      <c r="J464" t="s">
        <v>1134</v>
      </c>
      <c r="K464" t="s">
        <v>1538</v>
      </c>
      <c r="L464" t="s">
        <v>922</v>
      </c>
      <c r="M464" t="s">
        <v>1030</v>
      </c>
      <c r="N464" t="s">
        <v>1319</v>
      </c>
      <c r="O464" t="s">
        <v>1094</v>
      </c>
      <c r="P464" t="s">
        <v>1064</v>
      </c>
      <c r="Q464" t="s">
        <v>2414</v>
      </c>
      <c r="R464" t="s">
        <v>1374</v>
      </c>
      <c r="S464" t="s">
        <v>934</v>
      </c>
      <c r="T464" t="s">
        <v>1094</v>
      </c>
      <c r="U464" t="s">
        <v>1836</v>
      </c>
      <c r="V464" t="s">
        <v>934</v>
      </c>
      <c r="W464" t="s">
        <v>1195</v>
      </c>
      <c r="X464" t="s">
        <v>1310</v>
      </c>
      <c r="Y464" t="s">
        <v>969</v>
      </c>
      <c r="Z464" t="s">
        <v>1094</v>
      </c>
      <c r="AA464" t="s">
        <v>1119</v>
      </c>
      <c r="AB464" t="s">
        <v>987</v>
      </c>
      <c r="AC464" t="s">
        <v>1064</v>
      </c>
      <c r="AD464" t="s">
        <v>909</v>
      </c>
      <c r="AE464" t="s">
        <v>927</v>
      </c>
      <c r="AF464">
        <f t="shared" si="14"/>
        <v>5.8999999999999995</v>
      </c>
      <c r="AG464">
        <f t="shared" si="15"/>
        <v>5.7312000000000003</v>
      </c>
    </row>
    <row r="465" spans="1:33" x14ac:dyDescent="0.25">
      <c r="A465" t="s">
        <v>2415</v>
      </c>
      <c r="B465" t="s">
        <v>418</v>
      </c>
      <c r="C465" t="s">
        <v>1293</v>
      </c>
      <c r="D465" t="s">
        <v>129</v>
      </c>
      <c r="E465" t="s">
        <v>63</v>
      </c>
      <c r="F465" t="s">
        <v>975</v>
      </c>
      <c r="G465" t="s">
        <v>1717</v>
      </c>
      <c r="H465" t="s">
        <v>1460</v>
      </c>
      <c r="I465" t="s">
        <v>908</v>
      </c>
      <c r="J465" t="s">
        <v>1211</v>
      </c>
      <c r="K465" t="s">
        <v>1141</v>
      </c>
      <c r="L465" t="s">
        <v>945</v>
      </c>
      <c r="M465" t="s">
        <v>946</v>
      </c>
      <c r="N465" t="s">
        <v>1225</v>
      </c>
      <c r="O465" t="s">
        <v>918</v>
      </c>
      <c r="P465" t="s">
        <v>1310</v>
      </c>
      <c r="Q465" t="s">
        <v>1856</v>
      </c>
      <c r="R465" t="s">
        <v>1542</v>
      </c>
      <c r="S465" t="s">
        <v>934</v>
      </c>
      <c r="T465" t="s">
        <v>991</v>
      </c>
      <c r="U465" t="s">
        <v>1696</v>
      </c>
      <c r="V465" t="s">
        <v>934</v>
      </c>
      <c r="W465" t="s">
        <v>923</v>
      </c>
      <c r="X465" t="s">
        <v>945</v>
      </c>
      <c r="Y465" t="s">
        <v>1065</v>
      </c>
      <c r="Z465" t="s">
        <v>1065</v>
      </c>
      <c r="AA465" t="s">
        <v>1600</v>
      </c>
      <c r="AB465" t="s">
        <v>991</v>
      </c>
      <c r="AC465" t="s">
        <v>923</v>
      </c>
      <c r="AD465" t="s">
        <v>909</v>
      </c>
      <c r="AE465" t="s">
        <v>927</v>
      </c>
      <c r="AF465">
        <f t="shared" si="14"/>
        <v>5.6000000000000005</v>
      </c>
      <c r="AG465">
        <f t="shared" si="15"/>
        <v>5.7439</v>
      </c>
    </row>
    <row r="466" spans="1:33" x14ac:dyDescent="0.25">
      <c r="A466" t="s">
        <v>2416</v>
      </c>
      <c r="B466" t="s">
        <v>2417</v>
      </c>
      <c r="C466" t="s">
        <v>902</v>
      </c>
      <c r="D466" t="s">
        <v>1014</v>
      </c>
      <c r="E466" t="s">
        <v>56</v>
      </c>
      <c r="F466" t="s">
        <v>950</v>
      </c>
      <c r="G466" t="s">
        <v>1031</v>
      </c>
      <c r="H466" t="s">
        <v>937</v>
      </c>
      <c r="I466" t="s">
        <v>925</v>
      </c>
      <c r="J466" t="s">
        <v>920</v>
      </c>
      <c r="K466" t="s">
        <v>1018</v>
      </c>
      <c r="L466" t="s">
        <v>918</v>
      </c>
      <c r="M466" t="s">
        <v>947</v>
      </c>
      <c r="N466" t="s">
        <v>2226</v>
      </c>
      <c r="O466" t="s">
        <v>1195</v>
      </c>
      <c r="P466" t="s">
        <v>1012</v>
      </c>
      <c r="Q466" t="s">
        <v>1845</v>
      </c>
      <c r="R466" t="s">
        <v>1171</v>
      </c>
      <c r="S466" t="s">
        <v>1094</v>
      </c>
      <c r="T466" t="s">
        <v>991</v>
      </c>
      <c r="U466" t="s">
        <v>1597</v>
      </c>
      <c r="V466" t="s">
        <v>1195</v>
      </c>
      <c r="W466" t="s">
        <v>1012</v>
      </c>
      <c r="X466" t="s">
        <v>1160</v>
      </c>
      <c r="Y466" t="s">
        <v>1230</v>
      </c>
      <c r="Z466" t="s">
        <v>923</v>
      </c>
      <c r="AA466" t="s">
        <v>991</v>
      </c>
      <c r="AB466" t="s">
        <v>918</v>
      </c>
      <c r="AC466" t="s">
        <v>1310</v>
      </c>
      <c r="AD466" t="s">
        <v>1092</v>
      </c>
      <c r="AE466" t="s">
        <v>927</v>
      </c>
      <c r="AF466">
        <f t="shared" si="14"/>
        <v>5.6000000000000005</v>
      </c>
      <c r="AG466">
        <f t="shared" si="15"/>
        <v>5.5927999999999995</v>
      </c>
    </row>
    <row r="467" spans="1:33" x14ac:dyDescent="0.25">
      <c r="A467" t="s">
        <v>2418</v>
      </c>
      <c r="B467" t="s">
        <v>2419</v>
      </c>
      <c r="C467" t="s">
        <v>1015</v>
      </c>
      <c r="D467" t="s">
        <v>974</v>
      </c>
      <c r="E467" t="s">
        <v>63</v>
      </c>
      <c r="F467" t="s">
        <v>1489</v>
      </c>
      <c r="G467" t="s">
        <v>928</v>
      </c>
      <c r="H467" t="s">
        <v>1675</v>
      </c>
      <c r="I467" t="s">
        <v>956</v>
      </c>
      <c r="J467" t="s">
        <v>1047</v>
      </c>
      <c r="K467" t="s">
        <v>1440</v>
      </c>
      <c r="L467" t="s">
        <v>1008</v>
      </c>
      <c r="M467" t="s">
        <v>1049</v>
      </c>
      <c r="N467" t="s">
        <v>1625</v>
      </c>
      <c r="O467" t="s">
        <v>1230</v>
      </c>
      <c r="P467" t="s">
        <v>1012</v>
      </c>
      <c r="Q467" t="s">
        <v>1667</v>
      </c>
      <c r="R467" t="s">
        <v>1171</v>
      </c>
      <c r="S467" t="s">
        <v>987</v>
      </c>
      <c r="T467" t="s">
        <v>923</v>
      </c>
      <c r="U467" t="s">
        <v>1330</v>
      </c>
      <c r="V467" t="s">
        <v>1065</v>
      </c>
      <c r="W467" t="s">
        <v>1195</v>
      </c>
      <c r="X467" t="s">
        <v>968</v>
      </c>
      <c r="Y467" t="s">
        <v>968</v>
      </c>
      <c r="Z467" t="s">
        <v>991</v>
      </c>
      <c r="AA467" t="s">
        <v>1119</v>
      </c>
      <c r="AB467" t="s">
        <v>1008</v>
      </c>
      <c r="AC467" t="s">
        <v>945</v>
      </c>
      <c r="AD467" t="s">
        <v>1291</v>
      </c>
      <c r="AE467" t="s">
        <v>927</v>
      </c>
      <c r="AF467">
        <f t="shared" si="14"/>
        <v>5.4999999999999991</v>
      </c>
      <c r="AG467">
        <f t="shared" si="15"/>
        <v>5.5415999999999999</v>
      </c>
    </row>
    <row r="468" spans="1:33" x14ac:dyDescent="0.25">
      <c r="A468" t="s">
        <v>2418</v>
      </c>
      <c r="B468" t="s">
        <v>2419</v>
      </c>
      <c r="C468" t="s">
        <v>1015</v>
      </c>
      <c r="D468" t="s">
        <v>1279</v>
      </c>
      <c r="E468" t="s">
        <v>63</v>
      </c>
      <c r="F468" t="s">
        <v>1293</v>
      </c>
      <c r="G468" t="s">
        <v>901</v>
      </c>
      <c r="H468" t="s">
        <v>1281</v>
      </c>
      <c r="I468" t="s">
        <v>1220</v>
      </c>
      <c r="J468" t="s">
        <v>1079</v>
      </c>
      <c r="K468" t="s">
        <v>1364</v>
      </c>
      <c r="L468" t="s">
        <v>923</v>
      </c>
      <c r="M468" t="s">
        <v>1220</v>
      </c>
      <c r="N468" t="s">
        <v>1461</v>
      </c>
      <c r="O468" t="s">
        <v>922</v>
      </c>
      <c r="P468" t="s">
        <v>946</v>
      </c>
      <c r="Q468" t="s">
        <v>1352</v>
      </c>
      <c r="R468" t="s">
        <v>1656</v>
      </c>
      <c r="S468" t="s">
        <v>918</v>
      </c>
      <c r="T468" t="s">
        <v>945</v>
      </c>
      <c r="U468" t="s">
        <v>1866</v>
      </c>
      <c r="V468" t="s">
        <v>969</v>
      </c>
      <c r="W468" t="s">
        <v>1195</v>
      </c>
      <c r="X468" t="s">
        <v>1049</v>
      </c>
      <c r="Y468" t="s">
        <v>924</v>
      </c>
      <c r="Z468" t="s">
        <v>969</v>
      </c>
      <c r="AA468" t="s">
        <v>1600</v>
      </c>
      <c r="AB468" t="s">
        <v>1008</v>
      </c>
      <c r="AC468" t="s">
        <v>1029</v>
      </c>
      <c r="AD468" t="s">
        <v>988</v>
      </c>
      <c r="AE468" t="s">
        <v>927</v>
      </c>
      <c r="AF468">
        <f t="shared" si="14"/>
        <v>7.3000000000000007</v>
      </c>
      <c r="AG468">
        <f t="shared" si="15"/>
        <v>7.3403</v>
      </c>
    </row>
    <row r="469" spans="1:33" x14ac:dyDescent="0.25">
      <c r="A469" t="s">
        <v>2418</v>
      </c>
      <c r="B469" t="s">
        <v>2419</v>
      </c>
      <c r="C469" t="s">
        <v>1015</v>
      </c>
      <c r="D469" t="s">
        <v>1014</v>
      </c>
      <c r="E469" t="s">
        <v>63</v>
      </c>
      <c r="F469" t="s">
        <v>929</v>
      </c>
      <c r="G469" t="s">
        <v>901</v>
      </c>
      <c r="H469" t="s">
        <v>1002</v>
      </c>
      <c r="I469" t="s">
        <v>1230</v>
      </c>
      <c r="J469" t="s">
        <v>1048</v>
      </c>
      <c r="K469" t="s">
        <v>1784</v>
      </c>
      <c r="L469" t="s">
        <v>1094</v>
      </c>
      <c r="M469" t="s">
        <v>1064</v>
      </c>
      <c r="N469" t="s">
        <v>2420</v>
      </c>
      <c r="O469" t="s">
        <v>1064</v>
      </c>
      <c r="P469" t="s">
        <v>908</v>
      </c>
      <c r="Q469" t="s">
        <v>1471</v>
      </c>
      <c r="R469" t="s">
        <v>1514</v>
      </c>
      <c r="S469" t="s">
        <v>1008</v>
      </c>
      <c r="T469" t="s">
        <v>918</v>
      </c>
      <c r="U469" t="s">
        <v>1102</v>
      </c>
      <c r="V469" t="s">
        <v>1065</v>
      </c>
      <c r="W469" t="s">
        <v>1195</v>
      </c>
      <c r="X469" t="s">
        <v>968</v>
      </c>
      <c r="Y469" t="s">
        <v>1195</v>
      </c>
      <c r="Z469" t="s">
        <v>1094</v>
      </c>
      <c r="AA469" t="s">
        <v>1119</v>
      </c>
      <c r="AB469" t="s">
        <v>1008</v>
      </c>
      <c r="AC469" t="s">
        <v>987</v>
      </c>
      <c r="AD469" t="s">
        <v>1160</v>
      </c>
      <c r="AE469" t="s">
        <v>927</v>
      </c>
      <c r="AF469">
        <f t="shared" si="14"/>
        <v>3.8</v>
      </c>
      <c r="AG469">
        <f t="shared" si="15"/>
        <v>3.8652000000000002</v>
      </c>
    </row>
    <row r="470" spans="1:33" x14ac:dyDescent="0.25">
      <c r="A470" t="s">
        <v>2421</v>
      </c>
      <c r="B470" t="s">
        <v>2422</v>
      </c>
      <c r="C470" t="s">
        <v>1015</v>
      </c>
      <c r="D470" t="s">
        <v>65</v>
      </c>
      <c r="E470" t="s">
        <v>56</v>
      </c>
      <c r="F470" t="s">
        <v>1070</v>
      </c>
      <c r="G470" t="s">
        <v>949</v>
      </c>
      <c r="H470" t="s">
        <v>1244</v>
      </c>
      <c r="I470" t="s">
        <v>1049</v>
      </c>
      <c r="J470" t="s">
        <v>1170</v>
      </c>
      <c r="K470" t="s">
        <v>1088</v>
      </c>
      <c r="L470" t="s">
        <v>945</v>
      </c>
      <c r="M470" t="s">
        <v>964</v>
      </c>
      <c r="N470" t="s">
        <v>1686</v>
      </c>
      <c r="O470" t="s">
        <v>1008</v>
      </c>
      <c r="P470" t="s">
        <v>1230</v>
      </c>
      <c r="Q470" t="s">
        <v>1208</v>
      </c>
      <c r="R470" t="s">
        <v>913</v>
      </c>
      <c r="S470" t="s">
        <v>1065</v>
      </c>
      <c r="T470" t="s">
        <v>1008</v>
      </c>
      <c r="U470" t="s">
        <v>1243</v>
      </c>
      <c r="V470" t="s">
        <v>934</v>
      </c>
      <c r="W470" t="s">
        <v>923</v>
      </c>
      <c r="X470" t="s">
        <v>1195</v>
      </c>
      <c r="Y470" t="s">
        <v>1195</v>
      </c>
      <c r="Z470" t="s">
        <v>1094</v>
      </c>
      <c r="AA470" t="s">
        <v>934</v>
      </c>
      <c r="AB470" t="s">
        <v>969</v>
      </c>
      <c r="AC470" t="s">
        <v>923</v>
      </c>
      <c r="AD470" t="s">
        <v>1291</v>
      </c>
      <c r="AE470" t="s">
        <v>927</v>
      </c>
      <c r="AF470">
        <f t="shared" si="14"/>
        <v>5.5</v>
      </c>
      <c r="AG470">
        <f t="shared" si="15"/>
        <v>5.4904999999999999</v>
      </c>
    </row>
    <row r="471" spans="1:33" x14ac:dyDescent="0.25">
      <c r="A471" t="s">
        <v>2423</v>
      </c>
      <c r="B471" t="s">
        <v>2424</v>
      </c>
      <c r="C471" t="s">
        <v>1384</v>
      </c>
      <c r="D471" t="s">
        <v>65</v>
      </c>
      <c r="E471" t="s">
        <v>93</v>
      </c>
      <c r="F471" t="s">
        <v>1204</v>
      </c>
      <c r="G471" t="s">
        <v>949</v>
      </c>
      <c r="H471" t="s">
        <v>1113</v>
      </c>
      <c r="I471" t="s">
        <v>1049</v>
      </c>
      <c r="J471" t="s">
        <v>1155</v>
      </c>
      <c r="K471" t="s">
        <v>1340</v>
      </c>
      <c r="L471" t="s">
        <v>918</v>
      </c>
      <c r="M471" t="s">
        <v>993</v>
      </c>
      <c r="N471" t="s">
        <v>1798</v>
      </c>
      <c r="O471" t="s">
        <v>923</v>
      </c>
      <c r="P471" t="s">
        <v>1195</v>
      </c>
      <c r="Q471" t="s">
        <v>1972</v>
      </c>
      <c r="R471" t="s">
        <v>2103</v>
      </c>
      <c r="S471" t="s">
        <v>1008</v>
      </c>
      <c r="T471" t="s">
        <v>987</v>
      </c>
      <c r="U471" t="s">
        <v>2425</v>
      </c>
      <c r="V471" t="s">
        <v>1094</v>
      </c>
      <c r="W471" t="s">
        <v>1310</v>
      </c>
      <c r="X471" t="s">
        <v>968</v>
      </c>
      <c r="Y471" t="s">
        <v>969</v>
      </c>
      <c r="Z471" t="s">
        <v>934</v>
      </c>
      <c r="AA471" t="s">
        <v>1119</v>
      </c>
      <c r="AB471" t="s">
        <v>1094</v>
      </c>
      <c r="AC471" t="s">
        <v>923</v>
      </c>
      <c r="AD471" t="s">
        <v>1329</v>
      </c>
      <c r="AE471" t="s">
        <v>927</v>
      </c>
      <c r="AF471">
        <f t="shared" si="14"/>
        <v>5.4</v>
      </c>
      <c r="AG471">
        <f t="shared" si="15"/>
        <v>5.3800999999999997</v>
      </c>
    </row>
    <row r="472" spans="1:33" x14ac:dyDescent="0.25">
      <c r="A472" t="s">
        <v>2426</v>
      </c>
      <c r="B472" t="s">
        <v>2427</v>
      </c>
      <c r="C472" t="s">
        <v>1293</v>
      </c>
      <c r="D472" t="s">
        <v>142</v>
      </c>
      <c r="E472" t="s">
        <v>93</v>
      </c>
      <c r="F472" t="s">
        <v>1271</v>
      </c>
      <c r="G472" t="s">
        <v>901</v>
      </c>
      <c r="H472" t="s">
        <v>1183</v>
      </c>
      <c r="I472" t="s">
        <v>1049</v>
      </c>
      <c r="J472" t="s">
        <v>1211</v>
      </c>
      <c r="K472" t="s">
        <v>1968</v>
      </c>
      <c r="L472" t="s">
        <v>1065</v>
      </c>
      <c r="M472" t="s">
        <v>908</v>
      </c>
      <c r="N472" t="s">
        <v>2227</v>
      </c>
      <c r="O472" t="s">
        <v>1195</v>
      </c>
      <c r="P472" t="s">
        <v>924</v>
      </c>
      <c r="Q472" t="s">
        <v>1209</v>
      </c>
      <c r="R472" t="s">
        <v>1268</v>
      </c>
      <c r="S472" t="s">
        <v>923</v>
      </c>
      <c r="T472" t="s">
        <v>1310</v>
      </c>
      <c r="U472" t="s">
        <v>2121</v>
      </c>
      <c r="V472" t="s">
        <v>922</v>
      </c>
      <c r="W472" t="s">
        <v>1220</v>
      </c>
      <c r="X472" t="s">
        <v>1103</v>
      </c>
      <c r="Y472" t="s">
        <v>969</v>
      </c>
      <c r="Z472" t="s">
        <v>918</v>
      </c>
      <c r="AA472" t="s">
        <v>1064</v>
      </c>
      <c r="AB472" t="s">
        <v>1065</v>
      </c>
      <c r="AC472" t="s">
        <v>1195</v>
      </c>
      <c r="AD472" t="s">
        <v>1329</v>
      </c>
      <c r="AE472" t="s">
        <v>927</v>
      </c>
      <c r="AF472">
        <f t="shared" si="14"/>
        <v>5.3</v>
      </c>
      <c r="AG472">
        <f t="shared" si="15"/>
        <v>5.3933999999999997</v>
      </c>
    </row>
    <row r="473" spans="1:33" x14ac:dyDescent="0.25">
      <c r="A473" t="s">
        <v>2428</v>
      </c>
      <c r="B473" t="s">
        <v>2429</v>
      </c>
      <c r="C473" t="s">
        <v>1015</v>
      </c>
      <c r="D473" t="s">
        <v>85</v>
      </c>
      <c r="E473" t="s">
        <v>93</v>
      </c>
      <c r="F473" t="s">
        <v>1501</v>
      </c>
      <c r="G473" t="s">
        <v>929</v>
      </c>
      <c r="H473" t="s">
        <v>998</v>
      </c>
      <c r="I473" t="s">
        <v>1049</v>
      </c>
      <c r="J473" t="s">
        <v>1211</v>
      </c>
      <c r="K473" t="s">
        <v>1767</v>
      </c>
      <c r="L473" t="s">
        <v>1230</v>
      </c>
      <c r="M473" t="s">
        <v>1155</v>
      </c>
      <c r="N473" t="s">
        <v>1556</v>
      </c>
      <c r="O473" t="s">
        <v>1065</v>
      </c>
      <c r="P473" t="s">
        <v>987</v>
      </c>
      <c r="Q473" t="s">
        <v>2409</v>
      </c>
      <c r="R473" t="s">
        <v>1559</v>
      </c>
      <c r="S473" t="s">
        <v>1094</v>
      </c>
      <c r="T473" t="s">
        <v>1065</v>
      </c>
      <c r="U473" t="s">
        <v>1381</v>
      </c>
      <c r="V473" t="s">
        <v>918</v>
      </c>
      <c r="W473" t="s">
        <v>1000</v>
      </c>
      <c r="X473" t="s">
        <v>1081</v>
      </c>
      <c r="Y473" t="s">
        <v>1195</v>
      </c>
      <c r="Z473" t="s">
        <v>1008</v>
      </c>
      <c r="AA473" t="s">
        <v>1094</v>
      </c>
      <c r="AB473" t="s">
        <v>991</v>
      </c>
      <c r="AC473" t="s">
        <v>922</v>
      </c>
      <c r="AD473" t="s">
        <v>1329</v>
      </c>
      <c r="AE473" t="s">
        <v>927</v>
      </c>
      <c r="AF473">
        <f t="shared" si="14"/>
        <v>5.4999999999999991</v>
      </c>
      <c r="AG473">
        <f t="shared" si="15"/>
        <v>5.4152999999999984</v>
      </c>
    </row>
    <row r="474" spans="1:33" x14ac:dyDescent="0.25">
      <c r="A474" t="s">
        <v>2430</v>
      </c>
      <c r="B474" t="s">
        <v>2431</v>
      </c>
      <c r="C474" t="s">
        <v>973</v>
      </c>
      <c r="D474" t="s">
        <v>111</v>
      </c>
      <c r="E474" t="s">
        <v>56</v>
      </c>
      <c r="F474" t="s">
        <v>1176</v>
      </c>
      <c r="G474" t="s">
        <v>1031</v>
      </c>
      <c r="H474" t="s">
        <v>1621</v>
      </c>
      <c r="I474" t="s">
        <v>908</v>
      </c>
      <c r="J474" t="s">
        <v>962</v>
      </c>
      <c r="K474" t="s">
        <v>1206</v>
      </c>
      <c r="L474" t="s">
        <v>918</v>
      </c>
      <c r="M474" t="s">
        <v>1012</v>
      </c>
      <c r="N474" t="s">
        <v>2432</v>
      </c>
      <c r="O474" t="s">
        <v>945</v>
      </c>
      <c r="P474" t="s">
        <v>1012</v>
      </c>
      <c r="Q474" t="s">
        <v>1426</v>
      </c>
      <c r="R474" t="s">
        <v>1514</v>
      </c>
      <c r="S474" t="s">
        <v>991</v>
      </c>
      <c r="T474" t="s">
        <v>991</v>
      </c>
      <c r="U474" t="s">
        <v>2146</v>
      </c>
      <c r="V474" t="s">
        <v>934</v>
      </c>
      <c r="W474" t="s">
        <v>1230</v>
      </c>
      <c r="X474" t="s">
        <v>1029</v>
      </c>
      <c r="Y474" t="s">
        <v>1012</v>
      </c>
      <c r="Z474" t="s">
        <v>918</v>
      </c>
      <c r="AA474" t="s">
        <v>1094</v>
      </c>
      <c r="AB474" t="s">
        <v>1064</v>
      </c>
      <c r="AC474" t="s">
        <v>1195</v>
      </c>
      <c r="AD474" t="s">
        <v>1329</v>
      </c>
      <c r="AE474" t="s">
        <v>927</v>
      </c>
      <c r="AF474">
        <f t="shared" si="14"/>
        <v>5.5000000000000009</v>
      </c>
      <c r="AG474">
        <f t="shared" si="15"/>
        <v>5.4362000000000004</v>
      </c>
    </row>
    <row r="475" spans="1:33" x14ac:dyDescent="0.25">
      <c r="A475" t="s">
        <v>2433</v>
      </c>
      <c r="B475" t="s">
        <v>2434</v>
      </c>
      <c r="C475" t="s">
        <v>1245</v>
      </c>
      <c r="D475" t="s">
        <v>111</v>
      </c>
      <c r="E475" t="s">
        <v>63</v>
      </c>
      <c r="F475" t="s">
        <v>1106</v>
      </c>
      <c r="G475" t="s">
        <v>1717</v>
      </c>
      <c r="H475" t="s">
        <v>1113</v>
      </c>
      <c r="I475" t="s">
        <v>968</v>
      </c>
      <c r="J475" t="s">
        <v>957</v>
      </c>
      <c r="K475" t="s">
        <v>1111</v>
      </c>
      <c r="L475" t="s">
        <v>991</v>
      </c>
      <c r="M475" t="s">
        <v>1049</v>
      </c>
      <c r="N475" t="s">
        <v>2435</v>
      </c>
      <c r="O475" t="s">
        <v>1230</v>
      </c>
      <c r="P475" t="s">
        <v>1104</v>
      </c>
      <c r="Q475" t="s">
        <v>1131</v>
      </c>
      <c r="R475" t="s">
        <v>1474</v>
      </c>
      <c r="S475" t="s">
        <v>1195</v>
      </c>
      <c r="T475" t="s">
        <v>968</v>
      </c>
      <c r="U475" t="s">
        <v>1680</v>
      </c>
      <c r="V475" t="s">
        <v>1065</v>
      </c>
      <c r="W475" t="s">
        <v>1029</v>
      </c>
      <c r="X475" t="s">
        <v>908</v>
      </c>
      <c r="Y475" t="s">
        <v>922</v>
      </c>
      <c r="Z475" t="s">
        <v>1094</v>
      </c>
      <c r="AA475" t="s">
        <v>934</v>
      </c>
      <c r="AB475" t="s">
        <v>987</v>
      </c>
      <c r="AC475" t="s">
        <v>918</v>
      </c>
      <c r="AD475" t="s">
        <v>1043</v>
      </c>
      <c r="AE475" t="s">
        <v>927</v>
      </c>
      <c r="AF475">
        <f t="shared" si="14"/>
        <v>5.3</v>
      </c>
      <c r="AG475">
        <f t="shared" si="15"/>
        <v>5.3022999999999998</v>
      </c>
    </row>
    <row r="476" spans="1:33" x14ac:dyDescent="0.25">
      <c r="A476" t="s">
        <v>2436</v>
      </c>
      <c r="B476" t="s">
        <v>2437</v>
      </c>
      <c r="C476" t="s">
        <v>973</v>
      </c>
      <c r="D476" t="s">
        <v>83</v>
      </c>
      <c r="E476" t="s">
        <v>47</v>
      </c>
      <c r="F476" t="s">
        <v>1376</v>
      </c>
      <c r="G476" t="s">
        <v>1717</v>
      </c>
      <c r="H476" t="s">
        <v>1199</v>
      </c>
      <c r="I476" t="s">
        <v>968</v>
      </c>
      <c r="J476" t="s">
        <v>1170</v>
      </c>
      <c r="K476" t="s">
        <v>1075</v>
      </c>
      <c r="L476" t="s">
        <v>1008</v>
      </c>
      <c r="M476" t="s">
        <v>925</v>
      </c>
      <c r="N476" t="s">
        <v>1578</v>
      </c>
      <c r="O476" t="s">
        <v>1064</v>
      </c>
      <c r="P476" t="s">
        <v>908</v>
      </c>
      <c r="Q476" t="s">
        <v>1307</v>
      </c>
      <c r="R476" t="s">
        <v>1235</v>
      </c>
      <c r="S476" t="s">
        <v>918</v>
      </c>
      <c r="T476" t="s">
        <v>1230</v>
      </c>
      <c r="U476" t="s">
        <v>2438</v>
      </c>
      <c r="V476" t="s">
        <v>1008</v>
      </c>
      <c r="W476" t="s">
        <v>1029</v>
      </c>
      <c r="X476" t="s">
        <v>947</v>
      </c>
      <c r="Y476" t="s">
        <v>969</v>
      </c>
      <c r="Z476" t="s">
        <v>969</v>
      </c>
      <c r="AA476" t="s">
        <v>934</v>
      </c>
      <c r="AB476" t="s">
        <v>969</v>
      </c>
      <c r="AC476" t="s">
        <v>945</v>
      </c>
      <c r="AD476" t="s">
        <v>1043</v>
      </c>
      <c r="AE476" t="s">
        <v>927</v>
      </c>
      <c r="AF476">
        <f t="shared" si="14"/>
        <v>5.2</v>
      </c>
      <c r="AG476">
        <f t="shared" si="15"/>
        <v>5.3566000000000003</v>
      </c>
    </row>
    <row r="477" spans="1:33" x14ac:dyDescent="0.25">
      <c r="A477" t="s">
        <v>2439</v>
      </c>
      <c r="B477" t="s">
        <v>2440</v>
      </c>
      <c r="C477" t="s">
        <v>1204</v>
      </c>
      <c r="D477" t="s">
        <v>105</v>
      </c>
      <c r="E477" t="s">
        <v>63</v>
      </c>
      <c r="F477" t="s">
        <v>1403</v>
      </c>
      <c r="G477" t="s">
        <v>901</v>
      </c>
      <c r="H477" t="s">
        <v>1675</v>
      </c>
      <c r="I477" t="s">
        <v>956</v>
      </c>
      <c r="J477" t="s">
        <v>1170</v>
      </c>
      <c r="K477" t="s">
        <v>1099</v>
      </c>
      <c r="L477" t="s">
        <v>969</v>
      </c>
      <c r="M477" t="s">
        <v>956</v>
      </c>
      <c r="N477" t="s">
        <v>2319</v>
      </c>
      <c r="O477" t="s">
        <v>1230</v>
      </c>
      <c r="P477" t="s">
        <v>947</v>
      </c>
      <c r="Q477" t="s">
        <v>1561</v>
      </c>
      <c r="R477" t="s">
        <v>1143</v>
      </c>
      <c r="S477" t="s">
        <v>969</v>
      </c>
      <c r="T477" t="s">
        <v>987</v>
      </c>
      <c r="U477" t="s">
        <v>2256</v>
      </c>
      <c r="V477" t="s">
        <v>1065</v>
      </c>
      <c r="W477" t="s">
        <v>925</v>
      </c>
      <c r="X477" t="s">
        <v>1220</v>
      </c>
      <c r="Y477" t="s">
        <v>922</v>
      </c>
      <c r="Z477" t="s">
        <v>934</v>
      </c>
      <c r="AA477" t="s">
        <v>1094</v>
      </c>
      <c r="AB477" t="s">
        <v>969</v>
      </c>
      <c r="AC477" t="s">
        <v>1064</v>
      </c>
      <c r="AD477" t="s">
        <v>1043</v>
      </c>
      <c r="AE477" t="s">
        <v>927</v>
      </c>
      <c r="AF477">
        <f t="shared" si="14"/>
        <v>5.1999999999999993</v>
      </c>
      <c r="AG477">
        <f t="shared" si="15"/>
        <v>5.2776000000000005</v>
      </c>
    </row>
    <row r="478" spans="1:33" x14ac:dyDescent="0.25">
      <c r="A478" t="s">
        <v>2441</v>
      </c>
      <c r="B478" t="s">
        <v>2442</v>
      </c>
      <c r="C478" t="s">
        <v>1068</v>
      </c>
      <c r="D478" t="s">
        <v>133</v>
      </c>
      <c r="E478" t="s">
        <v>93</v>
      </c>
      <c r="F478" t="s">
        <v>1032</v>
      </c>
      <c r="G478" t="s">
        <v>1096</v>
      </c>
      <c r="H478" t="s">
        <v>982</v>
      </c>
      <c r="I478" t="s">
        <v>968</v>
      </c>
      <c r="J478" t="s">
        <v>920</v>
      </c>
      <c r="K478" t="s">
        <v>1545</v>
      </c>
      <c r="L478" t="s">
        <v>923</v>
      </c>
      <c r="M478" t="s">
        <v>964</v>
      </c>
      <c r="N478" t="s">
        <v>1625</v>
      </c>
      <c r="O478" t="s">
        <v>1008</v>
      </c>
      <c r="P478" t="s">
        <v>908</v>
      </c>
      <c r="Q478" t="s">
        <v>1001</v>
      </c>
      <c r="R478" t="s">
        <v>1141</v>
      </c>
      <c r="S478" t="s">
        <v>1008</v>
      </c>
      <c r="T478" t="s">
        <v>923</v>
      </c>
      <c r="U478" t="s">
        <v>1875</v>
      </c>
      <c r="V478" t="s">
        <v>923</v>
      </c>
      <c r="W478" t="s">
        <v>946</v>
      </c>
      <c r="X478" t="s">
        <v>919</v>
      </c>
      <c r="Y478" t="s">
        <v>923</v>
      </c>
      <c r="Z478" t="s">
        <v>1008</v>
      </c>
      <c r="AA478" t="s">
        <v>934</v>
      </c>
      <c r="AB478" t="s">
        <v>969</v>
      </c>
      <c r="AC478" t="s">
        <v>918</v>
      </c>
      <c r="AD478" t="s">
        <v>1043</v>
      </c>
      <c r="AE478" t="s">
        <v>927</v>
      </c>
      <c r="AF478">
        <f t="shared" si="14"/>
        <v>5.3</v>
      </c>
      <c r="AG478">
        <f t="shared" si="15"/>
        <v>5.2973999999999997</v>
      </c>
    </row>
    <row r="479" spans="1:33" x14ac:dyDescent="0.25">
      <c r="A479" t="s">
        <v>2443</v>
      </c>
      <c r="B479" t="s">
        <v>2444</v>
      </c>
      <c r="C479" t="s">
        <v>1032</v>
      </c>
      <c r="D479" t="s">
        <v>170</v>
      </c>
      <c r="E479" t="s">
        <v>63</v>
      </c>
      <c r="F479" t="s">
        <v>1349</v>
      </c>
      <c r="G479" t="s">
        <v>1096</v>
      </c>
      <c r="H479" t="s">
        <v>954</v>
      </c>
      <c r="I479" t="s">
        <v>1049</v>
      </c>
      <c r="J479" t="s">
        <v>1211</v>
      </c>
      <c r="K479" t="s">
        <v>1373</v>
      </c>
      <c r="L479" t="s">
        <v>1064</v>
      </c>
      <c r="M479" t="s">
        <v>1048</v>
      </c>
      <c r="N479" t="s">
        <v>1756</v>
      </c>
      <c r="O479" t="s">
        <v>987</v>
      </c>
      <c r="P479" t="s">
        <v>1230</v>
      </c>
      <c r="Q479" t="s">
        <v>1813</v>
      </c>
      <c r="R479" t="s">
        <v>1058</v>
      </c>
      <c r="S479" t="s">
        <v>991</v>
      </c>
      <c r="T479" t="s">
        <v>991</v>
      </c>
      <c r="U479" t="s">
        <v>1759</v>
      </c>
      <c r="V479" t="s">
        <v>1008</v>
      </c>
      <c r="W479" t="s">
        <v>908</v>
      </c>
      <c r="X479" t="s">
        <v>1104</v>
      </c>
      <c r="Y479" t="s">
        <v>1195</v>
      </c>
      <c r="Z479" t="s">
        <v>969</v>
      </c>
      <c r="AA479" t="s">
        <v>934</v>
      </c>
      <c r="AB479" t="s">
        <v>1094</v>
      </c>
      <c r="AC479" t="s">
        <v>956</v>
      </c>
      <c r="AD479" t="s">
        <v>1043</v>
      </c>
      <c r="AE479" t="s">
        <v>927</v>
      </c>
      <c r="AF479">
        <f t="shared" si="14"/>
        <v>5.3000000000000007</v>
      </c>
      <c r="AG479">
        <f t="shared" si="15"/>
        <v>5.2935999999999988</v>
      </c>
    </row>
    <row r="480" spans="1:33" x14ac:dyDescent="0.25">
      <c r="A480" t="s">
        <v>2445</v>
      </c>
      <c r="B480" t="s">
        <v>2446</v>
      </c>
      <c r="C480" t="s">
        <v>950</v>
      </c>
      <c r="D480" t="s">
        <v>1069</v>
      </c>
      <c r="E480" t="s">
        <v>56</v>
      </c>
      <c r="F480" t="s">
        <v>1312</v>
      </c>
      <c r="G480" t="s">
        <v>1717</v>
      </c>
      <c r="H480" t="s">
        <v>966</v>
      </c>
      <c r="I480" t="s">
        <v>968</v>
      </c>
      <c r="J480" t="s">
        <v>1170</v>
      </c>
      <c r="K480" t="s">
        <v>1474</v>
      </c>
      <c r="L480" t="s">
        <v>1008</v>
      </c>
      <c r="M480" t="s">
        <v>1049</v>
      </c>
      <c r="N480" t="s">
        <v>1556</v>
      </c>
      <c r="O480" t="s">
        <v>945</v>
      </c>
      <c r="P480" t="s">
        <v>924</v>
      </c>
      <c r="Q480" t="s">
        <v>1358</v>
      </c>
      <c r="R480" t="s">
        <v>1412</v>
      </c>
      <c r="S480" t="s">
        <v>987</v>
      </c>
      <c r="T480" t="s">
        <v>918</v>
      </c>
      <c r="U480" t="s">
        <v>1361</v>
      </c>
      <c r="V480" t="s">
        <v>1094</v>
      </c>
      <c r="W480" t="s">
        <v>945</v>
      </c>
      <c r="X480" t="s">
        <v>1310</v>
      </c>
      <c r="Y480" t="s">
        <v>1029</v>
      </c>
      <c r="Z480" t="s">
        <v>991</v>
      </c>
      <c r="AA480" t="s">
        <v>1119</v>
      </c>
      <c r="AB480" t="s">
        <v>1065</v>
      </c>
      <c r="AC480" t="s">
        <v>1065</v>
      </c>
      <c r="AD480" t="s">
        <v>962</v>
      </c>
      <c r="AE480" t="s">
        <v>927</v>
      </c>
      <c r="AF480">
        <f t="shared" si="14"/>
        <v>5.0999999999999996</v>
      </c>
      <c r="AG480">
        <f t="shared" si="15"/>
        <v>5.1128999999999998</v>
      </c>
    </row>
    <row r="481" spans="1:33" x14ac:dyDescent="0.25">
      <c r="A481" t="s">
        <v>2447</v>
      </c>
      <c r="B481" t="s">
        <v>2448</v>
      </c>
      <c r="C481" t="s">
        <v>995</v>
      </c>
      <c r="D481" t="s">
        <v>95</v>
      </c>
      <c r="E481" t="s">
        <v>47</v>
      </c>
      <c r="F481" t="s">
        <v>1255</v>
      </c>
      <c r="G481" t="s">
        <v>901</v>
      </c>
      <c r="H481" t="s">
        <v>1236</v>
      </c>
      <c r="I481" t="s">
        <v>956</v>
      </c>
      <c r="J481" t="s">
        <v>1155</v>
      </c>
      <c r="K481" t="s">
        <v>1090</v>
      </c>
      <c r="L481" t="s">
        <v>1065</v>
      </c>
      <c r="M481" t="s">
        <v>945</v>
      </c>
      <c r="N481" t="s">
        <v>1461</v>
      </c>
      <c r="O481" t="s">
        <v>1310</v>
      </c>
      <c r="P481" t="s">
        <v>1012</v>
      </c>
      <c r="Q481" t="s">
        <v>1585</v>
      </c>
      <c r="R481" t="s">
        <v>955</v>
      </c>
      <c r="S481" t="s">
        <v>987</v>
      </c>
      <c r="T481" t="s">
        <v>945</v>
      </c>
      <c r="U481" t="s">
        <v>2185</v>
      </c>
      <c r="V481" t="s">
        <v>923</v>
      </c>
      <c r="W481" t="s">
        <v>993</v>
      </c>
      <c r="X481" t="s">
        <v>979</v>
      </c>
      <c r="Y481" t="s">
        <v>969</v>
      </c>
      <c r="Z481" t="s">
        <v>969</v>
      </c>
      <c r="AA481" t="s">
        <v>1119</v>
      </c>
      <c r="AB481" t="s">
        <v>969</v>
      </c>
      <c r="AC481" t="s">
        <v>1310</v>
      </c>
      <c r="AD481" t="s">
        <v>962</v>
      </c>
      <c r="AE481" t="s">
        <v>927</v>
      </c>
      <c r="AF481">
        <f t="shared" si="14"/>
        <v>5.3</v>
      </c>
      <c r="AG481">
        <f t="shared" si="15"/>
        <v>5.2079999999999993</v>
      </c>
    </row>
    <row r="482" spans="1:33" x14ac:dyDescent="0.25">
      <c r="A482" t="s">
        <v>2449</v>
      </c>
      <c r="B482" t="s">
        <v>486</v>
      </c>
      <c r="C482" t="s">
        <v>1176</v>
      </c>
      <c r="D482" t="s">
        <v>974</v>
      </c>
      <c r="E482" t="s">
        <v>63</v>
      </c>
      <c r="F482" t="s">
        <v>1431</v>
      </c>
      <c r="G482" t="s">
        <v>1232</v>
      </c>
      <c r="H482" t="s">
        <v>1109</v>
      </c>
      <c r="I482" t="s">
        <v>968</v>
      </c>
      <c r="J482" t="s">
        <v>1081</v>
      </c>
      <c r="K482" t="s">
        <v>1729</v>
      </c>
      <c r="L482" t="s">
        <v>1008</v>
      </c>
      <c r="M482" t="s">
        <v>908</v>
      </c>
      <c r="N482" t="s">
        <v>1977</v>
      </c>
      <c r="O482" t="s">
        <v>1064</v>
      </c>
      <c r="P482" t="s">
        <v>908</v>
      </c>
      <c r="Q482" t="s">
        <v>1074</v>
      </c>
      <c r="R482" t="s">
        <v>1130</v>
      </c>
      <c r="S482" t="s">
        <v>987</v>
      </c>
      <c r="T482" t="s">
        <v>1064</v>
      </c>
      <c r="U482" t="s">
        <v>1674</v>
      </c>
      <c r="V482" t="s">
        <v>918</v>
      </c>
      <c r="W482" t="s">
        <v>947</v>
      </c>
      <c r="X482" t="s">
        <v>1048</v>
      </c>
      <c r="Y482" t="s">
        <v>987</v>
      </c>
      <c r="Z482" t="s">
        <v>923</v>
      </c>
      <c r="AA482" t="s">
        <v>1065</v>
      </c>
      <c r="AB482" t="s">
        <v>1065</v>
      </c>
      <c r="AC482" t="s">
        <v>1230</v>
      </c>
      <c r="AD482" t="s">
        <v>1005</v>
      </c>
      <c r="AE482" t="s">
        <v>927</v>
      </c>
      <c r="AF482">
        <f t="shared" si="14"/>
        <v>5.0999999999999996</v>
      </c>
      <c r="AG482">
        <f t="shared" si="15"/>
        <v>5.063600000000001</v>
      </c>
    </row>
    <row r="483" spans="1:33" x14ac:dyDescent="0.25">
      <c r="A483" t="s">
        <v>2449</v>
      </c>
      <c r="B483" t="s">
        <v>486</v>
      </c>
      <c r="C483" t="s">
        <v>1176</v>
      </c>
      <c r="D483" t="s">
        <v>83</v>
      </c>
      <c r="E483" t="s">
        <v>63</v>
      </c>
      <c r="F483" t="s">
        <v>975</v>
      </c>
      <c r="G483" t="s">
        <v>1222</v>
      </c>
      <c r="H483" t="s">
        <v>906</v>
      </c>
      <c r="I483" t="s">
        <v>956</v>
      </c>
      <c r="J483" t="s">
        <v>1047</v>
      </c>
      <c r="K483" t="s">
        <v>1319</v>
      </c>
      <c r="L483" t="s">
        <v>987</v>
      </c>
      <c r="M483" t="s">
        <v>925</v>
      </c>
      <c r="N483" t="s">
        <v>1250</v>
      </c>
      <c r="O483" t="s">
        <v>945</v>
      </c>
      <c r="P483" t="s">
        <v>947</v>
      </c>
      <c r="Q483" t="s">
        <v>1226</v>
      </c>
      <c r="R483" t="s">
        <v>1275</v>
      </c>
      <c r="S483" t="s">
        <v>923</v>
      </c>
      <c r="T483" t="s">
        <v>1195</v>
      </c>
      <c r="U483" t="s">
        <v>1866</v>
      </c>
      <c r="V483" t="s">
        <v>923</v>
      </c>
      <c r="W483" t="s">
        <v>1012</v>
      </c>
      <c r="X483" t="s">
        <v>992</v>
      </c>
      <c r="Y483" t="s">
        <v>918</v>
      </c>
      <c r="Z483" t="s">
        <v>1064</v>
      </c>
      <c r="AA483" t="s">
        <v>969</v>
      </c>
      <c r="AB483" t="s">
        <v>969</v>
      </c>
      <c r="AC483" t="s">
        <v>1310</v>
      </c>
      <c r="AD483" t="s">
        <v>1079</v>
      </c>
      <c r="AE483" t="s">
        <v>927</v>
      </c>
      <c r="AF483">
        <f t="shared" si="14"/>
        <v>5.8000000000000007</v>
      </c>
      <c r="AG483">
        <f t="shared" si="15"/>
        <v>5.7650000000000006</v>
      </c>
    </row>
    <row r="484" spans="1:33" x14ac:dyDescent="0.25">
      <c r="A484" t="s">
        <v>2449</v>
      </c>
      <c r="B484" t="s">
        <v>486</v>
      </c>
      <c r="C484" t="s">
        <v>1176</v>
      </c>
      <c r="D484" t="s">
        <v>85</v>
      </c>
      <c r="E484" t="s">
        <v>63</v>
      </c>
      <c r="F484" t="s">
        <v>1222</v>
      </c>
      <c r="G484" t="s">
        <v>901</v>
      </c>
      <c r="H484" t="s">
        <v>911</v>
      </c>
      <c r="I484" t="s">
        <v>1195</v>
      </c>
      <c r="J484" t="s">
        <v>979</v>
      </c>
      <c r="K484" t="s">
        <v>1379</v>
      </c>
      <c r="L484" t="s">
        <v>991</v>
      </c>
      <c r="M484" t="s">
        <v>968</v>
      </c>
      <c r="N484" t="s">
        <v>2450</v>
      </c>
      <c r="O484" t="s">
        <v>987</v>
      </c>
      <c r="P484" t="s">
        <v>922</v>
      </c>
      <c r="Q484" t="s">
        <v>1131</v>
      </c>
      <c r="R484" t="s">
        <v>1729</v>
      </c>
      <c r="S484" t="s">
        <v>1094</v>
      </c>
      <c r="T484" t="s">
        <v>969</v>
      </c>
      <c r="U484" t="s">
        <v>1131</v>
      </c>
      <c r="V484" t="s">
        <v>969</v>
      </c>
      <c r="W484" t="s">
        <v>922</v>
      </c>
      <c r="X484" t="s">
        <v>925</v>
      </c>
      <c r="Y484" t="s">
        <v>969</v>
      </c>
      <c r="Z484" t="s">
        <v>969</v>
      </c>
      <c r="AA484" t="s">
        <v>1119</v>
      </c>
      <c r="AB484" t="s">
        <v>934</v>
      </c>
      <c r="AC484" t="s">
        <v>945</v>
      </c>
      <c r="AD484" t="s">
        <v>970</v>
      </c>
      <c r="AE484" t="s">
        <v>927</v>
      </c>
      <c r="AF484">
        <f t="shared" si="14"/>
        <v>3.3</v>
      </c>
      <c r="AG484">
        <f t="shared" si="15"/>
        <v>3.3068</v>
      </c>
    </row>
    <row r="485" spans="1:33" x14ac:dyDescent="0.25">
      <c r="A485" t="s">
        <v>2451</v>
      </c>
      <c r="B485" t="s">
        <v>2452</v>
      </c>
      <c r="C485" t="s">
        <v>973</v>
      </c>
      <c r="D485" t="s">
        <v>974</v>
      </c>
      <c r="E485" t="s">
        <v>93</v>
      </c>
      <c r="F485" t="s">
        <v>1175</v>
      </c>
      <c r="G485" t="s">
        <v>1717</v>
      </c>
      <c r="H485" t="s">
        <v>1560</v>
      </c>
      <c r="I485" t="s">
        <v>922</v>
      </c>
      <c r="J485" t="s">
        <v>992</v>
      </c>
      <c r="K485" t="s">
        <v>1300</v>
      </c>
      <c r="L485" t="s">
        <v>923</v>
      </c>
      <c r="M485" t="s">
        <v>1220</v>
      </c>
      <c r="N485" t="s">
        <v>2023</v>
      </c>
      <c r="O485" t="s">
        <v>1008</v>
      </c>
      <c r="P485" t="s">
        <v>918</v>
      </c>
      <c r="Q485" t="s">
        <v>1102</v>
      </c>
      <c r="R485" t="s">
        <v>938</v>
      </c>
      <c r="S485" t="s">
        <v>969</v>
      </c>
      <c r="T485" t="s">
        <v>987</v>
      </c>
      <c r="U485" t="s">
        <v>2049</v>
      </c>
      <c r="V485" t="s">
        <v>969</v>
      </c>
      <c r="W485" t="s">
        <v>993</v>
      </c>
      <c r="X485" t="s">
        <v>946</v>
      </c>
      <c r="Y485" t="s">
        <v>1094</v>
      </c>
      <c r="Z485" t="s">
        <v>1008</v>
      </c>
      <c r="AA485" t="s">
        <v>1008</v>
      </c>
      <c r="AB485" t="s">
        <v>991</v>
      </c>
      <c r="AC485" t="s">
        <v>1230</v>
      </c>
      <c r="AD485" t="s">
        <v>1005</v>
      </c>
      <c r="AE485" t="s">
        <v>927</v>
      </c>
      <c r="AF485">
        <f t="shared" si="14"/>
        <v>5</v>
      </c>
      <c r="AG485">
        <f t="shared" si="15"/>
        <v>5.0874000000000006</v>
      </c>
    </row>
    <row r="486" spans="1:33" x14ac:dyDescent="0.25">
      <c r="A486" t="s">
        <v>2451</v>
      </c>
      <c r="B486" t="s">
        <v>2452</v>
      </c>
      <c r="C486" t="s">
        <v>973</v>
      </c>
      <c r="D486" t="s">
        <v>48</v>
      </c>
      <c r="E486" t="s">
        <v>93</v>
      </c>
      <c r="F486" t="s">
        <v>901</v>
      </c>
      <c r="G486" t="s">
        <v>1717</v>
      </c>
      <c r="H486" t="s">
        <v>956</v>
      </c>
      <c r="I486" t="s">
        <v>923</v>
      </c>
      <c r="J486" t="s">
        <v>923</v>
      </c>
      <c r="K486" t="s">
        <v>2146</v>
      </c>
      <c r="L486" t="s">
        <v>1600</v>
      </c>
      <c r="M486" t="s">
        <v>1600</v>
      </c>
      <c r="N486" t="s">
        <v>927</v>
      </c>
      <c r="O486" t="s">
        <v>923</v>
      </c>
      <c r="P486" t="s">
        <v>923</v>
      </c>
      <c r="Q486" t="s">
        <v>2146</v>
      </c>
      <c r="R486" t="s">
        <v>2146</v>
      </c>
      <c r="S486" t="s">
        <v>1600</v>
      </c>
      <c r="T486" t="s">
        <v>1600</v>
      </c>
      <c r="U486" t="s">
        <v>927</v>
      </c>
      <c r="V486" t="s">
        <v>923</v>
      </c>
      <c r="W486" t="s">
        <v>1600</v>
      </c>
      <c r="X486" t="s">
        <v>923</v>
      </c>
      <c r="Y486" t="s">
        <v>1600</v>
      </c>
      <c r="Z486" t="s">
        <v>1600</v>
      </c>
      <c r="AA486" t="s">
        <v>1600</v>
      </c>
      <c r="AB486" t="s">
        <v>1600</v>
      </c>
      <c r="AC486" t="s">
        <v>1600</v>
      </c>
      <c r="AD486" t="s">
        <v>956</v>
      </c>
      <c r="AE486" t="s">
        <v>927</v>
      </c>
      <c r="AF486">
        <f t="shared" si="14"/>
        <v>2</v>
      </c>
      <c r="AG486" t="e">
        <f t="shared" si="15"/>
        <v>#VALUE!</v>
      </c>
    </row>
    <row r="487" spans="1:33" x14ac:dyDescent="0.25">
      <c r="A487" t="s">
        <v>2451</v>
      </c>
      <c r="B487" t="s">
        <v>2452</v>
      </c>
      <c r="C487" t="s">
        <v>973</v>
      </c>
      <c r="D487" t="s">
        <v>108</v>
      </c>
      <c r="E487" t="s">
        <v>93</v>
      </c>
      <c r="F487" t="s">
        <v>1162</v>
      </c>
      <c r="G487" t="s">
        <v>1717</v>
      </c>
      <c r="H487" t="s">
        <v>1527</v>
      </c>
      <c r="I487" t="s">
        <v>968</v>
      </c>
      <c r="J487" t="s">
        <v>1155</v>
      </c>
      <c r="K487" t="s">
        <v>1287</v>
      </c>
      <c r="L487" t="s">
        <v>1064</v>
      </c>
      <c r="M487" t="s">
        <v>964</v>
      </c>
      <c r="N487" t="s">
        <v>2023</v>
      </c>
      <c r="O487" t="s">
        <v>1008</v>
      </c>
      <c r="P487" t="s">
        <v>918</v>
      </c>
      <c r="Q487" t="s">
        <v>1765</v>
      </c>
      <c r="R487" t="s">
        <v>2453</v>
      </c>
      <c r="S487" t="s">
        <v>969</v>
      </c>
      <c r="T487" t="s">
        <v>918</v>
      </c>
      <c r="U487" t="s">
        <v>2049</v>
      </c>
      <c r="V487" t="s">
        <v>969</v>
      </c>
      <c r="W487" t="s">
        <v>1220</v>
      </c>
      <c r="X487" t="s">
        <v>970</v>
      </c>
      <c r="Y487" t="s">
        <v>1094</v>
      </c>
      <c r="Z487" t="s">
        <v>1008</v>
      </c>
      <c r="AA487" t="s">
        <v>1008</v>
      </c>
      <c r="AB487" t="s">
        <v>991</v>
      </c>
      <c r="AC487" t="s">
        <v>1310</v>
      </c>
      <c r="AD487" t="s">
        <v>1043</v>
      </c>
      <c r="AE487" t="s">
        <v>927</v>
      </c>
      <c r="AF487">
        <f t="shared" si="14"/>
        <v>5.3</v>
      </c>
      <c r="AG487">
        <f t="shared" si="15"/>
        <v>5.3585999999999991</v>
      </c>
    </row>
    <row r="488" spans="1:33" x14ac:dyDescent="0.25">
      <c r="A488" t="s">
        <v>2454</v>
      </c>
      <c r="B488" t="s">
        <v>2455</v>
      </c>
      <c r="C488" t="s">
        <v>1204</v>
      </c>
      <c r="D488" t="s">
        <v>70</v>
      </c>
      <c r="E488" t="s">
        <v>72</v>
      </c>
      <c r="F488" t="s">
        <v>1015</v>
      </c>
      <c r="G488" t="s">
        <v>902</v>
      </c>
      <c r="H488" t="s">
        <v>1140</v>
      </c>
      <c r="I488" t="s">
        <v>924</v>
      </c>
      <c r="J488" t="s">
        <v>919</v>
      </c>
      <c r="K488" t="s">
        <v>1911</v>
      </c>
      <c r="L488" t="s">
        <v>1600</v>
      </c>
      <c r="M488" t="s">
        <v>1600</v>
      </c>
      <c r="N488" t="s">
        <v>927</v>
      </c>
      <c r="O488" t="s">
        <v>924</v>
      </c>
      <c r="P488" t="s">
        <v>919</v>
      </c>
      <c r="Q488" t="s">
        <v>1911</v>
      </c>
      <c r="R488" t="s">
        <v>1911</v>
      </c>
      <c r="S488" t="s">
        <v>991</v>
      </c>
      <c r="T488" t="s">
        <v>918</v>
      </c>
      <c r="U488" t="s">
        <v>1719</v>
      </c>
      <c r="V488" t="s">
        <v>1310</v>
      </c>
      <c r="W488" t="s">
        <v>919</v>
      </c>
      <c r="X488" t="s">
        <v>1092</v>
      </c>
      <c r="Y488" t="s">
        <v>1064</v>
      </c>
      <c r="Z488" t="s">
        <v>969</v>
      </c>
      <c r="AA488" t="s">
        <v>987</v>
      </c>
      <c r="AB488" t="s">
        <v>923</v>
      </c>
      <c r="AC488" t="s">
        <v>1049</v>
      </c>
      <c r="AD488" t="s">
        <v>1005</v>
      </c>
      <c r="AE488" t="s">
        <v>927</v>
      </c>
      <c r="AF488">
        <f t="shared" si="14"/>
        <v>5.2</v>
      </c>
      <c r="AG488" t="e">
        <f t="shared" si="15"/>
        <v>#VALUE!</v>
      </c>
    </row>
    <row r="489" spans="1:33" x14ac:dyDescent="0.25">
      <c r="A489" t="s">
        <v>2456</v>
      </c>
      <c r="B489" t="s">
        <v>423</v>
      </c>
      <c r="C489" t="s">
        <v>902</v>
      </c>
      <c r="D489" t="s">
        <v>129</v>
      </c>
      <c r="E489" t="s">
        <v>72</v>
      </c>
      <c r="F489" t="s">
        <v>1212</v>
      </c>
      <c r="G489" t="s">
        <v>949</v>
      </c>
      <c r="H489" t="s">
        <v>1167</v>
      </c>
      <c r="I489" t="s">
        <v>925</v>
      </c>
      <c r="J489" t="s">
        <v>970</v>
      </c>
      <c r="K489" t="s">
        <v>1601</v>
      </c>
      <c r="L489" t="s">
        <v>1600</v>
      </c>
      <c r="M489" t="s">
        <v>1600</v>
      </c>
      <c r="N489" t="s">
        <v>927</v>
      </c>
      <c r="O489" t="s">
        <v>925</v>
      </c>
      <c r="P489" t="s">
        <v>970</v>
      </c>
      <c r="Q489" t="s">
        <v>1601</v>
      </c>
      <c r="R489" t="s">
        <v>1601</v>
      </c>
      <c r="S489" t="s">
        <v>987</v>
      </c>
      <c r="T489" t="s">
        <v>1064</v>
      </c>
      <c r="U489" t="s">
        <v>1724</v>
      </c>
      <c r="V489" t="s">
        <v>946</v>
      </c>
      <c r="W489" t="s">
        <v>964</v>
      </c>
      <c r="X489" t="s">
        <v>1126</v>
      </c>
      <c r="Y489" t="s">
        <v>987</v>
      </c>
      <c r="Z489" t="s">
        <v>918</v>
      </c>
      <c r="AA489" t="s">
        <v>1064</v>
      </c>
      <c r="AB489" t="s">
        <v>969</v>
      </c>
      <c r="AC489" t="s">
        <v>1310</v>
      </c>
      <c r="AD489" t="s">
        <v>1005</v>
      </c>
      <c r="AE489" t="s">
        <v>927</v>
      </c>
      <c r="AF489">
        <f t="shared" si="14"/>
        <v>5.2</v>
      </c>
      <c r="AG489" t="e">
        <f t="shared" si="15"/>
        <v>#VALUE!</v>
      </c>
    </row>
    <row r="490" spans="1:33" x14ac:dyDescent="0.25">
      <c r="A490" t="s">
        <v>2457</v>
      </c>
      <c r="B490" t="s">
        <v>2458</v>
      </c>
      <c r="C490" t="s">
        <v>1084</v>
      </c>
      <c r="D490" t="s">
        <v>974</v>
      </c>
      <c r="E490" t="s">
        <v>72</v>
      </c>
      <c r="F490" t="s">
        <v>1233</v>
      </c>
      <c r="G490" t="s">
        <v>1051</v>
      </c>
      <c r="H490" t="s">
        <v>1207</v>
      </c>
      <c r="I490" t="s">
        <v>925</v>
      </c>
      <c r="J490" t="s">
        <v>1220</v>
      </c>
      <c r="K490" t="s">
        <v>2459</v>
      </c>
      <c r="L490" t="s">
        <v>1600</v>
      </c>
      <c r="M490" t="s">
        <v>1119</v>
      </c>
      <c r="N490" t="s">
        <v>2251</v>
      </c>
      <c r="O490" t="s">
        <v>925</v>
      </c>
      <c r="P490" t="s">
        <v>1012</v>
      </c>
      <c r="Q490" t="s">
        <v>1309</v>
      </c>
      <c r="R490" t="s">
        <v>1589</v>
      </c>
      <c r="S490" t="s">
        <v>969</v>
      </c>
      <c r="T490" t="s">
        <v>987</v>
      </c>
      <c r="U490" t="s">
        <v>2200</v>
      </c>
      <c r="V490" t="s">
        <v>923</v>
      </c>
      <c r="W490" t="s">
        <v>908</v>
      </c>
      <c r="X490" t="s">
        <v>946</v>
      </c>
      <c r="Y490" t="s">
        <v>969</v>
      </c>
      <c r="Z490" t="s">
        <v>991</v>
      </c>
      <c r="AA490" t="s">
        <v>969</v>
      </c>
      <c r="AB490" t="s">
        <v>1065</v>
      </c>
      <c r="AC490" t="s">
        <v>1195</v>
      </c>
      <c r="AD490" t="s">
        <v>920</v>
      </c>
      <c r="AE490" t="s">
        <v>927</v>
      </c>
      <c r="AF490">
        <f t="shared" si="14"/>
        <v>5</v>
      </c>
      <c r="AG490">
        <f t="shared" si="15"/>
        <v>4.9355999999999991</v>
      </c>
    </row>
    <row r="491" spans="1:33" x14ac:dyDescent="0.25">
      <c r="A491" t="s">
        <v>2457</v>
      </c>
      <c r="B491" t="s">
        <v>2458</v>
      </c>
      <c r="C491" t="s">
        <v>1084</v>
      </c>
      <c r="D491" t="s">
        <v>79</v>
      </c>
      <c r="E491" t="s">
        <v>72</v>
      </c>
      <c r="F491" t="s">
        <v>1015</v>
      </c>
      <c r="G491" t="s">
        <v>1717</v>
      </c>
      <c r="H491" t="s">
        <v>988</v>
      </c>
      <c r="I491" t="s">
        <v>918</v>
      </c>
      <c r="J491" t="s">
        <v>1195</v>
      </c>
      <c r="K491" t="s">
        <v>1680</v>
      </c>
      <c r="L491" t="s">
        <v>1600</v>
      </c>
      <c r="M491" t="s">
        <v>1119</v>
      </c>
      <c r="N491" t="s">
        <v>1646</v>
      </c>
      <c r="O491" t="s">
        <v>918</v>
      </c>
      <c r="P491" t="s">
        <v>945</v>
      </c>
      <c r="Q491" t="s">
        <v>1547</v>
      </c>
      <c r="R491" t="s">
        <v>1680</v>
      </c>
      <c r="S491" t="s">
        <v>1094</v>
      </c>
      <c r="T491" t="s">
        <v>991</v>
      </c>
      <c r="U491" t="s">
        <v>2049</v>
      </c>
      <c r="V491" t="s">
        <v>1065</v>
      </c>
      <c r="W491" t="s">
        <v>1064</v>
      </c>
      <c r="X491" t="s">
        <v>1029</v>
      </c>
      <c r="Y491" t="s">
        <v>991</v>
      </c>
      <c r="Z491" t="s">
        <v>934</v>
      </c>
      <c r="AA491" t="s">
        <v>1065</v>
      </c>
      <c r="AB491" t="s">
        <v>991</v>
      </c>
      <c r="AC491" t="s">
        <v>987</v>
      </c>
      <c r="AD491" t="s">
        <v>925</v>
      </c>
      <c r="AE491" t="s">
        <v>927</v>
      </c>
      <c r="AF491">
        <f t="shared" si="14"/>
        <v>2.1</v>
      </c>
      <c r="AG491">
        <f t="shared" si="15"/>
        <v>2.1360000000000001</v>
      </c>
    </row>
    <row r="492" spans="1:33" x14ac:dyDescent="0.25">
      <c r="A492" t="s">
        <v>2457</v>
      </c>
      <c r="B492" t="s">
        <v>2458</v>
      </c>
      <c r="C492" t="s">
        <v>1084</v>
      </c>
      <c r="D492" t="s">
        <v>151</v>
      </c>
      <c r="E492" t="s">
        <v>72</v>
      </c>
      <c r="F492" t="s">
        <v>1137</v>
      </c>
      <c r="G492" t="s">
        <v>1051</v>
      </c>
      <c r="H492" t="s">
        <v>1965</v>
      </c>
      <c r="I492" t="s">
        <v>1005</v>
      </c>
      <c r="J492" t="s">
        <v>1059</v>
      </c>
      <c r="K492" t="s">
        <v>1252</v>
      </c>
      <c r="L492" t="s">
        <v>1119</v>
      </c>
      <c r="M492" t="s">
        <v>1094</v>
      </c>
      <c r="N492" t="s">
        <v>1666</v>
      </c>
      <c r="O492" t="s">
        <v>920</v>
      </c>
      <c r="P492" t="s">
        <v>1079</v>
      </c>
      <c r="Q492" t="s">
        <v>1361</v>
      </c>
      <c r="R492" t="s">
        <v>1568</v>
      </c>
      <c r="S492" t="s">
        <v>945</v>
      </c>
      <c r="T492" t="s">
        <v>922</v>
      </c>
      <c r="U492" t="s">
        <v>2333</v>
      </c>
      <c r="V492" t="s">
        <v>908</v>
      </c>
      <c r="W492" t="s">
        <v>1047</v>
      </c>
      <c r="X492" t="s">
        <v>1006</v>
      </c>
      <c r="Y492" t="s">
        <v>1195</v>
      </c>
      <c r="Z492" t="s">
        <v>987</v>
      </c>
      <c r="AA492" t="s">
        <v>987</v>
      </c>
      <c r="AB492" t="s">
        <v>1008</v>
      </c>
      <c r="AC492" t="s">
        <v>947</v>
      </c>
      <c r="AD492" t="s">
        <v>1546</v>
      </c>
      <c r="AE492" t="s">
        <v>927</v>
      </c>
      <c r="AF492">
        <f t="shared" si="14"/>
        <v>11.5</v>
      </c>
      <c r="AG492">
        <f t="shared" si="15"/>
        <v>11.430899999999999</v>
      </c>
    </row>
    <row r="493" spans="1:33" x14ac:dyDescent="0.25">
      <c r="A493" t="s">
        <v>2460</v>
      </c>
      <c r="B493" t="s">
        <v>2461</v>
      </c>
      <c r="C493" t="s">
        <v>1015</v>
      </c>
      <c r="D493" t="s">
        <v>974</v>
      </c>
      <c r="E493" t="s">
        <v>56</v>
      </c>
      <c r="F493" t="s">
        <v>1177</v>
      </c>
      <c r="G493" t="s">
        <v>1084</v>
      </c>
      <c r="H493" t="s">
        <v>1732</v>
      </c>
      <c r="I493" t="s">
        <v>947</v>
      </c>
      <c r="J493" t="s">
        <v>1103</v>
      </c>
      <c r="K493" t="s">
        <v>1667</v>
      </c>
      <c r="L493" t="s">
        <v>1600</v>
      </c>
      <c r="M493" t="s">
        <v>1600</v>
      </c>
      <c r="N493" t="s">
        <v>927</v>
      </c>
      <c r="O493" t="s">
        <v>947</v>
      </c>
      <c r="P493" t="s">
        <v>1103</v>
      </c>
      <c r="Q493" t="s">
        <v>1667</v>
      </c>
      <c r="R493" t="s">
        <v>1667</v>
      </c>
      <c r="S493" t="s">
        <v>1065</v>
      </c>
      <c r="T493" t="s">
        <v>969</v>
      </c>
      <c r="U493" t="s">
        <v>1133</v>
      </c>
      <c r="V493" t="s">
        <v>918</v>
      </c>
      <c r="W493" t="s">
        <v>1155</v>
      </c>
      <c r="X493" t="s">
        <v>957</v>
      </c>
      <c r="Y493" t="s">
        <v>1092</v>
      </c>
      <c r="Z493" t="s">
        <v>1008</v>
      </c>
      <c r="AA493" t="s">
        <v>1065</v>
      </c>
      <c r="AB493" t="s">
        <v>956</v>
      </c>
      <c r="AC493" t="s">
        <v>908</v>
      </c>
      <c r="AD493" t="s">
        <v>920</v>
      </c>
      <c r="AE493" t="s">
        <v>927</v>
      </c>
      <c r="AF493">
        <f t="shared" si="14"/>
        <v>5.0999999999999996</v>
      </c>
      <c r="AG493" t="e">
        <f t="shared" si="15"/>
        <v>#VALUE!</v>
      </c>
    </row>
    <row r="494" spans="1:33" x14ac:dyDescent="0.25">
      <c r="A494" t="s">
        <v>2460</v>
      </c>
      <c r="B494" t="s">
        <v>2461</v>
      </c>
      <c r="C494" t="s">
        <v>1015</v>
      </c>
      <c r="D494" t="s">
        <v>1279</v>
      </c>
      <c r="E494" t="s">
        <v>56</v>
      </c>
      <c r="F494" t="s">
        <v>1355</v>
      </c>
      <c r="G494" t="s">
        <v>1084</v>
      </c>
      <c r="H494" t="s">
        <v>1317</v>
      </c>
      <c r="I494" t="s">
        <v>1104</v>
      </c>
      <c r="J494" t="s">
        <v>962</v>
      </c>
      <c r="K494" t="s">
        <v>1042</v>
      </c>
      <c r="L494" t="s">
        <v>1600</v>
      </c>
      <c r="M494" t="s">
        <v>1600</v>
      </c>
      <c r="N494" t="s">
        <v>927</v>
      </c>
      <c r="O494" t="s">
        <v>1104</v>
      </c>
      <c r="P494" t="s">
        <v>962</v>
      </c>
      <c r="Q494" t="s">
        <v>1042</v>
      </c>
      <c r="R494" t="s">
        <v>1042</v>
      </c>
      <c r="S494" t="s">
        <v>1065</v>
      </c>
      <c r="T494" t="s">
        <v>987</v>
      </c>
      <c r="U494" t="s">
        <v>1488</v>
      </c>
      <c r="V494" t="s">
        <v>918</v>
      </c>
      <c r="W494" t="s">
        <v>1170</v>
      </c>
      <c r="X494" t="s">
        <v>962</v>
      </c>
      <c r="Y494" t="s">
        <v>1116</v>
      </c>
      <c r="Z494" t="s">
        <v>987</v>
      </c>
      <c r="AA494" t="s">
        <v>1065</v>
      </c>
      <c r="AB494" t="s">
        <v>1220</v>
      </c>
      <c r="AC494" t="s">
        <v>993</v>
      </c>
      <c r="AD494" t="s">
        <v>985</v>
      </c>
      <c r="AE494" t="s">
        <v>927</v>
      </c>
      <c r="AF494">
        <f t="shared" si="14"/>
        <v>6.1</v>
      </c>
      <c r="AG494" t="e">
        <f t="shared" si="15"/>
        <v>#VALUE!</v>
      </c>
    </row>
    <row r="495" spans="1:33" x14ac:dyDescent="0.25">
      <c r="A495" t="s">
        <v>2460</v>
      </c>
      <c r="B495" t="s">
        <v>2461</v>
      </c>
      <c r="C495" t="s">
        <v>1015</v>
      </c>
      <c r="D495" t="s">
        <v>79</v>
      </c>
      <c r="E495" t="s">
        <v>56</v>
      </c>
      <c r="F495" t="s">
        <v>1222</v>
      </c>
      <c r="G495" t="s">
        <v>1717</v>
      </c>
      <c r="H495" t="s">
        <v>1345</v>
      </c>
      <c r="I495" t="s">
        <v>1195</v>
      </c>
      <c r="J495" t="s">
        <v>964</v>
      </c>
      <c r="K495" t="s">
        <v>1764</v>
      </c>
      <c r="L495" t="s">
        <v>1600</v>
      </c>
      <c r="M495" t="s">
        <v>1600</v>
      </c>
      <c r="N495" t="s">
        <v>927</v>
      </c>
      <c r="O495" t="s">
        <v>1195</v>
      </c>
      <c r="P495" t="s">
        <v>964</v>
      </c>
      <c r="Q495" t="s">
        <v>1764</v>
      </c>
      <c r="R495" t="s">
        <v>1764</v>
      </c>
      <c r="S495" t="s">
        <v>1094</v>
      </c>
      <c r="T495" t="s">
        <v>991</v>
      </c>
      <c r="U495" t="s">
        <v>1361</v>
      </c>
      <c r="V495" t="s">
        <v>918</v>
      </c>
      <c r="W495" t="s">
        <v>964</v>
      </c>
      <c r="X495" t="s">
        <v>1155</v>
      </c>
      <c r="Y495" t="s">
        <v>946</v>
      </c>
      <c r="Z495" t="s">
        <v>1008</v>
      </c>
      <c r="AA495" t="s">
        <v>991</v>
      </c>
      <c r="AB495" t="s">
        <v>987</v>
      </c>
      <c r="AC495" t="s">
        <v>1230</v>
      </c>
      <c r="AD495" t="s">
        <v>964</v>
      </c>
      <c r="AE495" t="s">
        <v>927</v>
      </c>
      <c r="AF495">
        <f t="shared" si="14"/>
        <v>2.9</v>
      </c>
      <c r="AG495" t="e">
        <f t="shared" si="15"/>
        <v>#VALUE!</v>
      </c>
    </row>
    <row r="496" spans="1:33" x14ac:dyDescent="0.25">
      <c r="A496" t="s">
        <v>2462</v>
      </c>
      <c r="B496" t="s">
        <v>2463</v>
      </c>
      <c r="C496" t="s">
        <v>1245</v>
      </c>
      <c r="D496" t="s">
        <v>70</v>
      </c>
      <c r="E496" t="s">
        <v>63</v>
      </c>
      <c r="F496" t="s">
        <v>1150</v>
      </c>
      <c r="G496" t="s">
        <v>1717</v>
      </c>
      <c r="H496" t="s">
        <v>1035</v>
      </c>
      <c r="I496" t="s">
        <v>1049</v>
      </c>
      <c r="J496" t="s">
        <v>1228</v>
      </c>
      <c r="K496" t="s">
        <v>1555</v>
      </c>
      <c r="L496" t="s">
        <v>1008</v>
      </c>
      <c r="M496" t="s">
        <v>968</v>
      </c>
      <c r="N496" t="s">
        <v>1154</v>
      </c>
      <c r="O496" t="s">
        <v>1064</v>
      </c>
      <c r="P496" t="s">
        <v>947</v>
      </c>
      <c r="Q496" t="s">
        <v>1131</v>
      </c>
      <c r="R496" t="s">
        <v>1042</v>
      </c>
      <c r="S496" t="s">
        <v>969</v>
      </c>
      <c r="T496" t="s">
        <v>1008</v>
      </c>
      <c r="U496" t="s">
        <v>1597</v>
      </c>
      <c r="V496" t="s">
        <v>1119</v>
      </c>
      <c r="W496" t="s">
        <v>918</v>
      </c>
      <c r="X496" t="s">
        <v>1064</v>
      </c>
      <c r="Y496" t="s">
        <v>987</v>
      </c>
      <c r="Z496" t="s">
        <v>934</v>
      </c>
      <c r="AA496" t="s">
        <v>1600</v>
      </c>
      <c r="AB496" t="s">
        <v>1008</v>
      </c>
      <c r="AC496" t="s">
        <v>969</v>
      </c>
      <c r="AD496" t="s">
        <v>920</v>
      </c>
      <c r="AE496" t="s">
        <v>927</v>
      </c>
      <c r="AF496">
        <f t="shared" si="14"/>
        <v>5.0999999999999996</v>
      </c>
      <c r="AG496">
        <f t="shared" si="15"/>
        <v>4.9596</v>
      </c>
    </row>
    <row r="497" spans="1:33" x14ac:dyDescent="0.25">
      <c r="A497" t="s">
        <v>2464</v>
      </c>
      <c r="B497" t="s">
        <v>2465</v>
      </c>
      <c r="C497" t="s">
        <v>973</v>
      </c>
      <c r="D497" t="s">
        <v>113</v>
      </c>
      <c r="E497" t="s">
        <v>72</v>
      </c>
      <c r="F497" t="s">
        <v>1070</v>
      </c>
      <c r="G497" t="s">
        <v>1051</v>
      </c>
      <c r="H497" t="s">
        <v>1129</v>
      </c>
      <c r="I497" t="s">
        <v>908</v>
      </c>
      <c r="J497" t="s">
        <v>970</v>
      </c>
      <c r="K497" t="s">
        <v>2028</v>
      </c>
      <c r="L497" t="s">
        <v>1600</v>
      </c>
      <c r="M497" t="s">
        <v>1600</v>
      </c>
      <c r="N497" t="s">
        <v>1646</v>
      </c>
      <c r="O497" t="s">
        <v>908</v>
      </c>
      <c r="P497" t="s">
        <v>1048</v>
      </c>
      <c r="Q497" t="s">
        <v>2466</v>
      </c>
      <c r="R497" t="s">
        <v>2028</v>
      </c>
      <c r="S497" t="s">
        <v>1008</v>
      </c>
      <c r="T497" t="s">
        <v>923</v>
      </c>
      <c r="U497" t="s">
        <v>1484</v>
      </c>
      <c r="V497" t="s">
        <v>1230</v>
      </c>
      <c r="W497" t="s">
        <v>924</v>
      </c>
      <c r="X497" t="s">
        <v>1155</v>
      </c>
      <c r="Y497" t="s">
        <v>1008</v>
      </c>
      <c r="Z497" t="s">
        <v>1094</v>
      </c>
      <c r="AA497" t="s">
        <v>1008</v>
      </c>
      <c r="AB497" t="s">
        <v>969</v>
      </c>
      <c r="AC497" t="s">
        <v>922</v>
      </c>
      <c r="AD497" t="s">
        <v>920</v>
      </c>
      <c r="AE497" t="s">
        <v>927</v>
      </c>
      <c r="AF497">
        <f t="shared" si="14"/>
        <v>4.9000000000000004</v>
      </c>
      <c r="AG497">
        <f t="shared" si="15"/>
        <v>5.1099999999999994</v>
      </c>
    </row>
    <row r="498" spans="1:33" x14ac:dyDescent="0.25">
      <c r="A498" t="s">
        <v>2467</v>
      </c>
      <c r="B498" t="s">
        <v>2468</v>
      </c>
      <c r="C498" t="s">
        <v>973</v>
      </c>
      <c r="D498" t="s">
        <v>97</v>
      </c>
      <c r="E498" t="s">
        <v>63</v>
      </c>
      <c r="F498" t="s">
        <v>901</v>
      </c>
      <c r="G498" t="s">
        <v>1717</v>
      </c>
      <c r="H498" t="s">
        <v>1228</v>
      </c>
      <c r="I498" t="s">
        <v>956</v>
      </c>
      <c r="J498" t="s">
        <v>956</v>
      </c>
      <c r="K498" t="s">
        <v>2146</v>
      </c>
      <c r="L498" t="s">
        <v>923</v>
      </c>
      <c r="M498" t="s">
        <v>923</v>
      </c>
      <c r="N498" t="s">
        <v>2146</v>
      </c>
      <c r="O498" t="s">
        <v>923</v>
      </c>
      <c r="P498" t="s">
        <v>923</v>
      </c>
      <c r="Q498" t="s">
        <v>2146</v>
      </c>
      <c r="R498" t="s">
        <v>2469</v>
      </c>
      <c r="S498" t="s">
        <v>1600</v>
      </c>
      <c r="T498" t="s">
        <v>1600</v>
      </c>
      <c r="U498" t="s">
        <v>927</v>
      </c>
      <c r="V498" t="s">
        <v>1600</v>
      </c>
      <c r="W498" t="s">
        <v>1600</v>
      </c>
      <c r="X498" t="s">
        <v>1600</v>
      </c>
      <c r="Y498" t="s">
        <v>923</v>
      </c>
      <c r="Z498" t="s">
        <v>1600</v>
      </c>
      <c r="AA498" t="s">
        <v>1600</v>
      </c>
      <c r="AB498" t="s">
        <v>1600</v>
      </c>
      <c r="AC498" t="s">
        <v>1600</v>
      </c>
      <c r="AD498" t="s">
        <v>920</v>
      </c>
      <c r="AE498" t="s">
        <v>927</v>
      </c>
      <c r="AF498">
        <f t="shared" si="14"/>
        <v>5</v>
      </c>
      <c r="AG498" t="e">
        <f t="shared" si="15"/>
        <v>#VALUE!</v>
      </c>
    </row>
    <row r="499" spans="1:33" x14ac:dyDescent="0.25">
      <c r="A499" t="s">
        <v>2470</v>
      </c>
      <c r="B499" t="s">
        <v>2471</v>
      </c>
      <c r="C499" t="s">
        <v>1245</v>
      </c>
      <c r="D499" t="s">
        <v>974</v>
      </c>
      <c r="E499" t="s">
        <v>47</v>
      </c>
      <c r="F499" t="s">
        <v>1202</v>
      </c>
      <c r="G499" t="s">
        <v>1717</v>
      </c>
      <c r="H499" t="s">
        <v>1498</v>
      </c>
      <c r="I499" t="s">
        <v>1049</v>
      </c>
      <c r="J499" t="s">
        <v>1211</v>
      </c>
      <c r="K499" t="s">
        <v>1761</v>
      </c>
      <c r="L499" t="s">
        <v>991</v>
      </c>
      <c r="M499" t="s">
        <v>1230</v>
      </c>
      <c r="N499" t="s">
        <v>2259</v>
      </c>
      <c r="O499" t="s">
        <v>1310</v>
      </c>
      <c r="P499" t="s">
        <v>1048</v>
      </c>
      <c r="Q499" t="s">
        <v>1916</v>
      </c>
      <c r="R499" t="s">
        <v>1609</v>
      </c>
      <c r="S499" t="s">
        <v>969</v>
      </c>
      <c r="T499" t="s">
        <v>969</v>
      </c>
      <c r="U499" t="s">
        <v>2176</v>
      </c>
      <c r="V499" t="s">
        <v>1008</v>
      </c>
      <c r="W499" t="s">
        <v>908</v>
      </c>
      <c r="X499" t="s">
        <v>1104</v>
      </c>
      <c r="Y499" t="s">
        <v>1064</v>
      </c>
      <c r="Z499" t="s">
        <v>969</v>
      </c>
      <c r="AA499" t="s">
        <v>1600</v>
      </c>
      <c r="AB499" t="s">
        <v>987</v>
      </c>
      <c r="AC499" t="s">
        <v>918</v>
      </c>
      <c r="AD499" t="s">
        <v>1046</v>
      </c>
      <c r="AE499" t="s">
        <v>927</v>
      </c>
      <c r="AF499">
        <f t="shared" si="14"/>
        <v>4.8</v>
      </c>
      <c r="AG499">
        <f t="shared" si="15"/>
        <v>4.8311999999999999</v>
      </c>
    </row>
    <row r="500" spans="1:33" x14ac:dyDescent="0.25">
      <c r="A500" t="s">
        <v>2470</v>
      </c>
      <c r="B500" t="s">
        <v>2471</v>
      </c>
      <c r="C500" t="s">
        <v>1245</v>
      </c>
      <c r="D500" t="s">
        <v>1279</v>
      </c>
      <c r="E500" t="s">
        <v>47</v>
      </c>
      <c r="F500" t="s">
        <v>949</v>
      </c>
      <c r="G500" t="s">
        <v>1717</v>
      </c>
      <c r="H500" t="s">
        <v>922</v>
      </c>
      <c r="I500" t="s">
        <v>1094</v>
      </c>
      <c r="J500" t="s">
        <v>1008</v>
      </c>
      <c r="K500" t="s">
        <v>1131</v>
      </c>
      <c r="L500" t="s">
        <v>1094</v>
      </c>
      <c r="M500" t="s">
        <v>1094</v>
      </c>
      <c r="N500" t="s">
        <v>2146</v>
      </c>
      <c r="O500" t="s">
        <v>1600</v>
      </c>
      <c r="P500" t="s">
        <v>1094</v>
      </c>
      <c r="Q500" t="s">
        <v>1646</v>
      </c>
      <c r="R500" t="s">
        <v>2049</v>
      </c>
      <c r="S500" t="s">
        <v>1600</v>
      </c>
      <c r="T500" t="s">
        <v>1600</v>
      </c>
      <c r="U500" t="s">
        <v>927</v>
      </c>
      <c r="V500" t="s">
        <v>1600</v>
      </c>
      <c r="W500" t="s">
        <v>1600</v>
      </c>
      <c r="X500" t="s">
        <v>1600</v>
      </c>
      <c r="Y500" t="s">
        <v>1600</v>
      </c>
      <c r="Z500" t="s">
        <v>1600</v>
      </c>
      <c r="AA500" t="s">
        <v>1600</v>
      </c>
      <c r="AB500" t="s">
        <v>1600</v>
      </c>
      <c r="AC500" t="s">
        <v>1094</v>
      </c>
      <c r="AD500" t="s">
        <v>923</v>
      </c>
      <c r="AE500" t="s">
        <v>927</v>
      </c>
      <c r="AF500">
        <f t="shared" si="14"/>
        <v>0.89999999999999991</v>
      </c>
      <c r="AG500" t="e">
        <f t="shared" si="15"/>
        <v>#VALUE!</v>
      </c>
    </row>
    <row r="501" spans="1:33" x14ac:dyDescent="0.25">
      <c r="A501" t="s">
        <v>2470</v>
      </c>
      <c r="B501" t="s">
        <v>2471</v>
      </c>
      <c r="C501" t="s">
        <v>1245</v>
      </c>
      <c r="D501" t="s">
        <v>77</v>
      </c>
      <c r="E501" t="s">
        <v>47</v>
      </c>
      <c r="F501" t="s">
        <v>1147</v>
      </c>
      <c r="G501" t="s">
        <v>1717</v>
      </c>
      <c r="H501" t="s">
        <v>1189</v>
      </c>
      <c r="I501" t="s">
        <v>947</v>
      </c>
      <c r="J501" t="s">
        <v>1291</v>
      </c>
      <c r="K501" t="s">
        <v>958</v>
      </c>
      <c r="L501" t="s">
        <v>1065</v>
      </c>
      <c r="M501" t="s">
        <v>922</v>
      </c>
      <c r="N501" t="s">
        <v>2414</v>
      </c>
      <c r="O501" t="s">
        <v>968</v>
      </c>
      <c r="P501" t="s">
        <v>1155</v>
      </c>
      <c r="Q501" t="s">
        <v>1537</v>
      </c>
      <c r="R501" t="s">
        <v>1555</v>
      </c>
      <c r="S501" t="s">
        <v>1008</v>
      </c>
      <c r="T501" t="s">
        <v>987</v>
      </c>
      <c r="U501" t="s">
        <v>2176</v>
      </c>
      <c r="V501" t="s">
        <v>987</v>
      </c>
      <c r="W501" t="s">
        <v>993</v>
      </c>
      <c r="X501" t="s">
        <v>1000</v>
      </c>
      <c r="Y501" t="s">
        <v>1195</v>
      </c>
      <c r="Z501" t="s">
        <v>1008</v>
      </c>
      <c r="AA501" t="s">
        <v>1600</v>
      </c>
      <c r="AB501" t="s">
        <v>918</v>
      </c>
      <c r="AC501" t="s">
        <v>923</v>
      </c>
      <c r="AD501" t="s">
        <v>1079</v>
      </c>
      <c r="AE501" t="s">
        <v>927</v>
      </c>
      <c r="AF501">
        <f t="shared" si="14"/>
        <v>5.8</v>
      </c>
      <c r="AG501">
        <f t="shared" si="15"/>
        <v>5.7603</v>
      </c>
    </row>
    <row r="502" spans="1:33" x14ac:dyDescent="0.25">
      <c r="A502" t="s">
        <v>2472</v>
      </c>
      <c r="B502" t="s">
        <v>2473</v>
      </c>
      <c r="C502" t="s">
        <v>1293</v>
      </c>
      <c r="D502" t="s">
        <v>974</v>
      </c>
      <c r="E502" t="s">
        <v>63</v>
      </c>
      <c r="F502" t="s">
        <v>1085</v>
      </c>
      <c r="G502" t="s">
        <v>1096</v>
      </c>
      <c r="H502" t="s">
        <v>1487</v>
      </c>
      <c r="I502" t="s">
        <v>968</v>
      </c>
      <c r="J502" t="s">
        <v>1134</v>
      </c>
      <c r="K502" t="s">
        <v>2034</v>
      </c>
      <c r="L502" t="s">
        <v>945</v>
      </c>
      <c r="M502" t="s">
        <v>992</v>
      </c>
      <c r="N502" t="s">
        <v>1515</v>
      </c>
      <c r="O502" t="s">
        <v>1065</v>
      </c>
      <c r="P502" t="s">
        <v>945</v>
      </c>
      <c r="Q502" t="s">
        <v>1297</v>
      </c>
      <c r="R502" t="s">
        <v>1387</v>
      </c>
      <c r="S502" t="s">
        <v>934</v>
      </c>
      <c r="T502" t="s">
        <v>934</v>
      </c>
      <c r="U502" t="s">
        <v>1133</v>
      </c>
      <c r="V502" t="s">
        <v>991</v>
      </c>
      <c r="W502" t="s">
        <v>922</v>
      </c>
      <c r="X502" t="s">
        <v>908</v>
      </c>
      <c r="Y502" t="s">
        <v>923</v>
      </c>
      <c r="Z502" t="s">
        <v>1065</v>
      </c>
      <c r="AA502" t="s">
        <v>934</v>
      </c>
      <c r="AB502" t="s">
        <v>991</v>
      </c>
      <c r="AC502" t="s">
        <v>945</v>
      </c>
      <c r="AD502" t="s">
        <v>1046</v>
      </c>
      <c r="AE502" t="s">
        <v>927</v>
      </c>
      <c r="AF502">
        <f t="shared" si="14"/>
        <v>5</v>
      </c>
      <c r="AG502">
        <f t="shared" si="15"/>
        <v>4.9261999999999997</v>
      </c>
    </row>
    <row r="503" spans="1:33" x14ac:dyDescent="0.25">
      <c r="A503" t="s">
        <v>2472</v>
      </c>
      <c r="B503" t="s">
        <v>2473</v>
      </c>
      <c r="C503" t="s">
        <v>1293</v>
      </c>
      <c r="D503" t="s">
        <v>1223</v>
      </c>
      <c r="E503" t="s">
        <v>63</v>
      </c>
      <c r="F503" t="s">
        <v>1384</v>
      </c>
      <c r="G503" t="s">
        <v>1096</v>
      </c>
      <c r="H503" t="s">
        <v>1579</v>
      </c>
      <c r="I503" t="s">
        <v>956</v>
      </c>
      <c r="J503" t="s">
        <v>1329</v>
      </c>
      <c r="K503" t="s">
        <v>1909</v>
      </c>
      <c r="L503" t="s">
        <v>1195</v>
      </c>
      <c r="M503" t="s">
        <v>1160</v>
      </c>
      <c r="N503" t="s">
        <v>1915</v>
      </c>
      <c r="O503" t="s">
        <v>1008</v>
      </c>
      <c r="P503" t="s">
        <v>1310</v>
      </c>
      <c r="Q503" t="s">
        <v>1268</v>
      </c>
      <c r="R503" t="s">
        <v>1565</v>
      </c>
      <c r="S503" t="s">
        <v>934</v>
      </c>
      <c r="T503" t="s">
        <v>1094</v>
      </c>
      <c r="U503" t="s">
        <v>1133</v>
      </c>
      <c r="V503" t="s">
        <v>991</v>
      </c>
      <c r="W503" t="s">
        <v>908</v>
      </c>
      <c r="X503" t="s">
        <v>993</v>
      </c>
      <c r="Y503" t="s">
        <v>1064</v>
      </c>
      <c r="Z503" t="s">
        <v>969</v>
      </c>
      <c r="AA503" t="s">
        <v>1094</v>
      </c>
      <c r="AB503" t="s">
        <v>991</v>
      </c>
      <c r="AC503" t="s">
        <v>1230</v>
      </c>
      <c r="AD503" t="s">
        <v>1291</v>
      </c>
      <c r="AE503" t="s">
        <v>927</v>
      </c>
      <c r="AF503">
        <f t="shared" si="14"/>
        <v>5.5000000000000009</v>
      </c>
      <c r="AG503">
        <f t="shared" si="15"/>
        <v>5.5128000000000004</v>
      </c>
    </row>
    <row r="504" spans="1:33" x14ac:dyDescent="0.25">
      <c r="A504" t="s">
        <v>2472</v>
      </c>
      <c r="B504" t="s">
        <v>2473</v>
      </c>
      <c r="C504" t="s">
        <v>1293</v>
      </c>
      <c r="D504" t="s">
        <v>97</v>
      </c>
      <c r="E504" t="s">
        <v>63</v>
      </c>
      <c r="F504" t="s">
        <v>1162</v>
      </c>
      <c r="G504" t="s">
        <v>1717</v>
      </c>
      <c r="H504" t="s">
        <v>916</v>
      </c>
      <c r="I504" t="s">
        <v>1064</v>
      </c>
      <c r="J504" t="s">
        <v>946</v>
      </c>
      <c r="K504" t="s">
        <v>1870</v>
      </c>
      <c r="L504" t="s">
        <v>1064</v>
      </c>
      <c r="M504" t="s">
        <v>1220</v>
      </c>
      <c r="N504" t="s">
        <v>1039</v>
      </c>
      <c r="O504" t="s">
        <v>1119</v>
      </c>
      <c r="P504" t="s">
        <v>991</v>
      </c>
      <c r="Q504" t="s">
        <v>2388</v>
      </c>
      <c r="R504" t="s">
        <v>1226</v>
      </c>
      <c r="S504" t="s">
        <v>1600</v>
      </c>
      <c r="T504" t="s">
        <v>1600</v>
      </c>
      <c r="U504" t="s">
        <v>927</v>
      </c>
      <c r="V504" t="s">
        <v>1094</v>
      </c>
      <c r="W504" t="s">
        <v>1008</v>
      </c>
      <c r="X504" t="s">
        <v>923</v>
      </c>
      <c r="Y504" t="s">
        <v>1008</v>
      </c>
      <c r="Z504" t="s">
        <v>991</v>
      </c>
      <c r="AA504" t="s">
        <v>1119</v>
      </c>
      <c r="AB504" t="s">
        <v>934</v>
      </c>
      <c r="AC504" t="s">
        <v>1065</v>
      </c>
      <c r="AD504" t="s">
        <v>1000</v>
      </c>
      <c r="AE504" t="s">
        <v>927</v>
      </c>
      <c r="AF504">
        <f t="shared" si="14"/>
        <v>3.3000000000000003</v>
      </c>
      <c r="AG504" t="e">
        <f t="shared" si="15"/>
        <v>#VALUE!</v>
      </c>
    </row>
    <row r="505" spans="1:33" x14ac:dyDescent="0.25">
      <c r="A505" t="s">
        <v>2474</v>
      </c>
      <c r="B505" t="s">
        <v>2475</v>
      </c>
      <c r="C505" t="s">
        <v>1293</v>
      </c>
      <c r="D505" t="s">
        <v>142</v>
      </c>
      <c r="E505" t="s">
        <v>63</v>
      </c>
      <c r="F505" t="s">
        <v>1176</v>
      </c>
      <c r="G505" t="s">
        <v>928</v>
      </c>
      <c r="H505" t="s">
        <v>1129</v>
      </c>
      <c r="I505" t="s">
        <v>968</v>
      </c>
      <c r="J505" t="s">
        <v>957</v>
      </c>
      <c r="K505" t="s">
        <v>1679</v>
      </c>
      <c r="L505" t="s">
        <v>1008</v>
      </c>
      <c r="M505" t="s">
        <v>993</v>
      </c>
      <c r="N505" t="s">
        <v>1785</v>
      </c>
      <c r="O505" t="s">
        <v>1064</v>
      </c>
      <c r="P505" t="s">
        <v>947</v>
      </c>
      <c r="Q505" t="s">
        <v>1976</v>
      </c>
      <c r="R505" t="s">
        <v>1923</v>
      </c>
      <c r="S505" t="s">
        <v>969</v>
      </c>
      <c r="T505" t="s">
        <v>1008</v>
      </c>
      <c r="U505" t="s">
        <v>1361</v>
      </c>
      <c r="V505" t="s">
        <v>987</v>
      </c>
      <c r="W505" t="s">
        <v>918</v>
      </c>
      <c r="X505" t="s">
        <v>922</v>
      </c>
      <c r="Y505" t="s">
        <v>945</v>
      </c>
      <c r="Z505" t="s">
        <v>923</v>
      </c>
      <c r="AA505" t="s">
        <v>1094</v>
      </c>
      <c r="AB505" t="s">
        <v>1008</v>
      </c>
      <c r="AC505" t="s">
        <v>945</v>
      </c>
      <c r="AD505" t="s">
        <v>1046</v>
      </c>
      <c r="AE505" t="s">
        <v>927</v>
      </c>
      <c r="AF505">
        <f t="shared" si="14"/>
        <v>4.8999999999999995</v>
      </c>
      <c r="AG505">
        <f t="shared" si="15"/>
        <v>4.8833000000000002</v>
      </c>
    </row>
    <row r="506" spans="1:33" x14ac:dyDescent="0.25">
      <c r="A506" t="s">
        <v>874</v>
      </c>
      <c r="B506" t="s">
        <v>171</v>
      </c>
      <c r="C506" t="s">
        <v>875</v>
      </c>
      <c r="D506" t="s">
        <v>172</v>
      </c>
      <c r="E506" t="s">
        <v>876</v>
      </c>
      <c r="F506" t="s">
        <v>392</v>
      </c>
      <c r="G506" t="s">
        <v>877</v>
      </c>
      <c r="H506" t="s">
        <v>878</v>
      </c>
      <c r="I506" t="s">
        <v>879</v>
      </c>
      <c r="J506" t="s">
        <v>880</v>
      </c>
      <c r="K506" t="s">
        <v>881</v>
      </c>
      <c r="L506" t="s">
        <v>882</v>
      </c>
      <c r="M506" t="s">
        <v>883</v>
      </c>
      <c r="N506" t="s">
        <v>884</v>
      </c>
      <c r="O506" t="s">
        <v>885</v>
      </c>
      <c r="P506" t="s">
        <v>886</v>
      </c>
      <c r="Q506" t="s">
        <v>887</v>
      </c>
      <c r="R506" t="s">
        <v>888</v>
      </c>
      <c r="S506" t="s">
        <v>889</v>
      </c>
      <c r="T506" t="s">
        <v>890</v>
      </c>
      <c r="U506" t="s">
        <v>891</v>
      </c>
      <c r="V506" t="s">
        <v>892</v>
      </c>
      <c r="W506" t="s">
        <v>893</v>
      </c>
      <c r="X506" t="s">
        <v>894</v>
      </c>
      <c r="Y506" t="s">
        <v>895</v>
      </c>
      <c r="Z506" t="s">
        <v>896</v>
      </c>
      <c r="AA506" t="s">
        <v>897</v>
      </c>
      <c r="AB506" t="s">
        <v>898</v>
      </c>
      <c r="AC506" t="s">
        <v>93</v>
      </c>
      <c r="AD506" t="s">
        <v>899</v>
      </c>
      <c r="AE506" t="s">
        <v>900</v>
      </c>
      <c r="AF506" t="e">
        <f t="shared" si="14"/>
        <v>#VALUE!</v>
      </c>
      <c r="AG506" t="e">
        <f t="shared" si="15"/>
        <v>#VALUE!</v>
      </c>
    </row>
    <row r="507" spans="1:33" x14ac:dyDescent="0.25">
      <c r="A507" t="s">
        <v>2476</v>
      </c>
      <c r="B507" t="s">
        <v>2477</v>
      </c>
      <c r="C507" t="s">
        <v>950</v>
      </c>
      <c r="D507" t="s">
        <v>65</v>
      </c>
      <c r="E507" t="s">
        <v>72</v>
      </c>
      <c r="F507" t="s">
        <v>1187</v>
      </c>
      <c r="G507" t="s">
        <v>949</v>
      </c>
      <c r="H507" t="s">
        <v>944</v>
      </c>
      <c r="I507" t="s">
        <v>1049</v>
      </c>
      <c r="J507" t="s">
        <v>992</v>
      </c>
      <c r="K507" t="s">
        <v>1381</v>
      </c>
      <c r="L507" t="s">
        <v>1094</v>
      </c>
      <c r="M507" t="s">
        <v>969</v>
      </c>
      <c r="N507" t="s">
        <v>1419</v>
      </c>
      <c r="O507" t="s">
        <v>922</v>
      </c>
      <c r="P507" t="s">
        <v>1135</v>
      </c>
      <c r="Q507" t="s">
        <v>1401</v>
      </c>
      <c r="R507" t="s">
        <v>914</v>
      </c>
      <c r="S507" t="s">
        <v>969</v>
      </c>
      <c r="T507" t="s">
        <v>923</v>
      </c>
      <c r="U507" t="s">
        <v>1880</v>
      </c>
      <c r="V507" t="s">
        <v>1195</v>
      </c>
      <c r="W507" t="s">
        <v>1049</v>
      </c>
      <c r="X507" t="s">
        <v>970</v>
      </c>
      <c r="Y507" t="s">
        <v>918</v>
      </c>
      <c r="Z507" t="s">
        <v>1094</v>
      </c>
      <c r="AA507" t="s">
        <v>934</v>
      </c>
      <c r="AB507" t="s">
        <v>1065</v>
      </c>
      <c r="AC507" t="s">
        <v>945</v>
      </c>
      <c r="AD507" t="s">
        <v>1134</v>
      </c>
      <c r="AE507" t="s">
        <v>927</v>
      </c>
      <c r="AF507">
        <f t="shared" si="14"/>
        <v>4.6999999999999993</v>
      </c>
      <c r="AG507">
        <f t="shared" si="15"/>
        <v>4.7724000000000002</v>
      </c>
    </row>
    <row r="508" spans="1:33" x14ac:dyDescent="0.25">
      <c r="A508" t="s">
        <v>2478</v>
      </c>
      <c r="B508" t="s">
        <v>2479</v>
      </c>
      <c r="C508" t="s">
        <v>1084</v>
      </c>
      <c r="D508" t="s">
        <v>1755</v>
      </c>
      <c r="E508" t="s">
        <v>72</v>
      </c>
      <c r="F508" t="s">
        <v>902</v>
      </c>
      <c r="G508" t="s">
        <v>972</v>
      </c>
      <c r="H508" t="s">
        <v>1296</v>
      </c>
      <c r="I508" t="s">
        <v>968</v>
      </c>
      <c r="J508" t="s">
        <v>1155</v>
      </c>
      <c r="K508" t="s">
        <v>1099</v>
      </c>
      <c r="L508" t="s">
        <v>1119</v>
      </c>
      <c r="M508" t="s">
        <v>969</v>
      </c>
      <c r="N508" t="s">
        <v>2480</v>
      </c>
      <c r="O508" t="s">
        <v>922</v>
      </c>
      <c r="P508" t="s">
        <v>1048</v>
      </c>
      <c r="Q508" t="s">
        <v>1058</v>
      </c>
      <c r="R508" t="s">
        <v>1537</v>
      </c>
      <c r="S508" t="s">
        <v>1064</v>
      </c>
      <c r="T508" t="s">
        <v>1310</v>
      </c>
      <c r="U508" t="s">
        <v>1549</v>
      </c>
      <c r="V508" t="s">
        <v>956</v>
      </c>
      <c r="W508" t="s">
        <v>1220</v>
      </c>
      <c r="X508" t="s">
        <v>957</v>
      </c>
      <c r="Y508" t="s">
        <v>1064</v>
      </c>
      <c r="Z508" t="s">
        <v>1094</v>
      </c>
      <c r="AA508" t="s">
        <v>991</v>
      </c>
      <c r="AB508" t="s">
        <v>918</v>
      </c>
      <c r="AC508" t="s">
        <v>956</v>
      </c>
      <c r="AD508" t="s">
        <v>957</v>
      </c>
      <c r="AE508" t="s">
        <v>927</v>
      </c>
      <c r="AF508">
        <f t="shared" si="14"/>
        <v>4.8000000000000007</v>
      </c>
      <c r="AG508">
        <f t="shared" si="15"/>
        <v>4.8063000000000002</v>
      </c>
    </row>
    <row r="509" spans="1:33" x14ac:dyDescent="0.25">
      <c r="A509" t="s">
        <v>2478</v>
      </c>
      <c r="B509" t="s">
        <v>2479</v>
      </c>
      <c r="C509" t="s">
        <v>1084</v>
      </c>
      <c r="D509" t="s">
        <v>156</v>
      </c>
      <c r="E509" t="s">
        <v>72</v>
      </c>
      <c r="F509" t="s">
        <v>1106</v>
      </c>
      <c r="G509" t="s">
        <v>1717</v>
      </c>
      <c r="H509" t="s">
        <v>1211</v>
      </c>
      <c r="I509" t="s">
        <v>934</v>
      </c>
      <c r="J509" t="s">
        <v>923</v>
      </c>
      <c r="K509" t="s">
        <v>2251</v>
      </c>
      <c r="L509" t="s">
        <v>1600</v>
      </c>
      <c r="M509" t="s">
        <v>991</v>
      </c>
      <c r="N509" t="s">
        <v>1646</v>
      </c>
      <c r="O509" t="s">
        <v>934</v>
      </c>
      <c r="P509" t="s">
        <v>969</v>
      </c>
      <c r="Q509" t="s">
        <v>1666</v>
      </c>
      <c r="R509" t="s">
        <v>2251</v>
      </c>
      <c r="S509" t="s">
        <v>923</v>
      </c>
      <c r="T509" t="s">
        <v>1064</v>
      </c>
      <c r="U509" t="s">
        <v>1887</v>
      </c>
      <c r="V509" t="s">
        <v>1094</v>
      </c>
      <c r="W509" t="s">
        <v>969</v>
      </c>
      <c r="X509" t="s">
        <v>918</v>
      </c>
      <c r="Y509" t="s">
        <v>1600</v>
      </c>
      <c r="Z509" t="s">
        <v>1119</v>
      </c>
      <c r="AA509" t="s">
        <v>1119</v>
      </c>
      <c r="AB509" t="s">
        <v>1119</v>
      </c>
      <c r="AC509" t="s">
        <v>969</v>
      </c>
      <c r="AD509" t="s">
        <v>1230</v>
      </c>
      <c r="AE509" t="s">
        <v>927</v>
      </c>
      <c r="AF509">
        <f t="shared" si="14"/>
        <v>1.4</v>
      </c>
      <c r="AG509">
        <f t="shared" si="15"/>
        <v>1.3995000000000002</v>
      </c>
    </row>
    <row r="510" spans="1:33" x14ac:dyDescent="0.25">
      <c r="A510" t="s">
        <v>2478</v>
      </c>
      <c r="B510" t="s">
        <v>2479</v>
      </c>
      <c r="C510" t="s">
        <v>1084</v>
      </c>
      <c r="D510" t="s">
        <v>163</v>
      </c>
      <c r="E510" t="s">
        <v>72</v>
      </c>
      <c r="F510" t="s">
        <v>1121</v>
      </c>
      <c r="G510" t="s">
        <v>972</v>
      </c>
      <c r="H510" t="s">
        <v>1760</v>
      </c>
      <c r="I510" t="s">
        <v>964</v>
      </c>
      <c r="J510" t="s">
        <v>1079</v>
      </c>
      <c r="K510" t="s">
        <v>1131</v>
      </c>
      <c r="L510" t="s">
        <v>934</v>
      </c>
      <c r="M510" t="s">
        <v>1008</v>
      </c>
      <c r="N510" t="s">
        <v>2152</v>
      </c>
      <c r="O510" t="s">
        <v>1220</v>
      </c>
      <c r="P510" t="s">
        <v>1005</v>
      </c>
      <c r="Q510" t="s">
        <v>984</v>
      </c>
      <c r="R510" t="s">
        <v>1180</v>
      </c>
      <c r="S510" t="s">
        <v>945</v>
      </c>
      <c r="T510" t="s">
        <v>1029</v>
      </c>
      <c r="U510" t="s">
        <v>1680</v>
      </c>
      <c r="V510" t="s">
        <v>946</v>
      </c>
      <c r="W510" t="s">
        <v>1155</v>
      </c>
      <c r="X510" t="s">
        <v>1116</v>
      </c>
      <c r="Y510" t="s">
        <v>1029</v>
      </c>
      <c r="Z510" t="s">
        <v>1065</v>
      </c>
      <c r="AA510" t="s">
        <v>1008</v>
      </c>
      <c r="AB510" t="s">
        <v>1049</v>
      </c>
      <c r="AC510" t="s">
        <v>964</v>
      </c>
      <c r="AD510" t="s">
        <v>1026</v>
      </c>
      <c r="AE510" t="s">
        <v>927</v>
      </c>
      <c r="AF510">
        <f t="shared" si="14"/>
        <v>7.2</v>
      </c>
      <c r="AG510">
        <f t="shared" si="15"/>
        <v>7.1474000000000002</v>
      </c>
    </row>
    <row r="511" spans="1:33" x14ac:dyDescent="0.25">
      <c r="A511" t="s">
        <v>2478</v>
      </c>
      <c r="B511" t="s">
        <v>2479</v>
      </c>
      <c r="C511" t="s">
        <v>1084</v>
      </c>
      <c r="D511" t="s">
        <v>108</v>
      </c>
      <c r="E511" t="s">
        <v>72</v>
      </c>
      <c r="F511" t="s">
        <v>1031</v>
      </c>
      <c r="G511" t="s">
        <v>1717</v>
      </c>
      <c r="H511" t="s">
        <v>1314</v>
      </c>
      <c r="I511" t="s">
        <v>924</v>
      </c>
      <c r="J511" t="s">
        <v>1134</v>
      </c>
      <c r="K511" t="s">
        <v>1131</v>
      </c>
      <c r="L511" t="s">
        <v>1600</v>
      </c>
      <c r="M511" t="s">
        <v>987</v>
      </c>
      <c r="N511" t="s">
        <v>1646</v>
      </c>
      <c r="O511" t="s">
        <v>924</v>
      </c>
      <c r="P511" t="s">
        <v>1228</v>
      </c>
      <c r="Q511" t="s">
        <v>1836</v>
      </c>
      <c r="R511" t="s">
        <v>1131</v>
      </c>
      <c r="S511" t="s">
        <v>945</v>
      </c>
      <c r="T511" t="s">
        <v>968</v>
      </c>
      <c r="U511" t="s">
        <v>1696</v>
      </c>
      <c r="V511" t="s">
        <v>1048</v>
      </c>
      <c r="W511" t="s">
        <v>1081</v>
      </c>
      <c r="X511" t="s">
        <v>988</v>
      </c>
      <c r="Y511" t="s">
        <v>956</v>
      </c>
      <c r="Z511" t="s">
        <v>934</v>
      </c>
      <c r="AA511" t="s">
        <v>934</v>
      </c>
      <c r="AB511" t="s">
        <v>934</v>
      </c>
      <c r="AC511" t="s">
        <v>1012</v>
      </c>
      <c r="AD511" t="s">
        <v>1063</v>
      </c>
      <c r="AE511" t="s">
        <v>927</v>
      </c>
      <c r="AF511">
        <f t="shared" si="14"/>
        <v>6</v>
      </c>
      <c r="AG511">
        <f t="shared" si="15"/>
        <v>6.0006000000000004</v>
      </c>
    </row>
    <row r="512" spans="1:33" x14ac:dyDescent="0.25">
      <c r="A512" t="s">
        <v>2481</v>
      </c>
      <c r="B512" t="s">
        <v>2482</v>
      </c>
      <c r="C512" t="s">
        <v>1245</v>
      </c>
      <c r="D512" t="s">
        <v>45</v>
      </c>
      <c r="E512" t="s">
        <v>93</v>
      </c>
      <c r="F512" t="s">
        <v>949</v>
      </c>
      <c r="G512" t="s">
        <v>949</v>
      </c>
      <c r="H512" t="s">
        <v>1317</v>
      </c>
      <c r="I512" t="s">
        <v>1195</v>
      </c>
      <c r="J512" t="s">
        <v>1063</v>
      </c>
      <c r="K512" t="s">
        <v>935</v>
      </c>
      <c r="L512" t="s">
        <v>923</v>
      </c>
      <c r="M512" t="s">
        <v>1228</v>
      </c>
      <c r="N512" t="s">
        <v>2152</v>
      </c>
      <c r="O512" t="s">
        <v>1094</v>
      </c>
      <c r="P512" t="s">
        <v>956</v>
      </c>
      <c r="Q512" t="s">
        <v>2388</v>
      </c>
      <c r="R512" t="s">
        <v>1960</v>
      </c>
      <c r="S512" t="s">
        <v>923</v>
      </c>
      <c r="T512" t="s">
        <v>1195</v>
      </c>
      <c r="U512" t="s">
        <v>2049</v>
      </c>
      <c r="V512" t="s">
        <v>922</v>
      </c>
      <c r="W512" t="s">
        <v>970</v>
      </c>
      <c r="X512" t="s">
        <v>920</v>
      </c>
      <c r="Y512" t="s">
        <v>1008</v>
      </c>
      <c r="Z512" t="s">
        <v>922</v>
      </c>
      <c r="AA512" t="s">
        <v>1195</v>
      </c>
      <c r="AB512" t="s">
        <v>1008</v>
      </c>
      <c r="AC512" t="s">
        <v>1220</v>
      </c>
      <c r="AD512" t="s">
        <v>957</v>
      </c>
      <c r="AE512" t="s">
        <v>927</v>
      </c>
      <c r="AF512">
        <f t="shared" si="14"/>
        <v>4.5999999999999996</v>
      </c>
      <c r="AG512">
        <f t="shared" si="15"/>
        <v>4.6430000000000007</v>
      </c>
    </row>
    <row r="513" spans="1:33" x14ac:dyDescent="0.25">
      <c r="A513" t="s">
        <v>2483</v>
      </c>
      <c r="B513" t="s">
        <v>2484</v>
      </c>
      <c r="C513" t="s">
        <v>1032</v>
      </c>
      <c r="D513" t="s">
        <v>1755</v>
      </c>
      <c r="E513" t="s">
        <v>93</v>
      </c>
      <c r="F513" t="s">
        <v>1355</v>
      </c>
      <c r="G513" t="s">
        <v>949</v>
      </c>
      <c r="H513" t="s">
        <v>1113</v>
      </c>
      <c r="I513" t="s">
        <v>922</v>
      </c>
      <c r="J513" t="s">
        <v>1155</v>
      </c>
      <c r="K513" t="s">
        <v>1923</v>
      </c>
      <c r="L513" t="s">
        <v>969</v>
      </c>
      <c r="M513" t="s">
        <v>968</v>
      </c>
      <c r="N513" t="s">
        <v>1528</v>
      </c>
      <c r="O513" t="s">
        <v>945</v>
      </c>
      <c r="P513" t="s">
        <v>1049</v>
      </c>
      <c r="Q513" t="s">
        <v>1561</v>
      </c>
      <c r="R513" t="s">
        <v>1615</v>
      </c>
      <c r="S513" t="s">
        <v>969</v>
      </c>
      <c r="T513" t="s">
        <v>987</v>
      </c>
      <c r="U513" t="s">
        <v>1947</v>
      </c>
      <c r="V513" t="s">
        <v>991</v>
      </c>
      <c r="W513" t="s">
        <v>925</v>
      </c>
      <c r="X513" t="s">
        <v>993</v>
      </c>
      <c r="Y513" t="s">
        <v>1064</v>
      </c>
      <c r="Z513" t="s">
        <v>991</v>
      </c>
      <c r="AA513" t="s">
        <v>1094</v>
      </c>
      <c r="AB513" t="s">
        <v>1008</v>
      </c>
      <c r="AC513" t="s">
        <v>969</v>
      </c>
      <c r="AD513" t="s">
        <v>1211</v>
      </c>
      <c r="AE513" t="s">
        <v>927</v>
      </c>
      <c r="AF513">
        <f t="shared" si="14"/>
        <v>4.5999999999999996</v>
      </c>
      <c r="AG513">
        <f t="shared" si="15"/>
        <v>4.6705999999999985</v>
      </c>
    </row>
    <row r="514" spans="1:33" x14ac:dyDescent="0.25">
      <c r="A514" t="s">
        <v>2483</v>
      </c>
      <c r="B514" t="s">
        <v>2484</v>
      </c>
      <c r="C514" t="s">
        <v>1032</v>
      </c>
      <c r="D514" t="s">
        <v>111</v>
      </c>
      <c r="E514" t="s">
        <v>93</v>
      </c>
      <c r="F514" t="s">
        <v>1293</v>
      </c>
      <c r="G514" t="s">
        <v>949</v>
      </c>
      <c r="H514" t="s">
        <v>1244</v>
      </c>
      <c r="I514" t="s">
        <v>1029</v>
      </c>
      <c r="J514" t="s">
        <v>1000</v>
      </c>
      <c r="K514" t="s">
        <v>1205</v>
      </c>
      <c r="L514" t="s">
        <v>969</v>
      </c>
      <c r="M514" t="s">
        <v>1029</v>
      </c>
      <c r="N514" t="s">
        <v>1558</v>
      </c>
      <c r="O514" t="s">
        <v>923</v>
      </c>
      <c r="P514" t="s">
        <v>1049</v>
      </c>
      <c r="Q514" t="s">
        <v>1192</v>
      </c>
      <c r="R514" t="s">
        <v>1057</v>
      </c>
      <c r="S514" t="s">
        <v>1008</v>
      </c>
      <c r="T514" t="s">
        <v>987</v>
      </c>
      <c r="U514" t="s">
        <v>1597</v>
      </c>
      <c r="V514" t="s">
        <v>991</v>
      </c>
      <c r="W514" t="s">
        <v>925</v>
      </c>
      <c r="X514" t="s">
        <v>1012</v>
      </c>
      <c r="Y514" t="s">
        <v>1064</v>
      </c>
      <c r="Z514" t="s">
        <v>991</v>
      </c>
      <c r="AA514" t="s">
        <v>1094</v>
      </c>
      <c r="AB514" t="s">
        <v>1008</v>
      </c>
      <c r="AC514" t="s">
        <v>1008</v>
      </c>
      <c r="AD514" t="s">
        <v>1047</v>
      </c>
      <c r="AE514" t="s">
        <v>927</v>
      </c>
      <c r="AF514">
        <f t="shared" si="14"/>
        <v>4.5</v>
      </c>
      <c r="AG514">
        <f t="shared" si="15"/>
        <v>4.4560000000000004</v>
      </c>
    </row>
    <row r="515" spans="1:33" x14ac:dyDescent="0.25">
      <c r="A515" t="s">
        <v>2483</v>
      </c>
      <c r="B515" t="s">
        <v>2484</v>
      </c>
      <c r="C515" t="s">
        <v>1032</v>
      </c>
      <c r="D515" t="s">
        <v>108</v>
      </c>
      <c r="E515" t="s">
        <v>93</v>
      </c>
      <c r="F515" t="s">
        <v>949</v>
      </c>
      <c r="G515" t="s">
        <v>1717</v>
      </c>
      <c r="H515" t="s">
        <v>943</v>
      </c>
      <c r="I515" t="s">
        <v>1220</v>
      </c>
      <c r="J515" t="s">
        <v>1044</v>
      </c>
      <c r="K515" t="s">
        <v>1818</v>
      </c>
      <c r="L515" t="s">
        <v>1008</v>
      </c>
      <c r="M515" t="s">
        <v>1030</v>
      </c>
      <c r="N515" t="s">
        <v>2485</v>
      </c>
      <c r="O515" t="s">
        <v>956</v>
      </c>
      <c r="P515" t="s">
        <v>1220</v>
      </c>
      <c r="Q515" t="s">
        <v>2049</v>
      </c>
      <c r="R515" t="s">
        <v>1268</v>
      </c>
      <c r="S515" t="s">
        <v>1600</v>
      </c>
      <c r="T515" t="s">
        <v>1600</v>
      </c>
      <c r="U515" t="s">
        <v>927</v>
      </c>
      <c r="V515" t="s">
        <v>1008</v>
      </c>
      <c r="W515" t="s">
        <v>947</v>
      </c>
      <c r="X515" t="s">
        <v>1135</v>
      </c>
      <c r="Y515" t="s">
        <v>923</v>
      </c>
      <c r="Z515" t="s">
        <v>1008</v>
      </c>
      <c r="AA515" t="s">
        <v>1600</v>
      </c>
      <c r="AB515" t="s">
        <v>1094</v>
      </c>
      <c r="AC515" t="s">
        <v>1094</v>
      </c>
      <c r="AD515" t="s">
        <v>1063</v>
      </c>
      <c r="AE515" t="s">
        <v>927</v>
      </c>
      <c r="AF515">
        <f t="shared" ref="AF515:AF578" si="16">(L515 * 3) + ((I515 - L515) * 2) + S515</f>
        <v>6.1</v>
      </c>
      <c r="AG515" t="e">
        <f t="shared" ref="AG515:AG578" si="17">(M515 * N515 * 3) + ((J515 - M515) * Q515 * 2) + (T515 * U515)</f>
        <v>#VALUE!</v>
      </c>
    </row>
    <row r="516" spans="1:33" x14ac:dyDescent="0.25">
      <c r="A516" t="s">
        <v>2483</v>
      </c>
      <c r="B516" t="s">
        <v>2484</v>
      </c>
      <c r="C516" t="s">
        <v>1032</v>
      </c>
      <c r="D516" t="s">
        <v>65</v>
      </c>
      <c r="E516" t="s">
        <v>93</v>
      </c>
      <c r="F516" t="s">
        <v>949</v>
      </c>
      <c r="G516" t="s">
        <v>1717</v>
      </c>
      <c r="H516" t="s">
        <v>1207</v>
      </c>
      <c r="I516" t="s">
        <v>922</v>
      </c>
      <c r="J516" t="s">
        <v>1170</v>
      </c>
      <c r="K516" t="s">
        <v>1683</v>
      </c>
      <c r="L516" t="s">
        <v>1094</v>
      </c>
      <c r="M516" t="s">
        <v>947</v>
      </c>
      <c r="N516" t="s">
        <v>2486</v>
      </c>
      <c r="O516" t="s">
        <v>1195</v>
      </c>
      <c r="P516" t="s">
        <v>956</v>
      </c>
      <c r="Q516" t="s">
        <v>1696</v>
      </c>
      <c r="R516" t="s">
        <v>1419</v>
      </c>
      <c r="S516" t="s">
        <v>1008</v>
      </c>
      <c r="T516" t="s">
        <v>1195</v>
      </c>
      <c r="U516" t="s">
        <v>1131</v>
      </c>
      <c r="V516" t="s">
        <v>1600</v>
      </c>
      <c r="W516" t="s">
        <v>922</v>
      </c>
      <c r="X516" t="s">
        <v>922</v>
      </c>
      <c r="Y516" t="s">
        <v>1008</v>
      </c>
      <c r="Z516" t="s">
        <v>1600</v>
      </c>
      <c r="AA516" t="s">
        <v>1094</v>
      </c>
      <c r="AB516" t="s">
        <v>1094</v>
      </c>
      <c r="AC516" t="s">
        <v>1094</v>
      </c>
      <c r="AD516" t="s">
        <v>1170</v>
      </c>
      <c r="AE516" t="s">
        <v>927</v>
      </c>
      <c r="AF516">
        <f t="shared" si="16"/>
        <v>4.3999999999999995</v>
      </c>
      <c r="AG516">
        <f t="shared" si="17"/>
        <v>4.3047000000000004</v>
      </c>
    </row>
    <row r="517" spans="1:33" x14ac:dyDescent="0.25">
      <c r="A517" t="s">
        <v>2487</v>
      </c>
      <c r="B517" t="s">
        <v>2488</v>
      </c>
      <c r="C517" t="s">
        <v>1293</v>
      </c>
      <c r="D517" t="s">
        <v>974</v>
      </c>
      <c r="E517" t="s">
        <v>72</v>
      </c>
      <c r="F517" t="s">
        <v>1512</v>
      </c>
      <c r="G517" t="s">
        <v>972</v>
      </c>
      <c r="H517" t="s">
        <v>1241</v>
      </c>
      <c r="I517" t="s">
        <v>1049</v>
      </c>
      <c r="J517" t="s">
        <v>1048</v>
      </c>
      <c r="K517" t="s">
        <v>1605</v>
      </c>
      <c r="L517" t="s">
        <v>1600</v>
      </c>
      <c r="M517" t="s">
        <v>1119</v>
      </c>
      <c r="N517" t="s">
        <v>1131</v>
      </c>
      <c r="O517" t="s">
        <v>968</v>
      </c>
      <c r="P517" t="s">
        <v>946</v>
      </c>
      <c r="Q517" t="s">
        <v>1542</v>
      </c>
      <c r="R517" t="s">
        <v>933</v>
      </c>
      <c r="S517" t="s">
        <v>987</v>
      </c>
      <c r="T517" t="s">
        <v>945</v>
      </c>
      <c r="U517" t="s">
        <v>2219</v>
      </c>
      <c r="V517" t="s">
        <v>923</v>
      </c>
      <c r="W517" t="s">
        <v>1220</v>
      </c>
      <c r="X517" t="s">
        <v>1030</v>
      </c>
      <c r="Y517" t="s">
        <v>918</v>
      </c>
      <c r="Z517" t="s">
        <v>934</v>
      </c>
      <c r="AA517" t="s">
        <v>969</v>
      </c>
      <c r="AB517" t="s">
        <v>1008</v>
      </c>
      <c r="AC517" t="s">
        <v>923</v>
      </c>
      <c r="AD517" t="s">
        <v>1211</v>
      </c>
      <c r="AE517" t="s">
        <v>927</v>
      </c>
      <c r="AF517">
        <f t="shared" si="16"/>
        <v>4.5999999999999996</v>
      </c>
      <c r="AG517">
        <f t="shared" si="17"/>
        <v>4.6395999999999997</v>
      </c>
    </row>
    <row r="518" spans="1:33" x14ac:dyDescent="0.25">
      <c r="A518" t="s">
        <v>2487</v>
      </c>
      <c r="B518" t="s">
        <v>2488</v>
      </c>
      <c r="C518" t="s">
        <v>1293</v>
      </c>
      <c r="D518" t="s">
        <v>45</v>
      </c>
      <c r="E518" t="s">
        <v>72</v>
      </c>
      <c r="F518" t="s">
        <v>1376</v>
      </c>
      <c r="G518" t="s">
        <v>972</v>
      </c>
      <c r="H518" t="s">
        <v>1183</v>
      </c>
      <c r="I518" t="s">
        <v>924</v>
      </c>
      <c r="J518" t="s">
        <v>1160</v>
      </c>
      <c r="K518" t="s">
        <v>939</v>
      </c>
      <c r="L518" t="s">
        <v>1119</v>
      </c>
      <c r="M518" t="s">
        <v>1119</v>
      </c>
      <c r="N518" t="s">
        <v>1836</v>
      </c>
      <c r="O518" t="s">
        <v>947</v>
      </c>
      <c r="P518" t="s">
        <v>1155</v>
      </c>
      <c r="Q518" t="s">
        <v>939</v>
      </c>
      <c r="R518" t="s">
        <v>942</v>
      </c>
      <c r="S518" t="s">
        <v>923</v>
      </c>
      <c r="T518" t="s">
        <v>1310</v>
      </c>
      <c r="U518" t="s">
        <v>2489</v>
      </c>
      <c r="V518" t="s">
        <v>1064</v>
      </c>
      <c r="W518" t="s">
        <v>979</v>
      </c>
      <c r="X518" t="s">
        <v>1047</v>
      </c>
      <c r="Y518" t="s">
        <v>945</v>
      </c>
      <c r="Z518" t="s">
        <v>1094</v>
      </c>
      <c r="AA518" t="s">
        <v>918</v>
      </c>
      <c r="AB518" t="s">
        <v>987</v>
      </c>
      <c r="AC518" t="s">
        <v>945</v>
      </c>
      <c r="AD518" t="s">
        <v>1079</v>
      </c>
      <c r="AE518" t="s">
        <v>927</v>
      </c>
      <c r="AF518">
        <f t="shared" si="16"/>
        <v>5.8999999999999995</v>
      </c>
      <c r="AG518">
        <f t="shared" si="17"/>
        <v>5.7411999999999992</v>
      </c>
    </row>
    <row r="519" spans="1:33" x14ac:dyDescent="0.25">
      <c r="A519" t="s">
        <v>2487</v>
      </c>
      <c r="B519" t="s">
        <v>2488</v>
      </c>
      <c r="C519" t="s">
        <v>1293</v>
      </c>
      <c r="D519" t="s">
        <v>79</v>
      </c>
      <c r="E519" t="s">
        <v>72</v>
      </c>
      <c r="F519" t="s">
        <v>1084</v>
      </c>
      <c r="G519" t="s">
        <v>1717</v>
      </c>
      <c r="H519" t="s">
        <v>988</v>
      </c>
      <c r="I519" t="s">
        <v>1064</v>
      </c>
      <c r="J519" t="s">
        <v>956</v>
      </c>
      <c r="K519" t="s">
        <v>1115</v>
      </c>
      <c r="L519" t="s">
        <v>1600</v>
      </c>
      <c r="M519" t="s">
        <v>1600</v>
      </c>
      <c r="N519" t="s">
        <v>1646</v>
      </c>
      <c r="O519" t="s">
        <v>1064</v>
      </c>
      <c r="P519" t="s">
        <v>956</v>
      </c>
      <c r="Q519" t="s">
        <v>1289</v>
      </c>
      <c r="R519" t="s">
        <v>1115</v>
      </c>
      <c r="S519" t="s">
        <v>1065</v>
      </c>
      <c r="T519" t="s">
        <v>969</v>
      </c>
      <c r="U519" t="s">
        <v>2280</v>
      </c>
      <c r="V519" t="s">
        <v>987</v>
      </c>
      <c r="W519" t="s">
        <v>1029</v>
      </c>
      <c r="X519" t="s">
        <v>924</v>
      </c>
      <c r="Y519" t="s">
        <v>991</v>
      </c>
      <c r="Z519" t="s">
        <v>1119</v>
      </c>
      <c r="AA519" t="s">
        <v>1094</v>
      </c>
      <c r="AB519" t="s">
        <v>991</v>
      </c>
      <c r="AC519" t="s">
        <v>1008</v>
      </c>
      <c r="AD519" t="s">
        <v>1220</v>
      </c>
      <c r="AE519" t="s">
        <v>927</v>
      </c>
      <c r="AF519">
        <f t="shared" si="16"/>
        <v>2.7</v>
      </c>
      <c r="AG519">
        <f t="shared" si="17"/>
        <v>2.7235999999999998</v>
      </c>
    </row>
    <row r="520" spans="1:33" x14ac:dyDescent="0.25">
      <c r="A520" t="s">
        <v>2490</v>
      </c>
      <c r="B520" t="s">
        <v>2491</v>
      </c>
      <c r="C520" t="s">
        <v>1032</v>
      </c>
      <c r="D520" t="s">
        <v>133</v>
      </c>
      <c r="E520" t="s">
        <v>63</v>
      </c>
      <c r="F520" t="s">
        <v>1480</v>
      </c>
      <c r="G520" t="s">
        <v>1083</v>
      </c>
      <c r="H520" t="s">
        <v>1454</v>
      </c>
      <c r="I520" t="s">
        <v>1029</v>
      </c>
      <c r="J520" t="s">
        <v>1030</v>
      </c>
      <c r="K520" t="s">
        <v>1018</v>
      </c>
      <c r="L520" t="s">
        <v>969</v>
      </c>
      <c r="M520" t="s">
        <v>922</v>
      </c>
      <c r="N520" t="s">
        <v>1089</v>
      </c>
      <c r="O520" t="s">
        <v>923</v>
      </c>
      <c r="P520" t="s">
        <v>956</v>
      </c>
      <c r="Q520" t="s">
        <v>1171</v>
      </c>
      <c r="R520" t="s">
        <v>1208</v>
      </c>
      <c r="S520" t="s">
        <v>1008</v>
      </c>
      <c r="T520" t="s">
        <v>1064</v>
      </c>
      <c r="U520" t="s">
        <v>2492</v>
      </c>
      <c r="V520" t="s">
        <v>1065</v>
      </c>
      <c r="W520" t="s">
        <v>945</v>
      </c>
      <c r="X520" t="s">
        <v>922</v>
      </c>
      <c r="Y520" t="s">
        <v>945</v>
      </c>
      <c r="Z520" t="s">
        <v>969</v>
      </c>
      <c r="AA520" t="s">
        <v>1119</v>
      </c>
      <c r="AB520" t="s">
        <v>991</v>
      </c>
      <c r="AC520" t="s">
        <v>922</v>
      </c>
      <c r="AD520" t="s">
        <v>1211</v>
      </c>
      <c r="AE520" t="s">
        <v>927</v>
      </c>
      <c r="AF520">
        <f t="shared" si="16"/>
        <v>4.5</v>
      </c>
      <c r="AG520">
        <f t="shared" si="17"/>
        <v>4.5699000000000005</v>
      </c>
    </row>
    <row r="521" spans="1:33" x14ac:dyDescent="0.25">
      <c r="A521" t="s">
        <v>2493</v>
      </c>
      <c r="B521" t="s">
        <v>2494</v>
      </c>
      <c r="C521" t="s">
        <v>1245</v>
      </c>
      <c r="D521" t="s">
        <v>131</v>
      </c>
      <c r="E521" t="s">
        <v>47</v>
      </c>
      <c r="F521" t="s">
        <v>1033</v>
      </c>
      <c r="G521" t="s">
        <v>1031</v>
      </c>
      <c r="H521" t="s">
        <v>1454</v>
      </c>
      <c r="I521" t="s">
        <v>1029</v>
      </c>
      <c r="J521" t="s">
        <v>992</v>
      </c>
      <c r="K521" t="s">
        <v>1319</v>
      </c>
      <c r="L521" t="s">
        <v>969</v>
      </c>
      <c r="M521" t="s">
        <v>1049</v>
      </c>
      <c r="N521" t="s">
        <v>2069</v>
      </c>
      <c r="O521" t="s">
        <v>923</v>
      </c>
      <c r="P521" t="s">
        <v>922</v>
      </c>
      <c r="Q521" t="s">
        <v>1510</v>
      </c>
      <c r="R521" t="s">
        <v>1381</v>
      </c>
      <c r="S521" t="s">
        <v>987</v>
      </c>
      <c r="T521" t="s">
        <v>923</v>
      </c>
      <c r="U521" t="s">
        <v>1382</v>
      </c>
      <c r="V521" t="s">
        <v>987</v>
      </c>
      <c r="W521" t="s">
        <v>1195</v>
      </c>
      <c r="X521" t="s">
        <v>908</v>
      </c>
      <c r="Y521" t="s">
        <v>1065</v>
      </c>
      <c r="Z521" t="s">
        <v>1065</v>
      </c>
      <c r="AA521" t="s">
        <v>1094</v>
      </c>
      <c r="AB521" t="s">
        <v>1094</v>
      </c>
      <c r="AC521" t="s">
        <v>1230</v>
      </c>
      <c r="AD521" t="s">
        <v>1211</v>
      </c>
      <c r="AE521" t="s">
        <v>927</v>
      </c>
      <c r="AF521">
        <f t="shared" si="16"/>
        <v>4.5999999999999996</v>
      </c>
      <c r="AG521">
        <f t="shared" si="17"/>
        <v>4.6316999999999995</v>
      </c>
    </row>
    <row r="522" spans="1:33" x14ac:dyDescent="0.25">
      <c r="A522" t="s">
        <v>2495</v>
      </c>
      <c r="B522" t="s">
        <v>2496</v>
      </c>
      <c r="C522" t="s">
        <v>1238</v>
      </c>
      <c r="D522" t="s">
        <v>45</v>
      </c>
      <c r="E522" t="s">
        <v>63</v>
      </c>
      <c r="F522" t="s">
        <v>975</v>
      </c>
      <c r="G522" t="s">
        <v>1245</v>
      </c>
      <c r="H522" t="s">
        <v>998</v>
      </c>
      <c r="I522" t="s">
        <v>922</v>
      </c>
      <c r="J522" t="s">
        <v>1005</v>
      </c>
      <c r="K522" t="s">
        <v>1750</v>
      </c>
      <c r="L522" t="s">
        <v>1008</v>
      </c>
      <c r="M522" t="s">
        <v>1220</v>
      </c>
      <c r="N522" t="s">
        <v>1934</v>
      </c>
      <c r="O522" t="s">
        <v>923</v>
      </c>
      <c r="P522" t="s">
        <v>924</v>
      </c>
      <c r="Q522" t="s">
        <v>1393</v>
      </c>
      <c r="R522" t="s">
        <v>1595</v>
      </c>
      <c r="S522" t="s">
        <v>969</v>
      </c>
      <c r="T522" t="s">
        <v>987</v>
      </c>
      <c r="U522" t="s">
        <v>1525</v>
      </c>
      <c r="V522" t="s">
        <v>1065</v>
      </c>
      <c r="W522" t="s">
        <v>922</v>
      </c>
      <c r="X522" t="s">
        <v>947</v>
      </c>
      <c r="Y522" t="s">
        <v>945</v>
      </c>
      <c r="Z522" t="s">
        <v>1065</v>
      </c>
      <c r="AA522" t="s">
        <v>1094</v>
      </c>
      <c r="AB522" t="s">
        <v>918</v>
      </c>
      <c r="AC522" t="s">
        <v>1049</v>
      </c>
      <c r="AD522" t="s">
        <v>1211</v>
      </c>
      <c r="AE522" t="s">
        <v>927</v>
      </c>
      <c r="AF522">
        <f t="shared" si="16"/>
        <v>4.6999999999999993</v>
      </c>
      <c r="AG522">
        <f t="shared" si="17"/>
        <v>4.5642999999999994</v>
      </c>
    </row>
    <row r="523" spans="1:33" x14ac:dyDescent="0.25">
      <c r="A523" t="s">
        <v>2497</v>
      </c>
      <c r="B523" t="s">
        <v>2498</v>
      </c>
      <c r="C523" t="s">
        <v>1238</v>
      </c>
      <c r="D523" t="s">
        <v>102</v>
      </c>
      <c r="E523" t="s">
        <v>56</v>
      </c>
      <c r="F523" t="s">
        <v>1453</v>
      </c>
      <c r="G523" t="s">
        <v>901</v>
      </c>
      <c r="H523" t="s">
        <v>1483</v>
      </c>
      <c r="I523" t="s">
        <v>1049</v>
      </c>
      <c r="J523" t="s">
        <v>1170</v>
      </c>
      <c r="K523" t="s">
        <v>1840</v>
      </c>
      <c r="L523" t="s">
        <v>1065</v>
      </c>
      <c r="M523" t="s">
        <v>1310</v>
      </c>
      <c r="N523" t="s">
        <v>1835</v>
      </c>
      <c r="O523" t="s">
        <v>1230</v>
      </c>
      <c r="P523" t="s">
        <v>1104</v>
      </c>
      <c r="Q523" t="s">
        <v>1476</v>
      </c>
      <c r="R523" t="s">
        <v>1131</v>
      </c>
      <c r="S523" t="s">
        <v>934</v>
      </c>
      <c r="T523" t="s">
        <v>1094</v>
      </c>
      <c r="U523" t="s">
        <v>1381</v>
      </c>
      <c r="V523" t="s">
        <v>934</v>
      </c>
      <c r="W523" t="s">
        <v>987</v>
      </c>
      <c r="X523" t="s">
        <v>923</v>
      </c>
      <c r="Y523" t="s">
        <v>956</v>
      </c>
      <c r="Z523" t="s">
        <v>991</v>
      </c>
      <c r="AA523" t="s">
        <v>1600</v>
      </c>
      <c r="AB523" t="s">
        <v>1064</v>
      </c>
      <c r="AC523" t="s">
        <v>987</v>
      </c>
      <c r="AD523" t="s">
        <v>1047</v>
      </c>
      <c r="AE523" t="s">
        <v>927</v>
      </c>
      <c r="AF523">
        <f t="shared" si="16"/>
        <v>4.5</v>
      </c>
      <c r="AG523">
        <f t="shared" si="17"/>
        <v>4.4584999999999999</v>
      </c>
    </row>
    <row r="524" spans="1:33" x14ac:dyDescent="0.25">
      <c r="A524" t="s">
        <v>2499</v>
      </c>
      <c r="B524" t="s">
        <v>2500</v>
      </c>
      <c r="C524" t="s">
        <v>1245</v>
      </c>
      <c r="D524" t="s">
        <v>142</v>
      </c>
      <c r="E524" t="s">
        <v>47</v>
      </c>
      <c r="F524" t="s">
        <v>1255</v>
      </c>
      <c r="G524" t="s">
        <v>1717</v>
      </c>
      <c r="H524" t="s">
        <v>1207</v>
      </c>
      <c r="I524" t="s">
        <v>1029</v>
      </c>
      <c r="J524" t="s">
        <v>1103</v>
      </c>
      <c r="K524" t="s">
        <v>1365</v>
      </c>
      <c r="L524" t="s">
        <v>918</v>
      </c>
      <c r="M524" t="s">
        <v>946</v>
      </c>
      <c r="N524" t="s">
        <v>2155</v>
      </c>
      <c r="O524" t="s">
        <v>1008</v>
      </c>
      <c r="P524" t="s">
        <v>1195</v>
      </c>
      <c r="Q524" t="s">
        <v>1504</v>
      </c>
      <c r="R524" t="s">
        <v>1795</v>
      </c>
      <c r="S524" t="s">
        <v>1094</v>
      </c>
      <c r="T524" t="s">
        <v>991</v>
      </c>
      <c r="U524" t="s">
        <v>1875</v>
      </c>
      <c r="V524" t="s">
        <v>1094</v>
      </c>
      <c r="W524" t="s">
        <v>987</v>
      </c>
      <c r="X524" t="s">
        <v>945</v>
      </c>
      <c r="Y524" t="s">
        <v>1008</v>
      </c>
      <c r="Z524" t="s">
        <v>934</v>
      </c>
      <c r="AA524" t="s">
        <v>934</v>
      </c>
      <c r="AB524" t="s">
        <v>969</v>
      </c>
      <c r="AC524" t="s">
        <v>1064</v>
      </c>
      <c r="AD524" t="s">
        <v>1047</v>
      </c>
      <c r="AE524" t="s">
        <v>927</v>
      </c>
      <c r="AF524">
        <f t="shared" si="16"/>
        <v>4.4000000000000004</v>
      </c>
      <c r="AG524">
        <f t="shared" si="17"/>
        <v>4.5028000000000006</v>
      </c>
    </row>
    <row r="525" spans="1:33" x14ac:dyDescent="0.25">
      <c r="A525" t="s">
        <v>2501</v>
      </c>
      <c r="B525" t="s">
        <v>2502</v>
      </c>
      <c r="C525" t="s">
        <v>1015</v>
      </c>
      <c r="D525" t="s">
        <v>1223</v>
      </c>
      <c r="E525" t="s">
        <v>72</v>
      </c>
      <c r="F525" t="s">
        <v>903</v>
      </c>
      <c r="G525" t="s">
        <v>1051</v>
      </c>
      <c r="H525" t="s">
        <v>1487</v>
      </c>
      <c r="I525" t="s">
        <v>1049</v>
      </c>
      <c r="J525" t="s">
        <v>1030</v>
      </c>
      <c r="K525" t="s">
        <v>1308</v>
      </c>
      <c r="L525" t="s">
        <v>1600</v>
      </c>
      <c r="M525" t="s">
        <v>1119</v>
      </c>
      <c r="N525" t="s">
        <v>1719</v>
      </c>
      <c r="O525" t="s">
        <v>1049</v>
      </c>
      <c r="P525" t="s">
        <v>992</v>
      </c>
      <c r="Q525" t="s">
        <v>1180</v>
      </c>
      <c r="R525" t="s">
        <v>1395</v>
      </c>
      <c r="S525" t="s">
        <v>1008</v>
      </c>
      <c r="T525" t="s">
        <v>1195</v>
      </c>
      <c r="U525" t="s">
        <v>1504</v>
      </c>
      <c r="V525" t="s">
        <v>924</v>
      </c>
      <c r="W525" t="s">
        <v>992</v>
      </c>
      <c r="X525" t="s">
        <v>1059</v>
      </c>
      <c r="Y525" t="s">
        <v>1029</v>
      </c>
      <c r="Z525" t="s">
        <v>969</v>
      </c>
      <c r="AA525" t="s">
        <v>1065</v>
      </c>
      <c r="AB525" t="s">
        <v>1065</v>
      </c>
      <c r="AC525" t="s">
        <v>956</v>
      </c>
      <c r="AD525" t="s">
        <v>1047</v>
      </c>
      <c r="AE525" t="s">
        <v>927</v>
      </c>
      <c r="AF525">
        <f t="shared" si="16"/>
        <v>4.5</v>
      </c>
      <c r="AG525">
        <f t="shared" si="17"/>
        <v>4.5710000000000006</v>
      </c>
    </row>
    <row r="526" spans="1:33" x14ac:dyDescent="0.25">
      <c r="A526" t="s">
        <v>2503</v>
      </c>
      <c r="B526" t="s">
        <v>2504</v>
      </c>
      <c r="C526" t="s">
        <v>1164</v>
      </c>
      <c r="D526" t="s">
        <v>1069</v>
      </c>
      <c r="E526" t="s">
        <v>72</v>
      </c>
      <c r="F526" t="s">
        <v>1322</v>
      </c>
      <c r="G526" t="s">
        <v>1245</v>
      </c>
      <c r="H526" t="s">
        <v>1553</v>
      </c>
      <c r="I526" t="s">
        <v>922</v>
      </c>
      <c r="J526" t="s">
        <v>1220</v>
      </c>
      <c r="K526" t="s">
        <v>2115</v>
      </c>
      <c r="L526" t="s">
        <v>1600</v>
      </c>
      <c r="M526" t="s">
        <v>1119</v>
      </c>
      <c r="N526" t="s">
        <v>1646</v>
      </c>
      <c r="O526" t="s">
        <v>922</v>
      </c>
      <c r="P526" t="s">
        <v>1220</v>
      </c>
      <c r="Q526" t="s">
        <v>2505</v>
      </c>
      <c r="R526" t="s">
        <v>2115</v>
      </c>
      <c r="S526" t="s">
        <v>1064</v>
      </c>
      <c r="T526" t="s">
        <v>922</v>
      </c>
      <c r="U526" t="s">
        <v>1637</v>
      </c>
      <c r="V526" t="s">
        <v>1029</v>
      </c>
      <c r="W526" t="s">
        <v>1211</v>
      </c>
      <c r="X526" t="s">
        <v>1059</v>
      </c>
      <c r="Y526" t="s">
        <v>968</v>
      </c>
      <c r="Z526" t="s">
        <v>991</v>
      </c>
      <c r="AA526" t="s">
        <v>969</v>
      </c>
      <c r="AB526" t="s">
        <v>987</v>
      </c>
      <c r="AC526" t="s">
        <v>908</v>
      </c>
      <c r="AD526" t="s">
        <v>1047</v>
      </c>
      <c r="AE526" t="s">
        <v>927</v>
      </c>
      <c r="AF526">
        <f t="shared" si="16"/>
        <v>4.5</v>
      </c>
      <c r="AG526">
        <f t="shared" si="17"/>
        <v>4.3827999999999996</v>
      </c>
    </row>
    <row r="527" spans="1:33" x14ac:dyDescent="0.25">
      <c r="A527" t="s">
        <v>2506</v>
      </c>
      <c r="B527" t="s">
        <v>2507</v>
      </c>
      <c r="C527" t="s">
        <v>995</v>
      </c>
      <c r="D527" t="s">
        <v>131</v>
      </c>
      <c r="E527" t="s">
        <v>63</v>
      </c>
      <c r="F527" t="s">
        <v>1438</v>
      </c>
      <c r="G527" t="s">
        <v>1031</v>
      </c>
      <c r="H527" t="s">
        <v>1260</v>
      </c>
      <c r="I527" t="s">
        <v>1029</v>
      </c>
      <c r="J527" t="s">
        <v>1030</v>
      </c>
      <c r="K527" t="s">
        <v>1168</v>
      </c>
      <c r="L527" t="s">
        <v>1065</v>
      </c>
      <c r="M527" t="s">
        <v>1230</v>
      </c>
      <c r="N527" t="s">
        <v>1100</v>
      </c>
      <c r="O527" t="s">
        <v>1064</v>
      </c>
      <c r="P527" t="s">
        <v>925</v>
      </c>
      <c r="Q527" t="s">
        <v>1283</v>
      </c>
      <c r="R527" t="s">
        <v>1208</v>
      </c>
      <c r="S527" t="s">
        <v>1008</v>
      </c>
      <c r="T527" t="s">
        <v>918</v>
      </c>
      <c r="U527" t="s">
        <v>1833</v>
      </c>
      <c r="V527" t="s">
        <v>1065</v>
      </c>
      <c r="W527" t="s">
        <v>945</v>
      </c>
      <c r="X527" t="s">
        <v>922</v>
      </c>
      <c r="Y527" t="s">
        <v>1195</v>
      </c>
      <c r="Z527" t="s">
        <v>969</v>
      </c>
      <c r="AA527" t="s">
        <v>934</v>
      </c>
      <c r="AB527" t="s">
        <v>1008</v>
      </c>
      <c r="AC527" t="s">
        <v>1029</v>
      </c>
      <c r="AD527" t="s">
        <v>1047</v>
      </c>
      <c r="AE527" t="s">
        <v>927</v>
      </c>
      <c r="AF527">
        <f t="shared" si="16"/>
        <v>4.4000000000000004</v>
      </c>
      <c r="AG527">
        <f t="shared" si="17"/>
        <v>4.4618000000000002</v>
      </c>
    </row>
    <row r="528" spans="1:33" x14ac:dyDescent="0.25">
      <c r="A528" t="s">
        <v>2508</v>
      </c>
      <c r="B528" t="s">
        <v>2509</v>
      </c>
      <c r="C528" t="s">
        <v>973</v>
      </c>
      <c r="D528" t="s">
        <v>974</v>
      </c>
      <c r="E528" t="s">
        <v>93</v>
      </c>
      <c r="F528" t="s">
        <v>1176</v>
      </c>
      <c r="G528" t="s">
        <v>928</v>
      </c>
      <c r="H528" t="s">
        <v>1182</v>
      </c>
      <c r="I528" t="s">
        <v>968</v>
      </c>
      <c r="J528" t="s">
        <v>1000</v>
      </c>
      <c r="K528" t="s">
        <v>907</v>
      </c>
      <c r="L528" t="s">
        <v>1119</v>
      </c>
      <c r="M528" t="s">
        <v>969</v>
      </c>
      <c r="N528" t="s">
        <v>2510</v>
      </c>
      <c r="O528" t="s">
        <v>922</v>
      </c>
      <c r="P528" t="s">
        <v>1104</v>
      </c>
      <c r="Q528" t="s">
        <v>1078</v>
      </c>
      <c r="R528" t="s">
        <v>1381</v>
      </c>
      <c r="S528" t="s">
        <v>1008</v>
      </c>
      <c r="T528" t="s">
        <v>1064</v>
      </c>
      <c r="U528" t="s">
        <v>2349</v>
      </c>
      <c r="V528" t="s">
        <v>945</v>
      </c>
      <c r="W528" t="s">
        <v>1310</v>
      </c>
      <c r="X528" t="s">
        <v>1220</v>
      </c>
      <c r="Y528" t="s">
        <v>991</v>
      </c>
      <c r="Z528" t="s">
        <v>1094</v>
      </c>
      <c r="AA528" t="s">
        <v>1094</v>
      </c>
      <c r="AB528" t="s">
        <v>991</v>
      </c>
      <c r="AC528" t="s">
        <v>969</v>
      </c>
      <c r="AD528" t="s">
        <v>1103</v>
      </c>
      <c r="AE528" t="s">
        <v>927</v>
      </c>
      <c r="AF528">
        <f t="shared" si="16"/>
        <v>4.4000000000000004</v>
      </c>
      <c r="AG528">
        <f t="shared" si="17"/>
        <v>4.3559000000000001</v>
      </c>
    </row>
    <row r="529" spans="1:33" x14ac:dyDescent="0.25">
      <c r="A529" t="s">
        <v>2508</v>
      </c>
      <c r="B529" t="s">
        <v>2509</v>
      </c>
      <c r="C529" t="s">
        <v>973</v>
      </c>
      <c r="D529" t="s">
        <v>77</v>
      </c>
      <c r="E529" t="s">
        <v>72</v>
      </c>
      <c r="F529" t="s">
        <v>1232</v>
      </c>
      <c r="G529" t="s">
        <v>901</v>
      </c>
      <c r="H529" t="s">
        <v>1062</v>
      </c>
      <c r="I529" t="s">
        <v>956</v>
      </c>
      <c r="J529" t="s">
        <v>1030</v>
      </c>
      <c r="K529" t="s">
        <v>1261</v>
      </c>
      <c r="L529" t="s">
        <v>1119</v>
      </c>
      <c r="M529" t="s">
        <v>1065</v>
      </c>
      <c r="N529" t="s">
        <v>2251</v>
      </c>
      <c r="O529" t="s">
        <v>1049</v>
      </c>
      <c r="P529" t="s">
        <v>1048</v>
      </c>
      <c r="Q529" t="s">
        <v>1482</v>
      </c>
      <c r="R529" t="s">
        <v>1209</v>
      </c>
      <c r="S529" t="s">
        <v>987</v>
      </c>
      <c r="T529" t="s">
        <v>945</v>
      </c>
      <c r="U529" t="s">
        <v>2511</v>
      </c>
      <c r="V529" t="s">
        <v>1230</v>
      </c>
      <c r="W529" t="s">
        <v>1310</v>
      </c>
      <c r="X529" t="s">
        <v>964</v>
      </c>
      <c r="Y529" t="s">
        <v>991</v>
      </c>
      <c r="Z529" t="s">
        <v>991</v>
      </c>
      <c r="AA529" t="s">
        <v>1094</v>
      </c>
      <c r="AB529" t="s">
        <v>969</v>
      </c>
      <c r="AC529" t="s">
        <v>969</v>
      </c>
      <c r="AD529" t="s">
        <v>1046</v>
      </c>
      <c r="AE529" t="s">
        <v>927</v>
      </c>
      <c r="AF529">
        <f t="shared" si="16"/>
        <v>4.8999999999999995</v>
      </c>
      <c r="AG529">
        <f t="shared" si="17"/>
        <v>4.8583999999999996</v>
      </c>
    </row>
    <row r="530" spans="1:33" x14ac:dyDescent="0.25">
      <c r="A530" t="s">
        <v>2508</v>
      </c>
      <c r="B530" t="s">
        <v>2509</v>
      </c>
      <c r="C530" t="s">
        <v>973</v>
      </c>
      <c r="D530" t="s">
        <v>156</v>
      </c>
      <c r="E530" t="s">
        <v>93</v>
      </c>
      <c r="F530" t="s">
        <v>1137</v>
      </c>
      <c r="G530" t="s">
        <v>901</v>
      </c>
      <c r="H530" t="s">
        <v>1010</v>
      </c>
      <c r="I530" t="s">
        <v>1230</v>
      </c>
      <c r="J530" t="s">
        <v>964</v>
      </c>
      <c r="K530" t="s">
        <v>1976</v>
      </c>
      <c r="L530" t="s">
        <v>1119</v>
      </c>
      <c r="M530" t="s">
        <v>987</v>
      </c>
      <c r="N530" t="s">
        <v>2291</v>
      </c>
      <c r="O530" t="s">
        <v>1195</v>
      </c>
      <c r="P530" t="s">
        <v>925</v>
      </c>
      <c r="Q530" t="s">
        <v>2169</v>
      </c>
      <c r="R530" t="s">
        <v>1131</v>
      </c>
      <c r="S530" t="s">
        <v>1008</v>
      </c>
      <c r="T530" t="s">
        <v>923</v>
      </c>
      <c r="U530" t="s">
        <v>1696</v>
      </c>
      <c r="V530" t="s">
        <v>918</v>
      </c>
      <c r="W530" t="s">
        <v>1230</v>
      </c>
      <c r="X530" t="s">
        <v>947</v>
      </c>
      <c r="Y530" t="s">
        <v>1094</v>
      </c>
      <c r="Z530" t="s">
        <v>934</v>
      </c>
      <c r="AA530" t="s">
        <v>1094</v>
      </c>
      <c r="AB530" t="s">
        <v>1119</v>
      </c>
      <c r="AC530" t="s">
        <v>1065</v>
      </c>
      <c r="AD530" t="s">
        <v>992</v>
      </c>
      <c r="AE530" t="s">
        <v>927</v>
      </c>
      <c r="AF530">
        <f t="shared" si="16"/>
        <v>3.5999999999999996</v>
      </c>
      <c r="AG530">
        <f t="shared" si="17"/>
        <v>3.5164</v>
      </c>
    </row>
    <row r="531" spans="1:33" x14ac:dyDescent="0.25">
      <c r="A531" t="s">
        <v>2512</v>
      </c>
      <c r="B531" t="s">
        <v>2513</v>
      </c>
      <c r="C531" t="s">
        <v>1084</v>
      </c>
      <c r="D531" t="s">
        <v>70</v>
      </c>
      <c r="E531" t="s">
        <v>72</v>
      </c>
      <c r="F531" t="s">
        <v>1068</v>
      </c>
      <c r="G531" t="s">
        <v>901</v>
      </c>
      <c r="H531" t="s">
        <v>1020</v>
      </c>
      <c r="I531" t="s">
        <v>1049</v>
      </c>
      <c r="J531" t="s">
        <v>970</v>
      </c>
      <c r="K531" t="s">
        <v>1520</v>
      </c>
      <c r="L531" t="s">
        <v>1600</v>
      </c>
      <c r="M531" t="s">
        <v>1600</v>
      </c>
      <c r="N531" t="s">
        <v>927</v>
      </c>
      <c r="O531" t="s">
        <v>1049</v>
      </c>
      <c r="P531" t="s">
        <v>970</v>
      </c>
      <c r="Q531" t="s">
        <v>1520</v>
      </c>
      <c r="R531" t="s">
        <v>1520</v>
      </c>
      <c r="S531" t="s">
        <v>969</v>
      </c>
      <c r="T531" t="s">
        <v>918</v>
      </c>
      <c r="U531" t="s">
        <v>1771</v>
      </c>
      <c r="V531" t="s">
        <v>1029</v>
      </c>
      <c r="W531" t="s">
        <v>1220</v>
      </c>
      <c r="X531" t="s">
        <v>1081</v>
      </c>
      <c r="Y531" t="s">
        <v>1065</v>
      </c>
      <c r="Z531" t="s">
        <v>991</v>
      </c>
      <c r="AA531" t="s">
        <v>987</v>
      </c>
      <c r="AB531" t="s">
        <v>969</v>
      </c>
      <c r="AC531" t="s">
        <v>1230</v>
      </c>
      <c r="AD531" t="s">
        <v>1103</v>
      </c>
      <c r="AE531" t="s">
        <v>927</v>
      </c>
      <c r="AF531">
        <f t="shared" si="16"/>
        <v>4.3999999999999995</v>
      </c>
      <c r="AG531" t="e">
        <f t="shared" si="17"/>
        <v>#VALUE!</v>
      </c>
    </row>
    <row r="532" spans="1:33" x14ac:dyDescent="0.25">
      <c r="A532" t="s">
        <v>2514</v>
      </c>
      <c r="B532" t="s">
        <v>2515</v>
      </c>
      <c r="C532" t="s">
        <v>1293</v>
      </c>
      <c r="D532" t="s">
        <v>170</v>
      </c>
      <c r="E532" t="s">
        <v>72</v>
      </c>
      <c r="F532" t="s">
        <v>1162</v>
      </c>
      <c r="G532" t="s">
        <v>1717</v>
      </c>
      <c r="H532" t="s">
        <v>1027</v>
      </c>
      <c r="I532" t="s">
        <v>908</v>
      </c>
      <c r="J532" t="s">
        <v>1048</v>
      </c>
      <c r="K532" t="s">
        <v>2516</v>
      </c>
      <c r="L532" t="s">
        <v>1119</v>
      </c>
      <c r="M532" t="s">
        <v>934</v>
      </c>
      <c r="N532" t="s">
        <v>1666</v>
      </c>
      <c r="O532" t="s">
        <v>956</v>
      </c>
      <c r="P532" t="s">
        <v>1135</v>
      </c>
      <c r="Q532" t="s">
        <v>1696</v>
      </c>
      <c r="R532" t="s">
        <v>1219</v>
      </c>
      <c r="S532" t="s">
        <v>1119</v>
      </c>
      <c r="T532" t="s">
        <v>991</v>
      </c>
      <c r="U532" t="s">
        <v>1666</v>
      </c>
      <c r="V532" t="s">
        <v>1195</v>
      </c>
      <c r="W532" t="s">
        <v>922</v>
      </c>
      <c r="X532" t="s">
        <v>1135</v>
      </c>
      <c r="Y532" t="s">
        <v>991</v>
      </c>
      <c r="Z532" t="s">
        <v>1119</v>
      </c>
      <c r="AA532" t="s">
        <v>969</v>
      </c>
      <c r="AB532" t="s">
        <v>991</v>
      </c>
      <c r="AC532" t="s">
        <v>987</v>
      </c>
      <c r="AD532" t="s">
        <v>1103</v>
      </c>
      <c r="AE532" t="s">
        <v>927</v>
      </c>
      <c r="AF532">
        <f t="shared" si="16"/>
        <v>4.3999999999999995</v>
      </c>
      <c r="AG532">
        <f t="shared" si="17"/>
        <v>4.3350000000000009</v>
      </c>
    </row>
    <row r="533" spans="1:33" x14ac:dyDescent="0.25">
      <c r="A533" t="s">
        <v>2517</v>
      </c>
      <c r="B533" t="s">
        <v>2518</v>
      </c>
      <c r="C533" t="s">
        <v>1164</v>
      </c>
      <c r="D533" t="s">
        <v>108</v>
      </c>
      <c r="E533" t="s">
        <v>56</v>
      </c>
      <c r="F533" t="s">
        <v>1176</v>
      </c>
      <c r="G533" t="s">
        <v>901</v>
      </c>
      <c r="H533" t="s">
        <v>1113</v>
      </c>
      <c r="I533" t="s">
        <v>922</v>
      </c>
      <c r="J533" t="s">
        <v>1170</v>
      </c>
      <c r="K533" t="s">
        <v>1595</v>
      </c>
      <c r="L533" t="s">
        <v>987</v>
      </c>
      <c r="M533" t="s">
        <v>924</v>
      </c>
      <c r="N533" t="s">
        <v>1835</v>
      </c>
      <c r="O533" t="s">
        <v>918</v>
      </c>
      <c r="P533" t="s">
        <v>1049</v>
      </c>
      <c r="Q533" t="s">
        <v>1555</v>
      </c>
      <c r="R533" t="s">
        <v>1514</v>
      </c>
      <c r="S533" t="s">
        <v>934</v>
      </c>
      <c r="T533" t="s">
        <v>1094</v>
      </c>
      <c r="U533" t="s">
        <v>1864</v>
      </c>
      <c r="V533" t="s">
        <v>1094</v>
      </c>
      <c r="W533" t="s">
        <v>1064</v>
      </c>
      <c r="X533" t="s">
        <v>1230</v>
      </c>
      <c r="Y533" t="s">
        <v>1310</v>
      </c>
      <c r="Z533" t="s">
        <v>1065</v>
      </c>
      <c r="AA533" t="s">
        <v>1119</v>
      </c>
      <c r="AB533" t="s">
        <v>1065</v>
      </c>
      <c r="AC533" t="s">
        <v>1064</v>
      </c>
      <c r="AD533" t="s">
        <v>1103</v>
      </c>
      <c r="AE533" t="s">
        <v>927</v>
      </c>
      <c r="AF533">
        <f t="shared" si="16"/>
        <v>4.4000000000000004</v>
      </c>
      <c r="AG533">
        <f t="shared" si="17"/>
        <v>4.4074</v>
      </c>
    </row>
    <row r="534" spans="1:33" x14ac:dyDescent="0.25">
      <c r="A534" t="s">
        <v>2519</v>
      </c>
      <c r="B534" t="s">
        <v>2520</v>
      </c>
      <c r="C534" t="s">
        <v>1238</v>
      </c>
      <c r="D534" t="s">
        <v>65</v>
      </c>
      <c r="E534" t="s">
        <v>56</v>
      </c>
      <c r="F534" t="s">
        <v>1085</v>
      </c>
      <c r="G534" t="s">
        <v>949</v>
      </c>
      <c r="H534" t="s">
        <v>1306</v>
      </c>
      <c r="I534" t="s">
        <v>1029</v>
      </c>
      <c r="J534" t="s">
        <v>1211</v>
      </c>
      <c r="K534" t="s">
        <v>2134</v>
      </c>
      <c r="L534" t="s">
        <v>918</v>
      </c>
      <c r="M534" t="s">
        <v>1220</v>
      </c>
      <c r="N534" t="s">
        <v>1835</v>
      </c>
      <c r="O534" t="s">
        <v>1008</v>
      </c>
      <c r="P534" t="s">
        <v>1049</v>
      </c>
      <c r="Q534" t="s">
        <v>1909</v>
      </c>
      <c r="R534" t="s">
        <v>1055</v>
      </c>
      <c r="S534" t="s">
        <v>1094</v>
      </c>
      <c r="T534" t="s">
        <v>1094</v>
      </c>
      <c r="U534" t="s">
        <v>1421</v>
      </c>
      <c r="V534" t="s">
        <v>1094</v>
      </c>
      <c r="W534" t="s">
        <v>945</v>
      </c>
      <c r="X534" t="s">
        <v>1310</v>
      </c>
      <c r="Y534" t="s">
        <v>1230</v>
      </c>
      <c r="Z534" t="s">
        <v>1008</v>
      </c>
      <c r="AA534" t="s">
        <v>1094</v>
      </c>
      <c r="AB534" t="s">
        <v>1008</v>
      </c>
      <c r="AC534" t="s">
        <v>923</v>
      </c>
      <c r="AD534" t="s">
        <v>1103</v>
      </c>
      <c r="AE534" t="s">
        <v>927</v>
      </c>
      <c r="AF534">
        <f t="shared" si="16"/>
        <v>4.4000000000000004</v>
      </c>
      <c r="AG534">
        <f t="shared" si="17"/>
        <v>4.3914999999999997</v>
      </c>
    </row>
    <row r="535" spans="1:33" x14ac:dyDescent="0.25">
      <c r="A535" t="s">
        <v>2521</v>
      </c>
      <c r="B535" t="s">
        <v>2522</v>
      </c>
      <c r="C535" t="s">
        <v>1293</v>
      </c>
      <c r="D535" t="s">
        <v>156</v>
      </c>
      <c r="E535" t="s">
        <v>93</v>
      </c>
      <c r="F535" t="s">
        <v>1212</v>
      </c>
      <c r="G535" t="s">
        <v>901</v>
      </c>
      <c r="H535" t="s">
        <v>1035</v>
      </c>
      <c r="I535" t="s">
        <v>922</v>
      </c>
      <c r="J535" t="s">
        <v>1030</v>
      </c>
      <c r="K535" t="s">
        <v>1455</v>
      </c>
      <c r="L535" t="s">
        <v>1065</v>
      </c>
      <c r="M535" t="s">
        <v>1029</v>
      </c>
      <c r="N535" t="s">
        <v>2155</v>
      </c>
      <c r="O535" t="s">
        <v>945</v>
      </c>
      <c r="P535" t="s">
        <v>908</v>
      </c>
      <c r="Q535" t="s">
        <v>1494</v>
      </c>
      <c r="R535" t="s">
        <v>1551</v>
      </c>
      <c r="S535" t="s">
        <v>1065</v>
      </c>
      <c r="T535" t="s">
        <v>969</v>
      </c>
      <c r="U535" t="s">
        <v>1133</v>
      </c>
      <c r="V535" t="s">
        <v>934</v>
      </c>
      <c r="W535" t="s">
        <v>956</v>
      </c>
      <c r="X535" t="s">
        <v>925</v>
      </c>
      <c r="Y535" t="s">
        <v>1065</v>
      </c>
      <c r="Z535" t="s">
        <v>1094</v>
      </c>
      <c r="AA535" t="s">
        <v>934</v>
      </c>
      <c r="AB535" t="s">
        <v>969</v>
      </c>
      <c r="AC535" t="s">
        <v>918</v>
      </c>
      <c r="AD535" t="s">
        <v>1103</v>
      </c>
      <c r="AE535" t="s">
        <v>927</v>
      </c>
      <c r="AF535">
        <f t="shared" si="16"/>
        <v>4.4000000000000004</v>
      </c>
      <c r="AG535">
        <f t="shared" si="17"/>
        <v>4.3056000000000001</v>
      </c>
    </row>
    <row r="536" spans="1:33" x14ac:dyDescent="0.25">
      <c r="A536" t="s">
        <v>2523</v>
      </c>
      <c r="B536" t="s">
        <v>2524</v>
      </c>
      <c r="C536" t="s">
        <v>902</v>
      </c>
      <c r="D536" t="s">
        <v>974</v>
      </c>
      <c r="E536" t="s">
        <v>72</v>
      </c>
      <c r="F536" t="s">
        <v>1204</v>
      </c>
      <c r="G536" t="s">
        <v>928</v>
      </c>
      <c r="H536" t="s">
        <v>1781</v>
      </c>
      <c r="I536" t="s">
        <v>1029</v>
      </c>
      <c r="J536" t="s">
        <v>979</v>
      </c>
      <c r="K536" t="s">
        <v>999</v>
      </c>
      <c r="L536" t="s">
        <v>1065</v>
      </c>
      <c r="M536" t="s">
        <v>922</v>
      </c>
      <c r="N536" t="s">
        <v>2309</v>
      </c>
      <c r="O536" t="s">
        <v>945</v>
      </c>
      <c r="P536" t="s">
        <v>968</v>
      </c>
      <c r="Q536" t="s">
        <v>2386</v>
      </c>
      <c r="R536" t="s">
        <v>1275</v>
      </c>
      <c r="S536" t="s">
        <v>969</v>
      </c>
      <c r="T536" t="s">
        <v>987</v>
      </c>
      <c r="U536" t="s">
        <v>2525</v>
      </c>
      <c r="V536" t="s">
        <v>923</v>
      </c>
      <c r="W536" t="s">
        <v>979</v>
      </c>
      <c r="X536" t="s">
        <v>1047</v>
      </c>
      <c r="Y536" t="s">
        <v>969</v>
      </c>
      <c r="Z536" t="s">
        <v>1094</v>
      </c>
      <c r="AA536" t="s">
        <v>923</v>
      </c>
      <c r="AB536" t="s">
        <v>969</v>
      </c>
      <c r="AC536" t="s">
        <v>968</v>
      </c>
      <c r="AD536" t="s">
        <v>1170</v>
      </c>
      <c r="AE536" t="s">
        <v>927</v>
      </c>
      <c r="AF536">
        <f t="shared" si="16"/>
        <v>4.3</v>
      </c>
      <c r="AG536">
        <f t="shared" si="17"/>
        <v>4.2778</v>
      </c>
    </row>
    <row r="537" spans="1:33" x14ac:dyDescent="0.25">
      <c r="A537" t="s">
        <v>2523</v>
      </c>
      <c r="B537" t="s">
        <v>2524</v>
      </c>
      <c r="C537" t="s">
        <v>902</v>
      </c>
      <c r="D537" t="s">
        <v>79</v>
      </c>
      <c r="E537" t="s">
        <v>72</v>
      </c>
      <c r="F537" t="s">
        <v>1015</v>
      </c>
      <c r="G537" t="s">
        <v>928</v>
      </c>
      <c r="H537" t="s">
        <v>1306</v>
      </c>
      <c r="I537" t="s">
        <v>922</v>
      </c>
      <c r="J537" t="s">
        <v>1030</v>
      </c>
      <c r="K537" t="s">
        <v>1609</v>
      </c>
      <c r="L537" t="s">
        <v>1065</v>
      </c>
      <c r="M537" t="s">
        <v>968</v>
      </c>
      <c r="N537" t="s">
        <v>2341</v>
      </c>
      <c r="O537" t="s">
        <v>945</v>
      </c>
      <c r="P537" t="s">
        <v>1049</v>
      </c>
      <c r="Q537" t="s">
        <v>2074</v>
      </c>
      <c r="R537" t="s">
        <v>1114</v>
      </c>
      <c r="S537" t="s">
        <v>969</v>
      </c>
      <c r="T537" t="s">
        <v>918</v>
      </c>
      <c r="U537" t="s">
        <v>2438</v>
      </c>
      <c r="V537" t="s">
        <v>918</v>
      </c>
      <c r="W537" t="s">
        <v>1000</v>
      </c>
      <c r="X537" t="s">
        <v>1170</v>
      </c>
      <c r="Y537" t="s">
        <v>969</v>
      </c>
      <c r="Z537" t="s">
        <v>1094</v>
      </c>
      <c r="AA537" t="s">
        <v>923</v>
      </c>
      <c r="AB537" t="s">
        <v>1008</v>
      </c>
      <c r="AC537" t="s">
        <v>968</v>
      </c>
      <c r="AD537" t="s">
        <v>1211</v>
      </c>
      <c r="AE537" t="s">
        <v>927</v>
      </c>
      <c r="AF537">
        <f t="shared" si="16"/>
        <v>4.5</v>
      </c>
      <c r="AG537">
        <f t="shared" si="17"/>
        <v>4.5994000000000002</v>
      </c>
    </row>
    <row r="538" spans="1:33" x14ac:dyDescent="0.25">
      <c r="A538" t="s">
        <v>2523</v>
      </c>
      <c r="B538" t="s">
        <v>2524</v>
      </c>
      <c r="C538" t="s">
        <v>902</v>
      </c>
      <c r="D538" t="s">
        <v>83</v>
      </c>
      <c r="E538" t="s">
        <v>72</v>
      </c>
      <c r="F538" t="s">
        <v>972</v>
      </c>
      <c r="G538" t="s">
        <v>1717</v>
      </c>
      <c r="H538" t="s">
        <v>1527</v>
      </c>
      <c r="I538" t="s">
        <v>923</v>
      </c>
      <c r="J538" t="s">
        <v>947</v>
      </c>
      <c r="K538" t="s">
        <v>1297</v>
      </c>
      <c r="L538" t="s">
        <v>1600</v>
      </c>
      <c r="M538" t="s">
        <v>923</v>
      </c>
      <c r="N538" t="s">
        <v>1646</v>
      </c>
      <c r="O538" t="s">
        <v>923</v>
      </c>
      <c r="P538" t="s">
        <v>1195</v>
      </c>
      <c r="Q538" t="s">
        <v>963</v>
      </c>
      <c r="R538" t="s">
        <v>1297</v>
      </c>
      <c r="S538" t="s">
        <v>1065</v>
      </c>
      <c r="T538" t="s">
        <v>1065</v>
      </c>
      <c r="U538" t="s">
        <v>2146</v>
      </c>
      <c r="V538" t="s">
        <v>1310</v>
      </c>
      <c r="W538" t="s">
        <v>1134</v>
      </c>
      <c r="X538" t="s">
        <v>1044</v>
      </c>
      <c r="Y538" t="s">
        <v>1065</v>
      </c>
      <c r="Z538" t="s">
        <v>1600</v>
      </c>
      <c r="AA538" t="s">
        <v>987</v>
      </c>
      <c r="AB538" t="s">
        <v>1094</v>
      </c>
      <c r="AC538" t="s">
        <v>968</v>
      </c>
      <c r="AD538" t="s">
        <v>993</v>
      </c>
      <c r="AE538" t="s">
        <v>927</v>
      </c>
      <c r="AF538">
        <f t="shared" si="16"/>
        <v>2.5</v>
      </c>
      <c r="AG538">
        <f t="shared" si="17"/>
        <v>2.5799999999999996</v>
      </c>
    </row>
    <row r="539" spans="1:33" x14ac:dyDescent="0.25">
      <c r="A539" t="s">
        <v>2526</v>
      </c>
      <c r="B539" t="s">
        <v>2527</v>
      </c>
      <c r="C539" t="s">
        <v>950</v>
      </c>
      <c r="D539" t="s">
        <v>131</v>
      </c>
      <c r="E539" t="s">
        <v>56</v>
      </c>
      <c r="F539" t="s">
        <v>1068</v>
      </c>
      <c r="G539" t="s">
        <v>901</v>
      </c>
      <c r="H539" t="s">
        <v>1024</v>
      </c>
      <c r="I539" t="s">
        <v>1310</v>
      </c>
      <c r="J539" t="s">
        <v>919</v>
      </c>
      <c r="K539" t="s">
        <v>1456</v>
      </c>
      <c r="L539" t="s">
        <v>923</v>
      </c>
      <c r="M539" t="s">
        <v>964</v>
      </c>
      <c r="N539" t="s">
        <v>1666</v>
      </c>
      <c r="O539" t="s">
        <v>969</v>
      </c>
      <c r="P539" t="s">
        <v>1064</v>
      </c>
      <c r="Q539" t="s">
        <v>1110</v>
      </c>
      <c r="R539" t="s">
        <v>1587</v>
      </c>
      <c r="S539" t="s">
        <v>934</v>
      </c>
      <c r="T539" t="s">
        <v>1094</v>
      </c>
      <c r="U539" t="s">
        <v>963</v>
      </c>
      <c r="V539" t="s">
        <v>1119</v>
      </c>
      <c r="W539" t="s">
        <v>923</v>
      </c>
      <c r="X539" t="s">
        <v>1064</v>
      </c>
      <c r="Y539" t="s">
        <v>1064</v>
      </c>
      <c r="Z539" t="s">
        <v>991</v>
      </c>
      <c r="AA539" t="s">
        <v>1119</v>
      </c>
      <c r="AB539" t="s">
        <v>1094</v>
      </c>
      <c r="AC539" t="s">
        <v>991</v>
      </c>
      <c r="AD539" t="s">
        <v>1170</v>
      </c>
      <c r="AE539" t="s">
        <v>927</v>
      </c>
      <c r="AF539">
        <f t="shared" si="16"/>
        <v>4.2</v>
      </c>
      <c r="AG539">
        <f t="shared" si="17"/>
        <v>4.3083</v>
      </c>
    </row>
    <row r="540" spans="1:33" x14ac:dyDescent="0.25">
      <c r="A540" t="s">
        <v>2528</v>
      </c>
      <c r="B540" t="s">
        <v>2529</v>
      </c>
      <c r="C540" t="s">
        <v>902</v>
      </c>
      <c r="D540" t="s">
        <v>45</v>
      </c>
      <c r="E540" t="s">
        <v>72</v>
      </c>
      <c r="F540" t="s">
        <v>1384</v>
      </c>
      <c r="G540" t="s">
        <v>1106</v>
      </c>
      <c r="H540" t="s">
        <v>1248</v>
      </c>
      <c r="I540" t="s">
        <v>1310</v>
      </c>
      <c r="J540" t="s">
        <v>992</v>
      </c>
      <c r="K540" t="s">
        <v>1863</v>
      </c>
      <c r="L540" t="s">
        <v>987</v>
      </c>
      <c r="M540" t="s">
        <v>1012</v>
      </c>
      <c r="N540" t="s">
        <v>2530</v>
      </c>
      <c r="O540" t="s">
        <v>1008</v>
      </c>
      <c r="P540" t="s">
        <v>923</v>
      </c>
      <c r="Q540" t="s">
        <v>1983</v>
      </c>
      <c r="R540" t="s">
        <v>1058</v>
      </c>
      <c r="S540" t="s">
        <v>991</v>
      </c>
      <c r="T540" t="s">
        <v>1065</v>
      </c>
      <c r="U540" t="s">
        <v>2531</v>
      </c>
      <c r="V540" t="s">
        <v>1064</v>
      </c>
      <c r="W540" t="s">
        <v>1048</v>
      </c>
      <c r="X540" t="s">
        <v>1170</v>
      </c>
      <c r="Y540" t="s">
        <v>987</v>
      </c>
      <c r="Z540" t="s">
        <v>991</v>
      </c>
      <c r="AA540" t="s">
        <v>991</v>
      </c>
      <c r="AB540" t="s">
        <v>987</v>
      </c>
      <c r="AC540" t="s">
        <v>1195</v>
      </c>
      <c r="AD540" t="s">
        <v>1170</v>
      </c>
      <c r="AE540" t="s">
        <v>927</v>
      </c>
      <c r="AF540">
        <f t="shared" si="16"/>
        <v>4.2</v>
      </c>
      <c r="AG540">
        <f t="shared" si="17"/>
        <v>4.2957999999999998</v>
      </c>
    </row>
    <row r="541" spans="1:33" x14ac:dyDescent="0.25">
      <c r="A541" t="s">
        <v>2532</v>
      </c>
      <c r="B541" t="s">
        <v>2533</v>
      </c>
      <c r="C541" t="s">
        <v>1084</v>
      </c>
      <c r="D541" t="s">
        <v>102</v>
      </c>
      <c r="E541" t="s">
        <v>63</v>
      </c>
      <c r="F541" t="s">
        <v>1204</v>
      </c>
      <c r="G541" t="s">
        <v>901</v>
      </c>
      <c r="H541" t="s">
        <v>941</v>
      </c>
      <c r="I541" t="s">
        <v>922</v>
      </c>
      <c r="J541" t="s">
        <v>992</v>
      </c>
      <c r="K541" t="s">
        <v>1420</v>
      </c>
      <c r="L541" t="s">
        <v>1094</v>
      </c>
      <c r="M541" t="s">
        <v>923</v>
      </c>
      <c r="N541" t="s">
        <v>1425</v>
      </c>
      <c r="O541" t="s">
        <v>1230</v>
      </c>
      <c r="P541" t="s">
        <v>1012</v>
      </c>
      <c r="Q541" t="s">
        <v>1022</v>
      </c>
      <c r="R541" t="s">
        <v>1275</v>
      </c>
      <c r="S541" t="s">
        <v>1065</v>
      </c>
      <c r="T541" t="s">
        <v>1008</v>
      </c>
      <c r="U541" t="s">
        <v>1388</v>
      </c>
      <c r="V541" t="s">
        <v>1094</v>
      </c>
      <c r="W541" t="s">
        <v>945</v>
      </c>
      <c r="X541" t="s">
        <v>1310</v>
      </c>
      <c r="Y541" t="s">
        <v>923</v>
      </c>
      <c r="Z541" t="s">
        <v>934</v>
      </c>
      <c r="AA541" t="s">
        <v>934</v>
      </c>
      <c r="AB541" t="s">
        <v>1065</v>
      </c>
      <c r="AC541" t="s">
        <v>987</v>
      </c>
      <c r="AD541" t="s">
        <v>1170</v>
      </c>
      <c r="AE541" t="s">
        <v>927</v>
      </c>
      <c r="AF541">
        <f t="shared" si="16"/>
        <v>4.1999999999999993</v>
      </c>
      <c r="AG541">
        <f t="shared" si="17"/>
        <v>4.3879999999999999</v>
      </c>
    </row>
    <row r="542" spans="1:33" x14ac:dyDescent="0.25">
      <c r="A542" t="s">
        <v>2534</v>
      </c>
      <c r="B542" t="s">
        <v>2535</v>
      </c>
      <c r="C542" t="s">
        <v>1204</v>
      </c>
      <c r="D542" t="s">
        <v>83</v>
      </c>
      <c r="E542" t="s">
        <v>72</v>
      </c>
      <c r="F542" t="s">
        <v>1384</v>
      </c>
      <c r="G542" t="s">
        <v>1096</v>
      </c>
      <c r="H542" t="s">
        <v>1612</v>
      </c>
      <c r="I542" t="s">
        <v>1029</v>
      </c>
      <c r="J542" t="s">
        <v>1000</v>
      </c>
      <c r="K542" t="s">
        <v>1205</v>
      </c>
      <c r="L542" t="s">
        <v>934</v>
      </c>
      <c r="M542" t="s">
        <v>923</v>
      </c>
      <c r="N542" t="s">
        <v>2361</v>
      </c>
      <c r="O542" t="s">
        <v>1230</v>
      </c>
      <c r="P542" t="s">
        <v>924</v>
      </c>
      <c r="Q542" t="s">
        <v>1288</v>
      </c>
      <c r="R542" t="s">
        <v>1471</v>
      </c>
      <c r="S542" t="s">
        <v>987</v>
      </c>
      <c r="T542" t="s">
        <v>923</v>
      </c>
      <c r="U542" t="s">
        <v>1757</v>
      </c>
      <c r="V542" t="s">
        <v>945</v>
      </c>
      <c r="W542" t="s">
        <v>1048</v>
      </c>
      <c r="X542" t="s">
        <v>1170</v>
      </c>
      <c r="Y542" t="s">
        <v>1029</v>
      </c>
      <c r="Z542" t="s">
        <v>1065</v>
      </c>
      <c r="AA542" t="s">
        <v>1065</v>
      </c>
      <c r="AB542" t="s">
        <v>1008</v>
      </c>
      <c r="AC542" t="s">
        <v>968</v>
      </c>
      <c r="AD542" t="s">
        <v>1170</v>
      </c>
      <c r="AE542" t="s">
        <v>927</v>
      </c>
      <c r="AF542">
        <f t="shared" si="16"/>
        <v>4.2</v>
      </c>
      <c r="AG542">
        <f t="shared" si="17"/>
        <v>4.2789999999999999</v>
      </c>
    </row>
    <row r="543" spans="1:33" x14ac:dyDescent="0.25">
      <c r="A543" t="s">
        <v>2536</v>
      </c>
      <c r="B543" t="s">
        <v>2537</v>
      </c>
      <c r="C543" t="s">
        <v>1164</v>
      </c>
      <c r="D543" t="s">
        <v>974</v>
      </c>
      <c r="E543" t="s">
        <v>47</v>
      </c>
      <c r="F543" t="s">
        <v>902</v>
      </c>
      <c r="G543" t="s">
        <v>972</v>
      </c>
      <c r="H543" t="s">
        <v>1076</v>
      </c>
      <c r="I543" t="s">
        <v>1310</v>
      </c>
      <c r="J543" t="s">
        <v>979</v>
      </c>
      <c r="K543" t="s">
        <v>1863</v>
      </c>
      <c r="L543" t="s">
        <v>918</v>
      </c>
      <c r="M543" t="s">
        <v>993</v>
      </c>
      <c r="N543" t="s">
        <v>1870</v>
      </c>
      <c r="O543" t="s">
        <v>1065</v>
      </c>
      <c r="P543" t="s">
        <v>918</v>
      </c>
      <c r="Q543" t="s">
        <v>1494</v>
      </c>
      <c r="R543" t="s">
        <v>1401</v>
      </c>
      <c r="S543" t="s">
        <v>1094</v>
      </c>
      <c r="T543" t="s">
        <v>1065</v>
      </c>
      <c r="U543" t="s">
        <v>1696</v>
      </c>
      <c r="V543" t="s">
        <v>923</v>
      </c>
      <c r="W543" t="s">
        <v>968</v>
      </c>
      <c r="X543" t="s">
        <v>1104</v>
      </c>
      <c r="Y543" t="s">
        <v>1008</v>
      </c>
      <c r="Z543" t="s">
        <v>1094</v>
      </c>
      <c r="AA543" t="s">
        <v>1065</v>
      </c>
      <c r="AB543" t="s">
        <v>1094</v>
      </c>
      <c r="AC543" t="s">
        <v>1195</v>
      </c>
      <c r="AD543" t="s">
        <v>1081</v>
      </c>
      <c r="AE543" t="s">
        <v>927</v>
      </c>
      <c r="AF543">
        <f t="shared" si="16"/>
        <v>4.2</v>
      </c>
      <c r="AG543">
        <f t="shared" si="17"/>
        <v>4.2294999999999998</v>
      </c>
    </row>
    <row r="544" spans="1:33" x14ac:dyDescent="0.25">
      <c r="A544" t="s">
        <v>2536</v>
      </c>
      <c r="B544" t="s">
        <v>2537</v>
      </c>
      <c r="C544" t="s">
        <v>1164</v>
      </c>
      <c r="D544" t="s">
        <v>131</v>
      </c>
      <c r="E544" t="s">
        <v>47</v>
      </c>
      <c r="F544" t="s">
        <v>1096</v>
      </c>
      <c r="G544" t="s">
        <v>901</v>
      </c>
      <c r="H544" t="s">
        <v>1306</v>
      </c>
      <c r="I544" t="s">
        <v>924</v>
      </c>
      <c r="J544" t="s">
        <v>920</v>
      </c>
      <c r="K544" t="s">
        <v>1629</v>
      </c>
      <c r="L544" t="s">
        <v>922</v>
      </c>
      <c r="M544" t="s">
        <v>1160</v>
      </c>
      <c r="N544" t="s">
        <v>1729</v>
      </c>
      <c r="O544" t="s">
        <v>987</v>
      </c>
      <c r="P544" t="s">
        <v>1064</v>
      </c>
      <c r="Q544" t="s">
        <v>2333</v>
      </c>
      <c r="R544" t="s">
        <v>1219</v>
      </c>
      <c r="S544" t="s">
        <v>1094</v>
      </c>
      <c r="T544" t="s">
        <v>991</v>
      </c>
      <c r="U544" t="s">
        <v>2049</v>
      </c>
      <c r="V544" t="s">
        <v>918</v>
      </c>
      <c r="W544" t="s">
        <v>1049</v>
      </c>
      <c r="X544" t="s">
        <v>1104</v>
      </c>
      <c r="Y544" t="s">
        <v>969</v>
      </c>
      <c r="Z544" t="s">
        <v>934</v>
      </c>
      <c r="AA544" t="s">
        <v>1119</v>
      </c>
      <c r="AB544" t="s">
        <v>1600</v>
      </c>
      <c r="AC544" t="s">
        <v>922</v>
      </c>
      <c r="AD544" t="s">
        <v>1116</v>
      </c>
      <c r="AE544" t="s">
        <v>927</v>
      </c>
      <c r="AF544">
        <f t="shared" si="16"/>
        <v>6.8</v>
      </c>
      <c r="AG544">
        <f t="shared" si="17"/>
        <v>6.8593000000000002</v>
      </c>
    </row>
    <row r="545" spans="1:33" x14ac:dyDescent="0.25">
      <c r="A545" t="s">
        <v>2536</v>
      </c>
      <c r="B545" t="s">
        <v>2537</v>
      </c>
      <c r="C545" t="s">
        <v>1164</v>
      </c>
      <c r="D545" t="s">
        <v>113</v>
      </c>
      <c r="E545" t="s">
        <v>47</v>
      </c>
      <c r="F545" t="s">
        <v>1212</v>
      </c>
      <c r="G545" t="s">
        <v>949</v>
      </c>
      <c r="H545" t="s">
        <v>931</v>
      </c>
      <c r="I545" t="s">
        <v>918</v>
      </c>
      <c r="J545" t="s">
        <v>1012</v>
      </c>
      <c r="K545" t="s">
        <v>1100</v>
      </c>
      <c r="L545" t="s">
        <v>1065</v>
      </c>
      <c r="M545" t="s">
        <v>968</v>
      </c>
      <c r="N545" t="s">
        <v>2538</v>
      </c>
      <c r="O545" t="s">
        <v>991</v>
      </c>
      <c r="P545" t="s">
        <v>987</v>
      </c>
      <c r="Q545" t="s">
        <v>1131</v>
      </c>
      <c r="R545" t="s">
        <v>1923</v>
      </c>
      <c r="S545" t="s">
        <v>1094</v>
      </c>
      <c r="T545" t="s">
        <v>1065</v>
      </c>
      <c r="U545" t="s">
        <v>1842</v>
      </c>
      <c r="V545" t="s">
        <v>1064</v>
      </c>
      <c r="W545" t="s">
        <v>922</v>
      </c>
      <c r="X545" t="s">
        <v>1104</v>
      </c>
      <c r="Y545" t="s">
        <v>1008</v>
      </c>
      <c r="Z545" t="s">
        <v>991</v>
      </c>
      <c r="AA545" t="s">
        <v>969</v>
      </c>
      <c r="AB545" t="s">
        <v>1065</v>
      </c>
      <c r="AC545" t="s">
        <v>1064</v>
      </c>
      <c r="AD545" t="s">
        <v>1220</v>
      </c>
      <c r="AE545" t="s">
        <v>927</v>
      </c>
      <c r="AF545">
        <f t="shared" si="16"/>
        <v>2.5999999999999996</v>
      </c>
      <c r="AG545">
        <f t="shared" si="17"/>
        <v>2.6785000000000001</v>
      </c>
    </row>
    <row r="546" spans="1:33" x14ac:dyDescent="0.25">
      <c r="A546" t="s">
        <v>2539</v>
      </c>
      <c r="B546" t="s">
        <v>2540</v>
      </c>
      <c r="C546" t="s">
        <v>1032</v>
      </c>
      <c r="D546" t="s">
        <v>974</v>
      </c>
      <c r="E546" t="s">
        <v>63</v>
      </c>
      <c r="F546" t="s">
        <v>1068</v>
      </c>
      <c r="G546" t="s">
        <v>901</v>
      </c>
      <c r="H546" t="s">
        <v>1129</v>
      </c>
      <c r="I546" t="s">
        <v>1029</v>
      </c>
      <c r="J546" t="s">
        <v>979</v>
      </c>
      <c r="K546" t="s">
        <v>1405</v>
      </c>
      <c r="L546" t="s">
        <v>991</v>
      </c>
      <c r="M546" t="s">
        <v>1064</v>
      </c>
      <c r="N546" t="s">
        <v>1997</v>
      </c>
      <c r="O546" t="s">
        <v>1195</v>
      </c>
      <c r="P546" t="s">
        <v>924</v>
      </c>
      <c r="Q546" t="s">
        <v>1352</v>
      </c>
      <c r="R546" t="s">
        <v>1551</v>
      </c>
      <c r="S546" t="s">
        <v>1065</v>
      </c>
      <c r="T546" t="s">
        <v>969</v>
      </c>
      <c r="U546" t="s">
        <v>1597</v>
      </c>
      <c r="V546" t="s">
        <v>987</v>
      </c>
      <c r="W546" t="s">
        <v>968</v>
      </c>
      <c r="X546" t="s">
        <v>1012</v>
      </c>
      <c r="Y546" t="s">
        <v>945</v>
      </c>
      <c r="Z546" t="s">
        <v>969</v>
      </c>
      <c r="AA546" t="s">
        <v>1119</v>
      </c>
      <c r="AB546" t="s">
        <v>987</v>
      </c>
      <c r="AC546" t="s">
        <v>918</v>
      </c>
      <c r="AD546" t="s">
        <v>1081</v>
      </c>
      <c r="AE546" t="s">
        <v>927</v>
      </c>
      <c r="AF546">
        <f t="shared" si="16"/>
        <v>4.1000000000000005</v>
      </c>
      <c r="AG546">
        <f t="shared" si="17"/>
        <v>4.1553000000000004</v>
      </c>
    </row>
    <row r="547" spans="1:33" x14ac:dyDescent="0.25">
      <c r="A547" t="s">
        <v>2539</v>
      </c>
      <c r="B547" t="s">
        <v>2540</v>
      </c>
      <c r="C547" t="s">
        <v>1032</v>
      </c>
      <c r="D547" t="s">
        <v>97</v>
      </c>
      <c r="E547" t="s">
        <v>63</v>
      </c>
      <c r="F547" t="s">
        <v>1238</v>
      </c>
      <c r="G547" t="s">
        <v>901</v>
      </c>
      <c r="H547" t="s">
        <v>1253</v>
      </c>
      <c r="I547" t="s">
        <v>945</v>
      </c>
      <c r="J547" t="s">
        <v>993</v>
      </c>
      <c r="K547" t="s">
        <v>1455</v>
      </c>
      <c r="L547" t="s">
        <v>934</v>
      </c>
      <c r="M547" t="s">
        <v>1008</v>
      </c>
      <c r="N547" t="s">
        <v>1785</v>
      </c>
      <c r="O547" t="s">
        <v>923</v>
      </c>
      <c r="P547" t="s">
        <v>968</v>
      </c>
      <c r="Q547" t="s">
        <v>1171</v>
      </c>
      <c r="R547" t="s">
        <v>1131</v>
      </c>
      <c r="S547" t="s">
        <v>1008</v>
      </c>
      <c r="T547" t="s">
        <v>1008</v>
      </c>
      <c r="U547" t="s">
        <v>2541</v>
      </c>
      <c r="V547" t="s">
        <v>969</v>
      </c>
      <c r="W547" t="s">
        <v>922</v>
      </c>
      <c r="X547" t="s">
        <v>925</v>
      </c>
      <c r="Y547" t="s">
        <v>945</v>
      </c>
      <c r="Z547" t="s">
        <v>1065</v>
      </c>
      <c r="AA547" t="s">
        <v>934</v>
      </c>
      <c r="AB547" t="s">
        <v>1065</v>
      </c>
      <c r="AC547" t="s">
        <v>987</v>
      </c>
      <c r="AD547" t="s">
        <v>1048</v>
      </c>
      <c r="AE547" t="s">
        <v>927</v>
      </c>
      <c r="AF547">
        <f t="shared" si="16"/>
        <v>3.3</v>
      </c>
      <c r="AG547">
        <f t="shared" si="17"/>
        <v>3.1516999999999999</v>
      </c>
    </row>
    <row r="548" spans="1:33" x14ac:dyDescent="0.25">
      <c r="A548" t="s">
        <v>2539</v>
      </c>
      <c r="B548" t="s">
        <v>2540</v>
      </c>
      <c r="C548" t="s">
        <v>1032</v>
      </c>
      <c r="D548" t="s">
        <v>1149</v>
      </c>
      <c r="E548" t="s">
        <v>63</v>
      </c>
      <c r="F548" t="s">
        <v>1202</v>
      </c>
      <c r="G548" t="s">
        <v>1717</v>
      </c>
      <c r="H548" t="s">
        <v>1418</v>
      </c>
      <c r="I548" t="s">
        <v>947</v>
      </c>
      <c r="J548" t="s">
        <v>1134</v>
      </c>
      <c r="K548" t="s">
        <v>1268</v>
      </c>
      <c r="L548" t="s">
        <v>969</v>
      </c>
      <c r="M548" t="s">
        <v>922</v>
      </c>
      <c r="N548" t="s">
        <v>1441</v>
      </c>
      <c r="O548" t="s">
        <v>1029</v>
      </c>
      <c r="P548" t="s">
        <v>946</v>
      </c>
      <c r="Q548" t="s">
        <v>1275</v>
      </c>
      <c r="R548" t="s">
        <v>1114</v>
      </c>
      <c r="S548" t="s">
        <v>1094</v>
      </c>
      <c r="T548" t="s">
        <v>1065</v>
      </c>
      <c r="U548" t="s">
        <v>1842</v>
      </c>
      <c r="V548" t="s">
        <v>945</v>
      </c>
      <c r="W548" t="s">
        <v>956</v>
      </c>
      <c r="X548" t="s">
        <v>1048</v>
      </c>
      <c r="Y548" t="s">
        <v>945</v>
      </c>
      <c r="Z548" t="s">
        <v>969</v>
      </c>
      <c r="AA548" t="s">
        <v>1119</v>
      </c>
      <c r="AB548" t="s">
        <v>1064</v>
      </c>
      <c r="AC548" t="s">
        <v>923</v>
      </c>
      <c r="AD548" t="s">
        <v>1329</v>
      </c>
      <c r="AE548" t="s">
        <v>927</v>
      </c>
      <c r="AF548">
        <f t="shared" si="16"/>
        <v>5.4999999999999991</v>
      </c>
      <c r="AG548">
        <f t="shared" si="17"/>
        <v>5.4916999999999998</v>
      </c>
    </row>
    <row r="549" spans="1:33" x14ac:dyDescent="0.25">
      <c r="A549" t="s">
        <v>2542</v>
      </c>
      <c r="B549" t="s">
        <v>2543</v>
      </c>
      <c r="C549" t="s">
        <v>1245</v>
      </c>
      <c r="D549" t="s">
        <v>111</v>
      </c>
      <c r="E549" t="s">
        <v>47</v>
      </c>
      <c r="F549" t="s">
        <v>1343</v>
      </c>
      <c r="G549" t="s">
        <v>972</v>
      </c>
      <c r="H549" t="s">
        <v>1655</v>
      </c>
      <c r="I549" t="s">
        <v>922</v>
      </c>
      <c r="J549" t="s">
        <v>1048</v>
      </c>
      <c r="K549" t="s">
        <v>1275</v>
      </c>
      <c r="L549" t="s">
        <v>934</v>
      </c>
      <c r="M549" t="s">
        <v>987</v>
      </c>
      <c r="N549" t="s">
        <v>1934</v>
      </c>
      <c r="O549" t="s">
        <v>1310</v>
      </c>
      <c r="P549" t="s">
        <v>993</v>
      </c>
      <c r="Q549" t="s">
        <v>1780</v>
      </c>
      <c r="R549" t="s">
        <v>1324</v>
      </c>
      <c r="S549" t="s">
        <v>969</v>
      </c>
      <c r="T549" t="s">
        <v>918</v>
      </c>
      <c r="U549" t="s">
        <v>1771</v>
      </c>
      <c r="V549" t="s">
        <v>923</v>
      </c>
      <c r="W549" t="s">
        <v>1230</v>
      </c>
      <c r="X549" t="s">
        <v>924</v>
      </c>
      <c r="Y549" t="s">
        <v>1065</v>
      </c>
      <c r="Z549" t="s">
        <v>1094</v>
      </c>
      <c r="AA549" t="s">
        <v>1065</v>
      </c>
      <c r="AB549" t="s">
        <v>1119</v>
      </c>
      <c r="AC549" t="s">
        <v>1195</v>
      </c>
      <c r="AD549" t="s">
        <v>1081</v>
      </c>
      <c r="AE549" t="s">
        <v>927</v>
      </c>
      <c r="AF549">
        <f t="shared" si="16"/>
        <v>4.2</v>
      </c>
      <c r="AG549">
        <f t="shared" si="17"/>
        <v>4.1508000000000003</v>
      </c>
    </row>
    <row r="550" spans="1:33" x14ac:dyDescent="0.25">
      <c r="A550" t="s">
        <v>2544</v>
      </c>
      <c r="B550" t="s">
        <v>2545</v>
      </c>
      <c r="C550" t="s">
        <v>1084</v>
      </c>
      <c r="D550" t="s">
        <v>151</v>
      </c>
      <c r="E550" t="s">
        <v>47</v>
      </c>
      <c r="F550" t="s">
        <v>1233</v>
      </c>
      <c r="G550" t="s">
        <v>1222</v>
      </c>
      <c r="H550" t="s">
        <v>1460</v>
      </c>
      <c r="I550" t="s">
        <v>922</v>
      </c>
      <c r="J550" t="s">
        <v>1000</v>
      </c>
      <c r="K550" t="s">
        <v>1476</v>
      </c>
      <c r="L550" t="s">
        <v>969</v>
      </c>
      <c r="M550" t="s">
        <v>1230</v>
      </c>
      <c r="N550" t="s">
        <v>1704</v>
      </c>
      <c r="O550" t="s">
        <v>1064</v>
      </c>
      <c r="P550" t="s">
        <v>956</v>
      </c>
      <c r="Q550" t="s">
        <v>1401</v>
      </c>
      <c r="R550" t="s">
        <v>1374</v>
      </c>
      <c r="S550" t="s">
        <v>1094</v>
      </c>
      <c r="T550" t="s">
        <v>1094</v>
      </c>
      <c r="U550" t="s">
        <v>2546</v>
      </c>
      <c r="V550" t="s">
        <v>969</v>
      </c>
      <c r="W550" t="s">
        <v>947</v>
      </c>
      <c r="X550" t="s">
        <v>964</v>
      </c>
      <c r="Y550" t="s">
        <v>1064</v>
      </c>
      <c r="Z550" t="s">
        <v>1065</v>
      </c>
      <c r="AA550" t="s">
        <v>1065</v>
      </c>
      <c r="AB550" t="s">
        <v>991</v>
      </c>
      <c r="AC550" t="s">
        <v>1029</v>
      </c>
      <c r="AD550" t="s">
        <v>1081</v>
      </c>
      <c r="AE550" t="s">
        <v>927</v>
      </c>
      <c r="AF550">
        <f t="shared" si="16"/>
        <v>4.3</v>
      </c>
      <c r="AG550">
        <f t="shared" si="17"/>
        <v>4.2103000000000002</v>
      </c>
    </row>
    <row r="551" spans="1:33" x14ac:dyDescent="0.25">
      <c r="A551" t="s">
        <v>2547</v>
      </c>
      <c r="B551" t="s">
        <v>224</v>
      </c>
      <c r="C551" t="s">
        <v>995</v>
      </c>
      <c r="D551" t="s">
        <v>1069</v>
      </c>
      <c r="E551" t="s">
        <v>93</v>
      </c>
      <c r="F551" t="s">
        <v>1512</v>
      </c>
      <c r="G551" t="s">
        <v>1051</v>
      </c>
      <c r="H551" t="s">
        <v>1167</v>
      </c>
      <c r="I551" t="s">
        <v>1049</v>
      </c>
      <c r="J551" t="s">
        <v>946</v>
      </c>
      <c r="K551" t="s">
        <v>1524</v>
      </c>
      <c r="L551" t="s">
        <v>1600</v>
      </c>
      <c r="M551" t="s">
        <v>1600</v>
      </c>
      <c r="N551" t="s">
        <v>1646</v>
      </c>
      <c r="O551" t="s">
        <v>1049</v>
      </c>
      <c r="P551" t="s">
        <v>1135</v>
      </c>
      <c r="Q551" t="s">
        <v>1334</v>
      </c>
      <c r="R551" t="s">
        <v>1524</v>
      </c>
      <c r="S551" t="s">
        <v>1065</v>
      </c>
      <c r="T551" t="s">
        <v>987</v>
      </c>
      <c r="U551" t="s">
        <v>1606</v>
      </c>
      <c r="V551" t="s">
        <v>1064</v>
      </c>
      <c r="W551" t="s">
        <v>1012</v>
      </c>
      <c r="X551" t="s">
        <v>992</v>
      </c>
      <c r="Y551" t="s">
        <v>945</v>
      </c>
      <c r="Z551" t="s">
        <v>1065</v>
      </c>
      <c r="AA551" t="s">
        <v>1065</v>
      </c>
      <c r="AB551" t="s">
        <v>969</v>
      </c>
      <c r="AC551" t="s">
        <v>922</v>
      </c>
      <c r="AD551" t="s">
        <v>1081</v>
      </c>
      <c r="AE551" t="s">
        <v>927</v>
      </c>
      <c r="AF551">
        <f t="shared" si="16"/>
        <v>4.3</v>
      </c>
      <c r="AG551">
        <f t="shared" si="17"/>
        <v>4.2522000000000002</v>
      </c>
    </row>
    <row r="552" spans="1:33" x14ac:dyDescent="0.25">
      <c r="A552" t="s">
        <v>2548</v>
      </c>
      <c r="B552" t="s">
        <v>2549</v>
      </c>
      <c r="C552" t="s">
        <v>1084</v>
      </c>
      <c r="D552" t="s">
        <v>95</v>
      </c>
      <c r="E552" t="s">
        <v>47</v>
      </c>
      <c r="F552" t="s">
        <v>1377</v>
      </c>
      <c r="G552" t="s">
        <v>1051</v>
      </c>
      <c r="H552" t="s">
        <v>1439</v>
      </c>
      <c r="I552" t="s">
        <v>922</v>
      </c>
      <c r="J552" t="s">
        <v>1228</v>
      </c>
      <c r="K552" t="s">
        <v>1761</v>
      </c>
      <c r="L552" t="s">
        <v>991</v>
      </c>
      <c r="M552" t="s">
        <v>922</v>
      </c>
      <c r="N552" t="s">
        <v>2550</v>
      </c>
      <c r="O552" t="s">
        <v>1195</v>
      </c>
      <c r="P552" t="s">
        <v>947</v>
      </c>
      <c r="Q552" t="s">
        <v>1504</v>
      </c>
      <c r="R552" t="s">
        <v>1405</v>
      </c>
      <c r="S552" t="s">
        <v>991</v>
      </c>
      <c r="T552" t="s">
        <v>987</v>
      </c>
      <c r="U552" t="s">
        <v>1923</v>
      </c>
      <c r="V552" t="s">
        <v>1064</v>
      </c>
      <c r="W552" t="s">
        <v>1310</v>
      </c>
      <c r="X552" t="s">
        <v>1012</v>
      </c>
      <c r="Y552" t="s">
        <v>923</v>
      </c>
      <c r="Z552" t="s">
        <v>1065</v>
      </c>
      <c r="AA552" t="s">
        <v>934</v>
      </c>
      <c r="AB552" t="s">
        <v>969</v>
      </c>
      <c r="AC552" t="s">
        <v>923</v>
      </c>
      <c r="AD552" t="s">
        <v>1081</v>
      </c>
      <c r="AE552" t="s">
        <v>927</v>
      </c>
      <c r="AF552">
        <f t="shared" si="16"/>
        <v>4.2</v>
      </c>
      <c r="AG552">
        <f t="shared" si="17"/>
        <v>4.1158999999999999</v>
      </c>
    </row>
    <row r="553" spans="1:33" x14ac:dyDescent="0.25">
      <c r="A553" t="s">
        <v>2551</v>
      </c>
      <c r="B553" t="s">
        <v>2552</v>
      </c>
      <c r="C553" t="s">
        <v>1015</v>
      </c>
      <c r="D553" t="s">
        <v>95</v>
      </c>
      <c r="E553" t="s">
        <v>72</v>
      </c>
      <c r="F553" t="s">
        <v>1123</v>
      </c>
      <c r="G553" t="s">
        <v>1717</v>
      </c>
      <c r="H553" t="s">
        <v>967</v>
      </c>
      <c r="I553" t="s">
        <v>1310</v>
      </c>
      <c r="J553" t="s">
        <v>992</v>
      </c>
      <c r="K553" t="s">
        <v>1863</v>
      </c>
      <c r="L553" t="s">
        <v>1008</v>
      </c>
      <c r="M553" t="s">
        <v>947</v>
      </c>
      <c r="N553" t="s">
        <v>2319</v>
      </c>
      <c r="O553" t="s">
        <v>987</v>
      </c>
      <c r="P553" t="s">
        <v>1195</v>
      </c>
      <c r="Q553" t="s">
        <v>1836</v>
      </c>
      <c r="R553" t="s">
        <v>1551</v>
      </c>
      <c r="S553" t="s">
        <v>991</v>
      </c>
      <c r="T553" t="s">
        <v>1065</v>
      </c>
      <c r="U553" t="s">
        <v>1887</v>
      </c>
      <c r="V553" t="s">
        <v>923</v>
      </c>
      <c r="W553" t="s">
        <v>923</v>
      </c>
      <c r="X553" t="s">
        <v>956</v>
      </c>
      <c r="Y553" t="s">
        <v>969</v>
      </c>
      <c r="Z553" t="s">
        <v>1094</v>
      </c>
      <c r="AA553" t="s">
        <v>1094</v>
      </c>
      <c r="AB553" t="s">
        <v>1094</v>
      </c>
      <c r="AC553" t="s">
        <v>918</v>
      </c>
      <c r="AD553" t="s">
        <v>1081</v>
      </c>
      <c r="AE553" t="s">
        <v>927</v>
      </c>
      <c r="AF553">
        <f t="shared" si="16"/>
        <v>4.0999999999999996</v>
      </c>
      <c r="AG553">
        <f t="shared" si="17"/>
        <v>4.2294000000000009</v>
      </c>
    </row>
    <row r="554" spans="1:33" x14ac:dyDescent="0.25">
      <c r="A554" t="s">
        <v>2553</v>
      </c>
      <c r="B554" t="s">
        <v>2554</v>
      </c>
      <c r="C554" t="s">
        <v>1084</v>
      </c>
      <c r="D554" t="s">
        <v>156</v>
      </c>
      <c r="E554" t="s">
        <v>63</v>
      </c>
      <c r="F554" t="s">
        <v>973</v>
      </c>
      <c r="G554" t="s">
        <v>901</v>
      </c>
      <c r="H554" t="s">
        <v>1040</v>
      </c>
      <c r="I554" t="s">
        <v>1230</v>
      </c>
      <c r="J554" t="s">
        <v>970</v>
      </c>
      <c r="K554" t="s">
        <v>1797</v>
      </c>
      <c r="L554" t="s">
        <v>987</v>
      </c>
      <c r="M554" t="s">
        <v>908</v>
      </c>
      <c r="N554" t="s">
        <v>1625</v>
      </c>
      <c r="O554" t="s">
        <v>969</v>
      </c>
      <c r="P554" t="s">
        <v>945</v>
      </c>
      <c r="Q554" t="s">
        <v>1208</v>
      </c>
      <c r="R554" t="s">
        <v>1022</v>
      </c>
      <c r="S554" t="s">
        <v>987</v>
      </c>
      <c r="T554" t="s">
        <v>987</v>
      </c>
      <c r="U554" t="s">
        <v>2146</v>
      </c>
      <c r="V554" t="s">
        <v>1065</v>
      </c>
      <c r="W554" t="s">
        <v>1008</v>
      </c>
      <c r="X554" t="s">
        <v>945</v>
      </c>
      <c r="Y554" t="s">
        <v>1230</v>
      </c>
      <c r="Z554" t="s">
        <v>991</v>
      </c>
      <c r="AA554" t="s">
        <v>1600</v>
      </c>
      <c r="AB554" t="s">
        <v>934</v>
      </c>
      <c r="AC554" t="s">
        <v>918</v>
      </c>
      <c r="AD554" t="s">
        <v>1081</v>
      </c>
      <c r="AE554" t="s">
        <v>927</v>
      </c>
      <c r="AF554">
        <f t="shared" si="16"/>
        <v>4.4000000000000004</v>
      </c>
      <c r="AG554">
        <f t="shared" si="17"/>
        <v>4.2961999999999998</v>
      </c>
    </row>
    <row r="555" spans="1:33" x14ac:dyDescent="0.25">
      <c r="A555" t="s">
        <v>2555</v>
      </c>
      <c r="B555" t="s">
        <v>2556</v>
      </c>
      <c r="C555" t="s">
        <v>995</v>
      </c>
      <c r="D555" t="s">
        <v>974</v>
      </c>
      <c r="E555" t="s">
        <v>47</v>
      </c>
      <c r="F555" t="s">
        <v>1015</v>
      </c>
      <c r="G555" t="s">
        <v>901</v>
      </c>
      <c r="H555" t="s">
        <v>1207</v>
      </c>
      <c r="I555" t="s">
        <v>1029</v>
      </c>
      <c r="J555" t="s">
        <v>1160</v>
      </c>
      <c r="K555" t="s">
        <v>958</v>
      </c>
      <c r="L555" t="s">
        <v>1008</v>
      </c>
      <c r="M555" t="s">
        <v>968</v>
      </c>
      <c r="N555" t="s">
        <v>1902</v>
      </c>
      <c r="O555" t="s">
        <v>918</v>
      </c>
      <c r="P555" t="s">
        <v>908</v>
      </c>
      <c r="Q555" t="s">
        <v>1168</v>
      </c>
      <c r="R555" t="s">
        <v>1412</v>
      </c>
      <c r="S555" t="s">
        <v>1094</v>
      </c>
      <c r="T555" t="s">
        <v>991</v>
      </c>
      <c r="U555" t="s">
        <v>2333</v>
      </c>
      <c r="V555" t="s">
        <v>969</v>
      </c>
      <c r="W555" t="s">
        <v>1195</v>
      </c>
      <c r="X555" t="s">
        <v>956</v>
      </c>
      <c r="Y555" t="s">
        <v>1008</v>
      </c>
      <c r="Z555" t="s">
        <v>1094</v>
      </c>
      <c r="AA555" t="s">
        <v>1094</v>
      </c>
      <c r="AB555" t="s">
        <v>1065</v>
      </c>
      <c r="AC555" t="s">
        <v>923</v>
      </c>
      <c r="AD555" t="s">
        <v>919</v>
      </c>
      <c r="AE555" t="s">
        <v>927</v>
      </c>
      <c r="AF555">
        <f t="shared" si="16"/>
        <v>4.2</v>
      </c>
      <c r="AG555">
        <f t="shared" si="17"/>
        <v>4.2135999999999996</v>
      </c>
    </row>
    <row r="556" spans="1:33" x14ac:dyDescent="0.25">
      <c r="A556" t="s">
        <v>2555</v>
      </c>
      <c r="B556" t="s">
        <v>2556</v>
      </c>
      <c r="C556" t="s">
        <v>995</v>
      </c>
      <c r="D556" t="s">
        <v>1014</v>
      </c>
      <c r="E556" t="s">
        <v>47</v>
      </c>
      <c r="F556" t="s">
        <v>1067</v>
      </c>
      <c r="G556" t="s">
        <v>1717</v>
      </c>
      <c r="H556" t="s">
        <v>919</v>
      </c>
      <c r="I556" t="s">
        <v>1094</v>
      </c>
      <c r="J556" t="s">
        <v>918</v>
      </c>
      <c r="K556" t="s">
        <v>1666</v>
      </c>
      <c r="L556" t="s">
        <v>1600</v>
      </c>
      <c r="M556" t="s">
        <v>1600</v>
      </c>
      <c r="N556" t="s">
        <v>927</v>
      </c>
      <c r="O556" t="s">
        <v>1094</v>
      </c>
      <c r="P556" t="s">
        <v>918</v>
      </c>
      <c r="Q556" t="s">
        <v>1666</v>
      </c>
      <c r="R556" t="s">
        <v>1666</v>
      </c>
      <c r="S556" t="s">
        <v>1600</v>
      </c>
      <c r="T556" t="s">
        <v>1600</v>
      </c>
      <c r="U556" t="s">
        <v>927</v>
      </c>
      <c r="V556" t="s">
        <v>1094</v>
      </c>
      <c r="W556" t="s">
        <v>1600</v>
      </c>
      <c r="X556" t="s">
        <v>1094</v>
      </c>
      <c r="Y556" t="s">
        <v>1094</v>
      </c>
      <c r="Z556" t="s">
        <v>1119</v>
      </c>
      <c r="AA556" t="s">
        <v>1600</v>
      </c>
      <c r="AB556" t="s">
        <v>1094</v>
      </c>
      <c r="AC556" t="s">
        <v>1119</v>
      </c>
      <c r="AD556" t="s">
        <v>969</v>
      </c>
      <c r="AE556" t="s">
        <v>927</v>
      </c>
      <c r="AF556">
        <f t="shared" si="16"/>
        <v>0.6</v>
      </c>
      <c r="AG556" t="e">
        <f t="shared" si="17"/>
        <v>#VALUE!</v>
      </c>
    </row>
    <row r="557" spans="1:33" x14ac:dyDescent="0.25">
      <c r="A557" t="s">
        <v>2555</v>
      </c>
      <c r="B557" t="s">
        <v>2556</v>
      </c>
      <c r="C557" t="s">
        <v>995</v>
      </c>
      <c r="D557" t="s">
        <v>1279</v>
      </c>
      <c r="E557" t="s">
        <v>47</v>
      </c>
      <c r="F557" t="s">
        <v>1245</v>
      </c>
      <c r="G557" t="s">
        <v>901</v>
      </c>
      <c r="H557" t="s">
        <v>1454</v>
      </c>
      <c r="I557" t="s">
        <v>956</v>
      </c>
      <c r="J557" t="s">
        <v>1046</v>
      </c>
      <c r="K557" t="s">
        <v>1863</v>
      </c>
      <c r="L557" t="s">
        <v>918</v>
      </c>
      <c r="M557" t="s">
        <v>924</v>
      </c>
      <c r="N557" t="s">
        <v>1902</v>
      </c>
      <c r="O557" t="s">
        <v>1064</v>
      </c>
      <c r="P557" t="s">
        <v>993</v>
      </c>
      <c r="Q557" t="s">
        <v>1709</v>
      </c>
      <c r="R557" t="s">
        <v>1090</v>
      </c>
      <c r="S557" t="s">
        <v>1094</v>
      </c>
      <c r="T557" t="s">
        <v>1065</v>
      </c>
      <c r="U557" t="s">
        <v>2333</v>
      </c>
      <c r="V557" t="s">
        <v>987</v>
      </c>
      <c r="W557" t="s">
        <v>968</v>
      </c>
      <c r="X557" t="s">
        <v>993</v>
      </c>
      <c r="Y557" t="s">
        <v>987</v>
      </c>
      <c r="Z557" t="s">
        <v>991</v>
      </c>
      <c r="AA557" t="s">
        <v>1094</v>
      </c>
      <c r="AB557" t="s">
        <v>969</v>
      </c>
      <c r="AC557" t="s">
        <v>1195</v>
      </c>
      <c r="AD557" t="s">
        <v>1043</v>
      </c>
      <c r="AE557" t="s">
        <v>927</v>
      </c>
      <c r="AF557">
        <f t="shared" si="16"/>
        <v>5.2</v>
      </c>
      <c r="AG557">
        <f t="shared" si="17"/>
        <v>5.3959999999999999</v>
      </c>
    </row>
    <row r="558" spans="1:33" x14ac:dyDescent="0.25">
      <c r="A558" t="s">
        <v>2557</v>
      </c>
      <c r="B558" t="s">
        <v>2558</v>
      </c>
      <c r="C558" t="s">
        <v>1032</v>
      </c>
      <c r="D558" t="s">
        <v>102</v>
      </c>
      <c r="E558" t="s">
        <v>63</v>
      </c>
      <c r="F558" t="s">
        <v>1233</v>
      </c>
      <c r="G558" t="s">
        <v>972</v>
      </c>
      <c r="H558" t="s">
        <v>1508</v>
      </c>
      <c r="I558" t="s">
        <v>1230</v>
      </c>
      <c r="J558" t="s">
        <v>1135</v>
      </c>
      <c r="K558" t="s">
        <v>1682</v>
      </c>
      <c r="L558" t="s">
        <v>969</v>
      </c>
      <c r="M558" t="s">
        <v>1195</v>
      </c>
      <c r="N558" t="s">
        <v>1448</v>
      </c>
      <c r="O558" t="s">
        <v>918</v>
      </c>
      <c r="P558" t="s">
        <v>922</v>
      </c>
      <c r="Q558" t="s">
        <v>1021</v>
      </c>
      <c r="R558" t="s">
        <v>1837</v>
      </c>
      <c r="S558" t="s">
        <v>1008</v>
      </c>
      <c r="T558" t="s">
        <v>918</v>
      </c>
      <c r="U558" t="s">
        <v>2559</v>
      </c>
      <c r="V558" t="s">
        <v>1008</v>
      </c>
      <c r="W558" t="s">
        <v>1008</v>
      </c>
      <c r="X558" t="s">
        <v>1195</v>
      </c>
      <c r="Y558" t="s">
        <v>1008</v>
      </c>
      <c r="Z558" t="s">
        <v>918</v>
      </c>
      <c r="AA558" t="s">
        <v>1119</v>
      </c>
      <c r="AB558" t="s">
        <v>934</v>
      </c>
      <c r="AC558" t="s">
        <v>1310</v>
      </c>
      <c r="AD558" t="s">
        <v>919</v>
      </c>
      <c r="AE558" t="s">
        <v>927</v>
      </c>
      <c r="AF558">
        <f t="shared" si="16"/>
        <v>4.0999999999999996</v>
      </c>
      <c r="AG558">
        <f t="shared" si="17"/>
        <v>4.0626999999999995</v>
      </c>
    </row>
    <row r="559" spans="1:33" x14ac:dyDescent="0.25">
      <c r="A559" t="s">
        <v>2560</v>
      </c>
      <c r="B559" t="s">
        <v>2561</v>
      </c>
      <c r="C559" t="s">
        <v>995</v>
      </c>
      <c r="D559" t="s">
        <v>142</v>
      </c>
      <c r="E559" t="s">
        <v>47</v>
      </c>
      <c r="F559" t="s">
        <v>1165</v>
      </c>
      <c r="G559" t="s">
        <v>1051</v>
      </c>
      <c r="H559" t="s">
        <v>1199</v>
      </c>
      <c r="I559" t="s">
        <v>1230</v>
      </c>
      <c r="J559" t="s">
        <v>970</v>
      </c>
      <c r="K559" t="s">
        <v>1818</v>
      </c>
      <c r="L559" t="s">
        <v>1064</v>
      </c>
      <c r="M559" t="s">
        <v>1104</v>
      </c>
      <c r="N559" t="s">
        <v>1719</v>
      </c>
      <c r="O559" t="s">
        <v>1094</v>
      </c>
      <c r="P559" t="s">
        <v>1065</v>
      </c>
      <c r="Q559" t="s">
        <v>1381</v>
      </c>
      <c r="R559" t="s">
        <v>2117</v>
      </c>
      <c r="S559" t="s">
        <v>1094</v>
      </c>
      <c r="T559" t="s">
        <v>1094</v>
      </c>
      <c r="U559" t="s">
        <v>1301</v>
      </c>
      <c r="V559" t="s">
        <v>1094</v>
      </c>
      <c r="W559" t="s">
        <v>923</v>
      </c>
      <c r="X559" t="s">
        <v>1195</v>
      </c>
      <c r="Y559" t="s">
        <v>969</v>
      </c>
      <c r="Z559" t="s">
        <v>991</v>
      </c>
      <c r="AA559" t="s">
        <v>1119</v>
      </c>
      <c r="AB559" t="s">
        <v>934</v>
      </c>
      <c r="AC559" t="s">
        <v>1064</v>
      </c>
      <c r="AD559" t="s">
        <v>919</v>
      </c>
      <c r="AE559" t="s">
        <v>927</v>
      </c>
      <c r="AF559">
        <f t="shared" si="16"/>
        <v>4.2</v>
      </c>
      <c r="AG559">
        <f t="shared" si="17"/>
        <v>4.1575999999999995</v>
      </c>
    </row>
    <row r="560" spans="1:33" x14ac:dyDescent="0.25">
      <c r="A560" t="s">
        <v>2562</v>
      </c>
      <c r="B560" t="s">
        <v>2563</v>
      </c>
      <c r="C560" t="s">
        <v>973</v>
      </c>
      <c r="D560" t="s">
        <v>79</v>
      </c>
      <c r="E560" t="s">
        <v>47</v>
      </c>
      <c r="F560" t="s">
        <v>1376</v>
      </c>
      <c r="G560" t="s">
        <v>1717</v>
      </c>
      <c r="H560" t="s">
        <v>1546</v>
      </c>
      <c r="I560" t="s">
        <v>1029</v>
      </c>
      <c r="J560" t="s">
        <v>992</v>
      </c>
      <c r="K560" t="s">
        <v>1784</v>
      </c>
      <c r="L560" t="s">
        <v>934</v>
      </c>
      <c r="M560" t="s">
        <v>923</v>
      </c>
      <c r="N560" t="s">
        <v>2435</v>
      </c>
      <c r="O560" t="s">
        <v>1230</v>
      </c>
      <c r="P560" t="s">
        <v>1012</v>
      </c>
      <c r="Q560" t="s">
        <v>1101</v>
      </c>
      <c r="R560" t="s">
        <v>1258</v>
      </c>
      <c r="S560" t="s">
        <v>987</v>
      </c>
      <c r="T560" t="s">
        <v>918</v>
      </c>
      <c r="U560" t="s">
        <v>963</v>
      </c>
      <c r="V560" t="s">
        <v>969</v>
      </c>
      <c r="W560" t="s">
        <v>918</v>
      </c>
      <c r="X560" t="s">
        <v>1029</v>
      </c>
      <c r="Y560" t="s">
        <v>918</v>
      </c>
      <c r="Z560" t="s">
        <v>1065</v>
      </c>
      <c r="AA560" t="s">
        <v>1119</v>
      </c>
      <c r="AB560" t="s">
        <v>1008</v>
      </c>
      <c r="AC560" t="s">
        <v>1008</v>
      </c>
      <c r="AD560" t="s">
        <v>919</v>
      </c>
      <c r="AE560" t="s">
        <v>927</v>
      </c>
      <c r="AF560">
        <f t="shared" si="16"/>
        <v>4.2</v>
      </c>
      <c r="AG560">
        <f t="shared" si="17"/>
        <v>4.0621999999999998</v>
      </c>
    </row>
    <row r="561" spans="1:33" x14ac:dyDescent="0.25">
      <c r="A561" t="s">
        <v>2564</v>
      </c>
      <c r="B561" t="s">
        <v>310</v>
      </c>
      <c r="C561" t="s">
        <v>973</v>
      </c>
      <c r="D561" t="s">
        <v>148</v>
      </c>
      <c r="E561" t="s">
        <v>63</v>
      </c>
      <c r="F561" t="s">
        <v>1453</v>
      </c>
      <c r="G561" t="s">
        <v>972</v>
      </c>
      <c r="H561" t="s">
        <v>1199</v>
      </c>
      <c r="I561" t="s">
        <v>1029</v>
      </c>
      <c r="J561" t="s">
        <v>1030</v>
      </c>
      <c r="K561" t="s">
        <v>1672</v>
      </c>
      <c r="L561" t="s">
        <v>987</v>
      </c>
      <c r="M561" t="s">
        <v>908</v>
      </c>
      <c r="N561" t="s">
        <v>1633</v>
      </c>
      <c r="O561" t="s">
        <v>987</v>
      </c>
      <c r="P561" t="s">
        <v>1029</v>
      </c>
      <c r="Q561" t="s">
        <v>1405</v>
      </c>
      <c r="R561" t="s">
        <v>1114</v>
      </c>
      <c r="S561" t="s">
        <v>1119</v>
      </c>
      <c r="T561" t="s">
        <v>934</v>
      </c>
      <c r="U561" t="s">
        <v>2049</v>
      </c>
      <c r="V561" t="s">
        <v>1094</v>
      </c>
      <c r="W561" t="s">
        <v>1064</v>
      </c>
      <c r="X561" t="s">
        <v>1230</v>
      </c>
      <c r="Y561" t="s">
        <v>925</v>
      </c>
      <c r="Z561" t="s">
        <v>991</v>
      </c>
      <c r="AA561" t="s">
        <v>1119</v>
      </c>
      <c r="AB561" t="s">
        <v>1065</v>
      </c>
      <c r="AC561" t="s">
        <v>987</v>
      </c>
      <c r="AD561" t="s">
        <v>919</v>
      </c>
      <c r="AE561" t="s">
        <v>927</v>
      </c>
      <c r="AF561">
        <f t="shared" si="16"/>
        <v>4.0999999999999996</v>
      </c>
      <c r="AG561">
        <f t="shared" si="17"/>
        <v>4.1424000000000012</v>
      </c>
    </row>
    <row r="562" spans="1:33" x14ac:dyDescent="0.25">
      <c r="A562" t="s">
        <v>874</v>
      </c>
      <c r="B562" t="s">
        <v>171</v>
      </c>
      <c r="C562" t="s">
        <v>875</v>
      </c>
      <c r="D562" t="s">
        <v>172</v>
      </c>
      <c r="E562" t="s">
        <v>876</v>
      </c>
      <c r="F562" t="s">
        <v>392</v>
      </c>
      <c r="G562" t="s">
        <v>877</v>
      </c>
      <c r="H562" t="s">
        <v>878</v>
      </c>
      <c r="I562" t="s">
        <v>879</v>
      </c>
      <c r="J562" t="s">
        <v>880</v>
      </c>
      <c r="K562" t="s">
        <v>881</v>
      </c>
      <c r="L562" t="s">
        <v>882</v>
      </c>
      <c r="M562" t="s">
        <v>883</v>
      </c>
      <c r="N562" t="s">
        <v>884</v>
      </c>
      <c r="O562" t="s">
        <v>885</v>
      </c>
      <c r="P562" t="s">
        <v>886</v>
      </c>
      <c r="Q562" t="s">
        <v>887</v>
      </c>
      <c r="R562" t="s">
        <v>888</v>
      </c>
      <c r="S562" t="s">
        <v>889</v>
      </c>
      <c r="T562" t="s">
        <v>890</v>
      </c>
      <c r="U562" t="s">
        <v>891</v>
      </c>
      <c r="V562" t="s">
        <v>892</v>
      </c>
      <c r="W562" t="s">
        <v>893</v>
      </c>
      <c r="X562" t="s">
        <v>894</v>
      </c>
      <c r="Y562" t="s">
        <v>895</v>
      </c>
      <c r="Z562" t="s">
        <v>896</v>
      </c>
      <c r="AA562" t="s">
        <v>897</v>
      </c>
      <c r="AB562" t="s">
        <v>898</v>
      </c>
      <c r="AC562" t="s">
        <v>93</v>
      </c>
      <c r="AD562" t="s">
        <v>899</v>
      </c>
      <c r="AE562" t="s">
        <v>900</v>
      </c>
      <c r="AF562" t="e">
        <f t="shared" si="16"/>
        <v>#VALUE!</v>
      </c>
      <c r="AG562" t="e">
        <f t="shared" si="17"/>
        <v>#VALUE!</v>
      </c>
    </row>
    <row r="563" spans="1:33" x14ac:dyDescent="0.25">
      <c r="A563" t="s">
        <v>2565</v>
      </c>
      <c r="B563" t="s">
        <v>2566</v>
      </c>
      <c r="C563" t="s">
        <v>973</v>
      </c>
      <c r="D563" t="s">
        <v>97</v>
      </c>
      <c r="E563" t="s">
        <v>72</v>
      </c>
      <c r="F563" t="s">
        <v>1312</v>
      </c>
      <c r="G563" t="s">
        <v>1717</v>
      </c>
      <c r="H563" t="s">
        <v>943</v>
      </c>
      <c r="I563" t="s">
        <v>1029</v>
      </c>
      <c r="J563" t="s">
        <v>1048</v>
      </c>
      <c r="K563" t="s">
        <v>1262</v>
      </c>
      <c r="L563" t="s">
        <v>934</v>
      </c>
      <c r="M563" t="s">
        <v>969</v>
      </c>
      <c r="N563" t="s">
        <v>1785</v>
      </c>
      <c r="O563" t="s">
        <v>1230</v>
      </c>
      <c r="P563" t="s">
        <v>993</v>
      </c>
      <c r="Q563" t="s">
        <v>1559</v>
      </c>
      <c r="R563" t="s">
        <v>1261</v>
      </c>
      <c r="S563" t="s">
        <v>1008</v>
      </c>
      <c r="T563" t="s">
        <v>918</v>
      </c>
      <c r="U563" t="s">
        <v>1972</v>
      </c>
      <c r="V563" t="s">
        <v>918</v>
      </c>
      <c r="W563" t="s">
        <v>968</v>
      </c>
      <c r="X563" t="s">
        <v>1220</v>
      </c>
      <c r="Y563" t="s">
        <v>923</v>
      </c>
      <c r="Z563" t="s">
        <v>918</v>
      </c>
      <c r="AA563" t="s">
        <v>969</v>
      </c>
      <c r="AB563" t="s">
        <v>969</v>
      </c>
      <c r="AC563" t="s">
        <v>922</v>
      </c>
      <c r="AD563" t="s">
        <v>919</v>
      </c>
      <c r="AE563" t="s">
        <v>927</v>
      </c>
      <c r="AF563">
        <f t="shared" si="16"/>
        <v>4.1000000000000005</v>
      </c>
      <c r="AG563">
        <f t="shared" si="17"/>
        <v>4.1178000000000008</v>
      </c>
    </row>
    <row r="564" spans="1:33" x14ac:dyDescent="0.25">
      <c r="A564" t="s">
        <v>2567</v>
      </c>
      <c r="B564" t="s">
        <v>2568</v>
      </c>
      <c r="C564" t="s">
        <v>995</v>
      </c>
      <c r="D564" t="s">
        <v>1223</v>
      </c>
      <c r="E564" t="s">
        <v>93</v>
      </c>
      <c r="F564" t="s">
        <v>1410</v>
      </c>
      <c r="G564" t="s">
        <v>928</v>
      </c>
      <c r="H564" t="s">
        <v>1199</v>
      </c>
      <c r="I564" t="s">
        <v>1310</v>
      </c>
      <c r="J564" t="s">
        <v>1048</v>
      </c>
      <c r="K564" t="s">
        <v>1555</v>
      </c>
      <c r="L564" t="s">
        <v>969</v>
      </c>
      <c r="M564" t="s">
        <v>968</v>
      </c>
      <c r="N564" t="s">
        <v>1828</v>
      </c>
      <c r="O564" t="s">
        <v>918</v>
      </c>
      <c r="P564" t="s">
        <v>1230</v>
      </c>
      <c r="Q564" t="s">
        <v>2489</v>
      </c>
      <c r="R564" t="s">
        <v>1184</v>
      </c>
      <c r="S564" t="s">
        <v>1065</v>
      </c>
      <c r="T564" t="s">
        <v>987</v>
      </c>
      <c r="U564" t="s">
        <v>2185</v>
      </c>
      <c r="V564" t="s">
        <v>1195</v>
      </c>
      <c r="W564" t="s">
        <v>968</v>
      </c>
      <c r="X564" t="s">
        <v>946</v>
      </c>
      <c r="Y564" t="s">
        <v>1230</v>
      </c>
      <c r="Z564" t="s">
        <v>991</v>
      </c>
      <c r="AA564" t="s">
        <v>934</v>
      </c>
      <c r="AB564" t="s">
        <v>987</v>
      </c>
      <c r="AC564" t="s">
        <v>1029</v>
      </c>
      <c r="AD564" t="s">
        <v>919</v>
      </c>
      <c r="AE564" t="s">
        <v>927</v>
      </c>
      <c r="AF564">
        <f t="shared" si="16"/>
        <v>4.0999999999999996</v>
      </c>
      <c r="AG564">
        <f t="shared" si="17"/>
        <v>4.1036000000000001</v>
      </c>
    </row>
    <row r="565" spans="1:33" x14ac:dyDescent="0.25">
      <c r="A565" t="s">
        <v>2569</v>
      </c>
      <c r="B565" t="s">
        <v>2570</v>
      </c>
      <c r="C565" t="s">
        <v>973</v>
      </c>
      <c r="D565" t="s">
        <v>1014</v>
      </c>
      <c r="E565" t="s">
        <v>93</v>
      </c>
      <c r="F565" t="s">
        <v>1068</v>
      </c>
      <c r="G565" t="s">
        <v>928</v>
      </c>
      <c r="H565" t="s">
        <v>912</v>
      </c>
      <c r="I565" t="s">
        <v>1029</v>
      </c>
      <c r="J565" t="s">
        <v>1000</v>
      </c>
      <c r="K565" t="s">
        <v>1110</v>
      </c>
      <c r="L565" t="s">
        <v>1094</v>
      </c>
      <c r="M565" t="s">
        <v>918</v>
      </c>
      <c r="N565" t="s">
        <v>1662</v>
      </c>
      <c r="O565" t="s">
        <v>1230</v>
      </c>
      <c r="P565" t="s">
        <v>993</v>
      </c>
      <c r="Q565" t="s">
        <v>1324</v>
      </c>
      <c r="R565" t="s">
        <v>1144</v>
      </c>
      <c r="S565" t="s">
        <v>969</v>
      </c>
      <c r="T565" t="s">
        <v>923</v>
      </c>
      <c r="U565" t="s">
        <v>1401</v>
      </c>
      <c r="V565" t="s">
        <v>1049</v>
      </c>
      <c r="W565" t="s">
        <v>1048</v>
      </c>
      <c r="X565" t="s">
        <v>1005</v>
      </c>
      <c r="Y565" t="s">
        <v>1064</v>
      </c>
      <c r="Z565" t="s">
        <v>923</v>
      </c>
      <c r="AA565" t="s">
        <v>1094</v>
      </c>
      <c r="AB565" t="s">
        <v>987</v>
      </c>
      <c r="AC565" t="s">
        <v>1049</v>
      </c>
      <c r="AD565" t="s">
        <v>919</v>
      </c>
      <c r="AE565" t="s">
        <v>927</v>
      </c>
      <c r="AF565">
        <f t="shared" si="16"/>
        <v>4.0999999999999996</v>
      </c>
      <c r="AG565">
        <f t="shared" si="17"/>
        <v>4.1247000000000007</v>
      </c>
    </row>
    <row r="566" spans="1:33" x14ac:dyDescent="0.25">
      <c r="A566" t="s">
        <v>2571</v>
      </c>
      <c r="B566" t="s">
        <v>2572</v>
      </c>
      <c r="C566" t="s">
        <v>995</v>
      </c>
      <c r="D566" t="s">
        <v>974</v>
      </c>
      <c r="E566" t="s">
        <v>63</v>
      </c>
      <c r="F566" t="s">
        <v>1390</v>
      </c>
      <c r="G566" t="s">
        <v>1717</v>
      </c>
      <c r="H566" t="s">
        <v>1752</v>
      </c>
      <c r="I566" t="s">
        <v>1310</v>
      </c>
      <c r="J566" t="s">
        <v>970</v>
      </c>
      <c r="K566" t="s">
        <v>1776</v>
      </c>
      <c r="L566" t="s">
        <v>991</v>
      </c>
      <c r="M566" t="s">
        <v>1195</v>
      </c>
      <c r="N566" t="s">
        <v>2069</v>
      </c>
      <c r="O566" t="s">
        <v>1064</v>
      </c>
      <c r="P566" t="s">
        <v>908</v>
      </c>
      <c r="Q566" t="s">
        <v>1307</v>
      </c>
      <c r="R566" t="s">
        <v>907</v>
      </c>
      <c r="S566" t="s">
        <v>969</v>
      </c>
      <c r="T566" t="s">
        <v>918</v>
      </c>
      <c r="U566" t="s">
        <v>2349</v>
      </c>
      <c r="V566" t="s">
        <v>1065</v>
      </c>
      <c r="W566" t="s">
        <v>922</v>
      </c>
      <c r="X566" t="s">
        <v>925</v>
      </c>
      <c r="Y566" t="s">
        <v>1064</v>
      </c>
      <c r="Z566" t="s">
        <v>1008</v>
      </c>
      <c r="AA566" t="s">
        <v>1094</v>
      </c>
      <c r="AB566" t="s">
        <v>969</v>
      </c>
      <c r="AC566" t="s">
        <v>918</v>
      </c>
      <c r="AD566" t="s">
        <v>1228</v>
      </c>
      <c r="AE566" t="s">
        <v>927</v>
      </c>
      <c r="AF566">
        <f t="shared" si="16"/>
        <v>4</v>
      </c>
      <c r="AG566">
        <f t="shared" si="17"/>
        <v>4.0186000000000002</v>
      </c>
    </row>
    <row r="567" spans="1:33" x14ac:dyDescent="0.25">
      <c r="A567" t="s">
        <v>2571</v>
      </c>
      <c r="B567" t="s">
        <v>2572</v>
      </c>
      <c r="C567" t="s">
        <v>995</v>
      </c>
      <c r="D567" t="s">
        <v>121</v>
      </c>
      <c r="E567" t="s">
        <v>63</v>
      </c>
      <c r="F567" t="s">
        <v>1084</v>
      </c>
      <c r="G567" t="s">
        <v>1717</v>
      </c>
      <c r="H567" t="s">
        <v>1329</v>
      </c>
      <c r="I567" t="s">
        <v>1065</v>
      </c>
      <c r="J567" t="s">
        <v>1064</v>
      </c>
      <c r="K567" t="s">
        <v>1419</v>
      </c>
      <c r="L567" t="s">
        <v>934</v>
      </c>
      <c r="M567" t="s">
        <v>991</v>
      </c>
      <c r="N567" t="s">
        <v>1719</v>
      </c>
      <c r="O567" t="s">
        <v>1094</v>
      </c>
      <c r="P567" t="s">
        <v>1008</v>
      </c>
      <c r="Q567" t="s">
        <v>1018</v>
      </c>
      <c r="R567" t="s">
        <v>1131</v>
      </c>
      <c r="S567" t="s">
        <v>1600</v>
      </c>
      <c r="T567" t="s">
        <v>1600</v>
      </c>
      <c r="U567" t="s">
        <v>927</v>
      </c>
      <c r="V567" t="s">
        <v>1094</v>
      </c>
      <c r="W567" t="s">
        <v>969</v>
      </c>
      <c r="X567" t="s">
        <v>923</v>
      </c>
      <c r="Y567" t="s">
        <v>1094</v>
      </c>
      <c r="Z567" t="s">
        <v>1094</v>
      </c>
      <c r="AA567" t="s">
        <v>1094</v>
      </c>
      <c r="AB567" t="s">
        <v>1094</v>
      </c>
      <c r="AC567" t="s">
        <v>1065</v>
      </c>
      <c r="AD567" t="s">
        <v>1064</v>
      </c>
      <c r="AE567" t="s">
        <v>927</v>
      </c>
      <c r="AF567">
        <f t="shared" si="16"/>
        <v>1.2000000000000002</v>
      </c>
      <c r="AG567" t="e">
        <f t="shared" si="17"/>
        <v>#VALUE!</v>
      </c>
    </row>
    <row r="568" spans="1:33" x14ac:dyDescent="0.25">
      <c r="A568" t="s">
        <v>2571</v>
      </c>
      <c r="B568" t="s">
        <v>2572</v>
      </c>
      <c r="C568" t="s">
        <v>995</v>
      </c>
      <c r="D568" t="s">
        <v>77</v>
      </c>
      <c r="E568" t="s">
        <v>63</v>
      </c>
      <c r="F568" t="s">
        <v>1175</v>
      </c>
      <c r="G568" t="s">
        <v>1717</v>
      </c>
      <c r="H568" t="s">
        <v>1196</v>
      </c>
      <c r="I568" t="s">
        <v>1048</v>
      </c>
      <c r="J568" t="s">
        <v>1116</v>
      </c>
      <c r="K568" t="s">
        <v>1609</v>
      </c>
      <c r="L568" t="s">
        <v>987</v>
      </c>
      <c r="M568" t="s">
        <v>1012</v>
      </c>
      <c r="N568" t="s">
        <v>1567</v>
      </c>
      <c r="O568" t="s">
        <v>924</v>
      </c>
      <c r="P568" t="s">
        <v>1170</v>
      </c>
      <c r="Q568" t="s">
        <v>1289</v>
      </c>
      <c r="R568" t="s">
        <v>1551</v>
      </c>
      <c r="S568" t="s">
        <v>1310</v>
      </c>
      <c r="T568" t="s">
        <v>947</v>
      </c>
      <c r="U568" t="s">
        <v>2349</v>
      </c>
      <c r="V568" t="s">
        <v>918</v>
      </c>
      <c r="W568" t="s">
        <v>1000</v>
      </c>
      <c r="X568" t="s">
        <v>1170</v>
      </c>
      <c r="Y568" t="s">
        <v>993</v>
      </c>
      <c r="Z568" t="s">
        <v>1195</v>
      </c>
      <c r="AA568" t="s">
        <v>991</v>
      </c>
      <c r="AB568" t="s">
        <v>1064</v>
      </c>
      <c r="AC568" t="s">
        <v>1029</v>
      </c>
      <c r="AD568" t="s">
        <v>1062</v>
      </c>
      <c r="AE568" t="s">
        <v>927</v>
      </c>
      <c r="AF568">
        <f t="shared" si="16"/>
        <v>8.7000000000000011</v>
      </c>
      <c r="AG568">
        <f t="shared" si="17"/>
        <v>8.7553000000000001</v>
      </c>
    </row>
    <row r="569" spans="1:33" x14ac:dyDescent="0.25">
      <c r="A569" t="s">
        <v>2573</v>
      </c>
      <c r="B569" t="s">
        <v>2574</v>
      </c>
      <c r="C569" t="s">
        <v>1068</v>
      </c>
      <c r="D569" t="s">
        <v>79</v>
      </c>
      <c r="E569" t="s">
        <v>93</v>
      </c>
      <c r="F569" t="s">
        <v>1459</v>
      </c>
      <c r="G569" t="s">
        <v>1083</v>
      </c>
      <c r="H569" t="s">
        <v>1418</v>
      </c>
      <c r="I569" t="s">
        <v>1195</v>
      </c>
      <c r="J569" t="s">
        <v>946</v>
      </c>
      <c r="K569" t="s">
        <v>1088</v>
      </c>
      <c r="L569" t="s">
        <v>1064</v>
      </c>
      <c r="M569" t="s">
        <v>1012</v>
      </c>
      <c r="N569" t="s">
        <v>1784</v>
      </c>
      <c r="O569" t="s">
        <v>934</v>
      </c>
      <c r="P569" t="s">
        <v>991</v>
      </c>
      <c r="Q569" t="s">
        <v>1776</v>
      </c>
      <c r="R569" t="s">
        <v>1814</v>
      </c>
      <c r="S569" t="s">
        <v>934</v>
      </c>
      <c r="T569" t="s">
        <v>1094</v>
      </c>
      <c r="U569" t="s">
        <v>1388</v>
      </c>
      <c r="V569" t="s">
        <v>969</v>
      </c>
      <c r="W569" t="s">
        <v>925</v>
      </c>
      <c r="X569" t="s">
        <v>1104</v>
      </c>
      <c r="Y569" t="s">
        <v>1064</v>
      </c>
      <c r="Z569" t="s">
        <v>1008</v>
      </c>
      <c r="AA569" t="s">
        <v>1065</v>
      </c>
      <c r="AB569" t="s">
        <v>991</v>
      </c>
      <c r="AC569" t="s">
        <v>1230</v>
      </c>
      <c r="AD569" t="s">
        <v>1228</v>
      </c>
      <c r="AE569" t="s">
        <v>927</v>
      </c>
      <c r="AF569">
        <f t="shared" si="16"/>
        <v>3.9000000000000004</v>
      </c>
      <c r="AG569">
        <f t="shared" si="17"/>
        <v>4.0774000000000008</v>
      </c>
    </row>
    <row r="570" spans="1:33" x14ac:dyDescent="0.25">
      <c r="A570" t="s">
        <v>2575</v>
      </c>
      <c r="B570" t="s">
        <v>2576</v>
      </c>
      <c r="C570" t="s">
        <v>902</v>
      </c>
      <c r="D570" t="s">
        <v>1149</v>
      </c>
      <c r="E570" t="s">
        <v>56</v>
      </c>
      <c r="F570" t="s">
        <v>972</v>
      </c>
      <c r="G570" t="s">
        <v>1717</v>
      </c>
      <c r="H570" t="s">
        <v>1253</v>
      </c>
      <c r="I570" t="s">
        <v>1195</v>
      </c>
      <c r="J570" t="s">
        <v>970</v>
      </c>
      <c r="K570" t="s">
        <v>1683</v>
      </c>
      <c r="L570" t="s">
        <v>1094</v>
      </c>
      <c r="M570" t="s">
        <v>923</v>
      </c>
      <c r="N570" t="s">
        <v>2152</v>
      </c>
      <c r="O570" t="s">
        <v>923</v>
      </c>
      <c r="P570" t="s">
        <v>947</v>
      </c>
      <c r="Q570" t="s">
        <v>1297</v>
      </c>
      <c r="R570" t="s">
        <v>1419</v>
      </c>
      <c r="S570" t="s">
        <v>1195</v>
      </c>
      <c r="T570" t="s">
        <v>1310</v>
      </c>
      <c r="U570" t="s">
        <v>1765</v>
      </c>
      <c r="V570" t="s">
        <v>987</v>
      </c>
      <c r="W570" t="s">
        <v>923</v>
      </c>
      <c r="X570" t="s">
        <v>968</v>
      </c>
      <c r="Y570" t="s">
        <v>968</v>
      </c>
      <c r="Z570" t="s">
        <v>987</v>
      </c>
      <c r="AA570" t="s">
        <v>1600</v>
      </c>
      <c r="AB570" t="s">
        <v>923</v>
      </c>
      <c r="AC570" t="s">
        <v>923</v>
      </c>
      <c r="AD570" t="s">
        <v>1228</v>
      </c>
      <c r="AE570" t="s">
        <v>927</v>
      </c>
      <c r="AF570">
        <f t="shared" si="16"/>
        <v>4.2</v>
      </c>
      <c r="AG570">
        <f t="shared" si="17"/>
        <v>4.0419</v>
      </c>
    </row>
    <row r="571" spans="1:33" x14ac:dyDescent="0.25">
      <c r="A571" t="s">
        <v>2577</v>
      </c>
      <c r="B571" t="s">
        <v>2578</v>
      </c>
      <c r="C571" t="s">
        <v>1084</v>
      </c>
      <c r="D571" t="s">
        <v>97</v>
      </c>
      <c r="E571" t="s">
        <v>47</v>
      </c>
      <c r="F571" t="s">
        <v>901</v>
      </c>
      <c r="G571" t="s">
        <v>1717</v>
      </c>
      <c r="H571" t="s">
        <v>1357</v>
      </c>
      <c r="I571" t="s">
        <v>923</v>
      </c>
      <c r="J571" t="s">
        <v>1061</v>
      </c>
      <c r="K571" t="s">
        <v>2480</v>
      </c>
      <c r="L571" t="s">
        <v>1600</v>
      </c>
      <c r="M571" t="s">
        <v>1063</v>
      </c>
      <c r="N571" t="s">
        <v>1646</v>
      </c>
      <c r="O571" t="s">
        <v>923</v>
      </c>
      <c r="P571" t="s">
        <v>956</v>
      </c>
      <c r="Q571" t="s">
        <v>1131</v>
      </c>
      <c r="R571" t="s">
        <v>2480</v>
      </c>
      <c r="S571" t="s">
        <v>956</v>
      </c>
      <c r="T571" t="s">
        <v>956</v>
      </c>
      <c r="U571" t="s">
        <v>2146</v>
      </c>
      <c r="V571" t="s">
        <v>1228</v>
      </c>
      <c r="W571" t="s">
        <v>1135</v>
      </c>
      <c r="X571" t="s">
        <v>1023</v>
      </c>
      <c r="Y571" t="s">
        <v>956</v>
      </c>
      <c r="Z571" t="s">
        <v>1600</v>
      </c>
      <c r="AA571" t="s">
        <v>1600</v>
      </c>
      <c r="AB571" t="s">
        <v>1600</v>
      </c>
      <c r="AC571" t="s">
        <v>1600</v>
      </c>
      <c r="AD571" t="s">
        <v>1228</v>
      </c>
      <c r="AE571" t="s">
        <v>927</v>
      </c>
      <c r="AF571">
        <f t="shared" si="16"/>
        <v>4</v>
      </c>
      <c r="AG571">
        <f t="shared" si="17"/>
        <v>4</v>
      </c>
    </row>
    <row r="572" spans="1:33" x14ac:dyDescent="0.25">
      <c r="A572" t="s">
        <v>2579</v>
      </c>
      <c r="B572" t="s">
        <v>2580</v>
      </c>
      <c r="C572" t="s">
        <v>1176</v>
      </c>
      <c r="D572" t="s">
        <v>133</v>
      </c>
      <c r="E572" t="s">
        <v>63</v>
      </c>
      <c r="F572" t="s">
        <v>1083</v>
      </c>
      <c r="G572" t="s">
        <v>1717</v>
      </c>
      <c r="H572" t="s">
        <v>1304</v>
      </c>
      <c r="I572" t="s">
        <v>1230</v>
      </c>
      <c r="J572" t="s">
        <v>1134</v>
      </c>
      <c r="K572" t="s">
        <v>2581</v>
      </c>
      <c r="L572" t="s">
        <v>987</v>
      </c>
      <c r="M572" t="s">
        <v>1104</v>
      </c>
      <c r="N572" t="s">
        <v>2414</v>
      </c>
      <c r="O572" t="s">
        <v>969</v>
      </c>
      <c r="P572" t="s">
        <v>956</v>
      </c>
      <c r="Q572" t="s">
        <v>1449</v>
      </c>
      <c r="R572" t="s">
        <v>981</v>
      </c>
      <c r="S572" t="s">
        <v>1065</v>
      </c>
      <c r="T572" t="s">
        <v>1065</v>
      </c>
      <c r="U572" t="s">
        <v>2146</v>
      </c>
      <c r="V572" t="s">
        <v>987</v>
      </c>
      <c r="W572" t="s">
        <v>987</v>
      </c>
      <c r="X572" t="s">
        <v>1310</v>
      </c>
      <c r="Y572" t="s">
        <v>1310</v>
      </c>
      <c r="Z572" t="s">
        <v>923</v>
      </c>
      <c r="AA572" t="s">
        <v>1119</v>
      </c>
      <c r="AB572" t="s">
        <v>923</v>
      </c>
      <c r="AC572" t="s">
        <v>908</v>
      </c>
      <c r="AD572" t="s">
        <v>1228</v>
      </c>
      <c r="AE572" t="s">
        <v>927</v>
      </c>
      <c r="AF572">
        <f t="shared" si="16"/>
        <v>4.0999999999999996</v>
      </c>
      <c r="AG572">
        <f t="shared" si="17"/>
        <v>4.0451999999999995</v>
      </c>
    </row>
    <row r="573" spans="1:33" x14ac:dyDescent="0.25">
      <c r="A573" t="s">
        <v>2582</v>
      </c>
      <c r="B573" t="s">
        <v>2583</v>
      </c>
      <c r="C573" t="s">
        <v>1176</v>
      </c>
      <c r="D573" t="s">
        <v>65</v>
      </c>
      <c r="E573" t="s">
        <v>72</v>
      </c>
      <c r="F573" t="s">
        <v>1165</v>
      </c>
      <c r="G573" t="s">
        <v>949</v>
      </c>
      <c r="H573" t="s">
        <v>1360</v>
      </c>
      <c r="I573" t="s">
        <v>1029</v>
      </c>
      <c r="J573" t="s">
        <v>964</v>
      </c>
      <c r="K573" t="s">
        <v>1713</v>
      </c>
      <c r="L573" t="s">
        <v>1600</v>
      </c>
      <c r="M573" t="s">
        <v>1600</v>
      </c>
      <c r="N573" t="s">
        <v>1646</v>
      </c>
      <c r="O573" t="s">
        <v>1029</v>
      </c>
      <c r="P573" t="s">
        <v>1104</v>
      </c>
      <c r="Q573" t="s">
        <v>1592</v>
      </c>
      <c r="R573" t="s">
        <v>1713</v>
      </c>
      <c r="S573" t="s">
        <v>1008</v>
      </c>
      <c r="T573" t="s">
        <v>1029</v>
      </c>
      <c r="U573" t="s">
        <v>1709</v>
      </c>
      <c r="V573" t="s">
        <v>964</v>
      </c>
      <c r="W573" t="s">
        <v>1104</v>
      </c>
      <c r="X573" t="s">
        <v>1092</v>
      </c>
      <c r="Y573" t="s">
        <v>1064</v>
      </c>
      <c r="Z573" t="s">
        <v>991</v>
      </c>
      <c r="AA573" t="s">
        <v>1065</v>
      </c>
      <c r="AB573" t="s">
        <v>918</v>
      </c>
      <c r="AC573" t="s">
        <v>923</v>
      </c>
      <c r="AD573" t="s">
        <v>1160</v>
      </c>
      <c r="AE573" t="s">
        <v>927</v>
      </c>
      <c r="AF573">
        <f t="shared" si="16"/>
        <v>3.9000000000000004</v>
      </c>
      <c r="AG573">
        <f t="shared" si="17"/>
        <v>3.9408000000000003</v>
      </c>
    </row>
    <row r="574" spans="1:33" x14ac:dyDescent="0.25">
      <c r="A574" t="s">
        <v>2584</v>
      </c>
      <c r="B574" t="s">
        <v>2585</v>
      </c>
      <c r="C574" t="s">
        <v>1384</v>
      </c>
      <c r="D574" t="s">
        <v>108</v>
      </c>
      <c r="E574" t="s">
        <v>56</v>
      </c>
      <c r="F574" t="s">
        <v>1343</v>
      </c>
      <c r="G574" t="s">
        <v>1137</v>
      </c>
      <c r="H574" t="s">
        <v>1304</v>
      </c>
      <c r="I574" t="s">
        <v>945</v>
      </c>
      <c r="J574" t="s">
        <v>970</v>
      </c>
      <c r="K574" t="s">
        <v>1406</v>
      </c>
      <c r="L574" t="s">
        <v>987</v>
      </c>
      <c r="M574" t="s">
        <v>993</v>
      </c>
      <c r="N574" t="s">
        <v>1828</v>
      </c>
      <c r="O574" t="s">
        <v>1094</v>
      </c>
      <c r="P574" t="s">
        <v>987</v>
      </c>
      <c r="Q574" t="s">
        <v>1968</v>
      </c>
      <c r="R574" t="s">
        <v>1268</v>
      </c>
      <c r="S574" t="s">
        <v>987</v>
      </c>
      <c r="T574" t="s">
        <v>918</v>
      </c>
      <c r="U574" t="s">
        <v>1597</v>
      </c>
      <c r="V574" t="s">
        <v>1094</v>
      </c>
      <c r="W574" t="s">
        <v>1029</v>
      </c>
      <c r="X574" t="s">
        <v>1049</v>
      </c>
      <c r="Y574" t="s">
        <v>1220</v>
      </c>
      <c r="Z574" t="s">
        <v>918</v>
      </c>
      <c r="AA574" t="s">
        <v>1094</v>
      </c>
      <c r="AB574" t="s">
        <v>969</v>
      </c>
      <c r="AC574" t="s">
        <v>968</v>
      </c>
      <c r="AD574" t="s">
        <v>1160</v>
      </c>
      <c r="AE574" t="s">
        <v>927</v>
      </c>
      <c r="AF574">
        <f t="shared" si="16"/>
        <v>4</v>
      </c>
      <c r="AG574">
        <f t="shared" si="17"/>
        <v>3.8735999999999997</v>
      </c>
    </row>
    <row r="575" spans="1:33" x14ac:dyDescent="0.25">
      <c r="A575" t="s">
        <v>2586</v>
      </c>
      <c r="B575" t="s">
        <v>2587</v>
      </c>
      <c r="C575" t="s">
        <v>995</v>
      </c>
      <c r="D575" t="s">
        <v>151</v>
      </c>
      <c r="E575" t="s">
        <v>93</v>
      </c>
      <c r="F575" t="s">
        <v>1085</v>
      </c>
      <c r="G575" t="s">
        <v>972</v>
      </c>
      <c r="H575" t="s">
        <v>953</v>
      </c>
      <c r="I575" t="s">
        <v>1195</v>
      </c>
      <c r="J575" t="s">
        <v>970</v>
      </c>
      <c r="K575" t="s">
        <v>1531</v>
      </c>
      <c r="L575" t="s">
        <v>934</v>
      </c>
      <c r="M575" t="s">
        <v>923</v>
      </c>
      <c r="N575" t="s">
        <v>2588</v>
      </c>
      <c r="O575" t="s">
        <v>1064</v>
      </c>
      <c r="P575" t="s">
        <v>924</v>
      </c>
      <c r="Q575" t="s">
        <v>1287</v>
      </c>
      <c r="R575" t="s">
        <v>1088</v>
      </c>
      <c r="S575" t="s">
        <v>918</v>
      </c>
      <c r="T575" t="s">
        <v>1310</v>
      </c>
      <c r="U575" t="s">
        <v>1949</v>
      </c>
      <c r="V575" t="s">
        <v>987</v>
      </c>
      <c r="W575" t="s">
        <v>1029</v>
      </c>
      <c r="X575" t="s">
        <v>924</v>
      </c>
      <c r="Y575" t="s">
        <v>987</v>
      </c>
      <c r="Z575" t="s">
        <v>1065</v>
      </c>
      <c r="AA575" t="s">
        <v>1119</v>
      </c>
      <c r="AB575" t="s">
        <v>1094</v>
      </c>
      <c r="AC575" t="s">
        <v>1065</v>
      </c>
      <c r="AD575" t="s">
        <v>1160</v>
      </c>
      <c r="AE575" t="s">
        <v>927</v>
      </c>
      <c r="AF575">
        <f t="shared" si="16"/>
        <v>3.7</v>
      </c>
      <c r="AG575">
        <f t="shared" si="17"/>
        <v>3.8437000000000001</v>
      </c>
    </row>
    <row r="576" spans="1:33" x14ac:dyDescent="0.25">
      <c r="A576" t="s">
        <v>2589</v>
      </c>
      <c r="B576" t="s">
        <v>2590</v>
      </c>
      <c r="C576" t="s">
        <v>1068</v>
      </c>
      <c r="D576" t="s">
        <v>974</v>
      </c>
      <c r="E576" t="s">
        <v>56</v>
      </c>
      <c r="F576" t="s">
        <v>950</v>
      </c>
      <c r="G576" t="s">
        <v>1717</v>
      </c>
      <c r="H576" t="s">
        <v>1368</v>
      </c>
      <c r="I576" t="s">
        <v>945</v>
      </c>
      <c r="J576" t="s">
        <v>970</v>
      </c>
      <c r="K576" t="s">
        <v>910</v>
      </c>
      <c r="L576" t="s">
        <v>918</v>
      </c>
      <c r="M576" t="s">
        <v>1012</v>
      </c>
      <c r="N576" t="s">
        <v>2199</v>
      </c>
      <c r="O576" t="s">
        <v>1094</v>
      </c>
      <c r="P576" t="s">
        <v>1008</v>
      </c>
      <c r="Q576" t="s">
        <v>1249</v>
      </c>
      <c r="R576" t="s">
        <v>1436</v>
      </c>
      <c r="S576" t="s">
        <v>991</v>
      </c>
      <c r="T576" t="s">
        <v>1065</v>
      </c>
      <c r="U576" t="s">
        <v>2541</v>
      </c>
      <c r="V576" t="s">
        <v>1119</v>
      </c>
      <c r="W576" t="s">
        <v>969</v>
      </c>
      <c r="X576" t="s">
        <v>987</v>
      </c>
      <c r="Y576" t="s">
        <v>918</v>
      </c>
      <c r="Z576" t="s">
        <v>991</v>
      </c>
      <c r="AA576" t="s">
        <v>1119</v>
      </c>
      <c r="AB576" t="s">
        <v>969</v>
      </c>
      <c r="AC576" t="s">
        <v>987</v>
      </c>
      <c r="AD576" t="s">
        <v>1155</v>
      </c>
      <c r="AE576" t="s">
        <v>927</v>
      </c>
      <c r="AF576">
        <f t="shared" si="16"/>
        <v>3.6999999999999997</v>
      </c>
      <c r="AG576">
        <f t="shared" si="17"/>
        <v>3.8374999999999999</v>
      </c>
    </row>
    <row r="577" spans="1:33" x14ac:dyDescent="0.25">
      <c r="A577" t="s">
        <v>2589</v>
      </c>
      <c r="B577" t="s">
        <v>2590</v>
      </c>
      <c r="C577" t="s">
        <v>1068</v>
      </c>
      <c r="D577" t="s">
        <v>45</v>
      </c>
      <c r="E577" t="s">
        <v>56</v>
      </c>
      <c r="F577" t="s">
        <v>1212</v>
      </c>
      <c r="G577" t="s">
        <v>1717</v>
      </c>
      <c r="H577" t="s">
        <v>1527</v>
      </c>
      <c r="I577" t="s">
        <v>1310</v>
      </c>
      <c r="J577" t="s">
        <v>1047</v>
      </c>
      <c r="K577" t="s">
        <v>1756</v>
      </c>
      <c r="L577" t="s">
        <v>923</v>
      </c>
      <c r="M577" t="s">
        <v>1000</v>
      </c>
      <c r="N577" t="s">
        <v>1190</v>
      </c>
      <c r="O577" t="s">
        <v>1065</v>
      </c>
      <c r="P577" t="s">
        <v>1064</v>
      </c>
      <c r="Q577" t="s">
        <v>1268</v>
      </c>
      <c r="R577" t="s">
        <v>1337</v>
      </c>
      <c r="S577" t="s">
        <v>1094</v>
      </c>
      <c r="T577" t="s">
        <v>1094</v>
      </c>
      <c r="U577" t="s">
        <v>2146</v>
      </c>
      <c r="V577" t="s">
        <v>934</v>
      </c>
      <c r="W577" t="s">
        <v>1064</v>
      </c>
      <c r="X577" t="s">
        <v>945</v>
      </c>
      <c r="Y577" t="s">
        <v>945</v>
      </c>
      <c r="Z577" t="s">
        <v>1008</v>
      </c>
      <c r="AA577" t="s">
        <v>934</v>
      </c>
      <c r="AB577" t="s">
        <v>918</v>
      </c>
      <c r="AC577" t="s">
        <v>1008</v>
      </c>
      <c r="AD577" t="s">
        <v>1103</v>
      </c>
      <c r="AE577" t="s">
        <v>927</v>
      </c>
      <c r="AF577">
        <f t="shared" si="16"/>
        <v>4.3</v>
      </c>
      <c r="AG577">
        <f t="shared" si="17"/>
        <v>4.3823999999999996</v>
      </c>
    </row>
    <row r="578" spans="1:33" x14ac:dyDescent="0.25">
      <c r="A578" t="s">
        <v>2589</v>
      </c>
      <c r="B578" t="s">
        <v>2590</v>
      </c>
      <c r="C578" t="s">
        <v>1068</v>
      </c>
      <c r="D578" t="s">
        <v>79</v>
      </c>
      <c r="E578" t="s">
        <v>56</v>
      </c>
      <c r="F578" t="s">
        <v>1137</v>
      </c>
      <c r="G578" t="s">
        <v>1717</v>
      </c>
      <c r="H578" t="s">
        <v>1005</v>
      </c>
      <c r="I578" t="s">
        <v>987</v>
      </c>
      <c r="J578" t="s">
        <v>922</v>
      </c>
      <c r="K578" t="s">
        <v>1131</v>
      </c>
      <c r="L578" t="s">
        <v>987</v>
      </c>
      <c r="M578" t="s">
        <v>1310</v>
      </c>
      <c r="N578" t="s">
        <v>1131</v>
      </c>
      <c r="O578" t="s">
        <v>1119</v>
      </c>
      <c r="P578" t="s">
        <v>934</v>
      </c>
      <c r="Q578" t="s">
        <v>1131</v>
      </c>
      <c r="R578" t="s">
        <v>1525</v>
      </c>
      <c r="S578" t="s">
        <v>1008</v>
      </c>
      <c r="T578" t="s">
        <v>987</v>
      </c>
      <c r="U578" t="s">
        <v>1759</v>
      </c>
      <c r="V578" t="s">
        <v>1119</v>
      </c>
      <c r="W578" t="s">
        <v>1600</v>
      </c>
      <c r="X578" t="s">
        <v>1119</v>
      </c>
      <c r="Y578" t="s">
        <v>991</v>
      </c>
      <c r="Z578" t="s">
        <v>1119</v>
      </c>
      <c r="AA578" t="s">
        <v>1600</v>
      </c>
      <c r="AB578" t="s">
        <v>1119</v>
      </c>
      <c r="AC578" t="s">
        <v>923</v>
      </c>
      <c r="AD578" t="s">
        <v>946</v>
      </c>
      <c r="AE578" t="s">
        <v>927</v>
      </c>
      <c r="AF578">
        <f t="shared" si="16"/>
        <v>3.1000000000000005</v>
      </c>
      <c r="AG578">
        <f t="shared" si="17"/>
        <v>3.1612</v>
      </c>
    </row>
    <row r="579" spans="1:33" x14ac:dyDescent="0.25">
      <c r="A579" t="s">
        <v>2591</v>
      </c>
      <c r="B579" t="s">
        <v>2592</v>
      </c>
      <c r="C579" t="s">
        <v>973</v>
      </c>
      <c r="D579" t="s">
        <v>48</v>
      </c>
      <c r="E579" t="s">
        <v>72</v>
      </c>
      <c r="F579" t="s">
        <v>1204</v>
      </c>
      <c r="G579" t="s">
        <v>1717</v>
      </c>
      <c r="H579" t="s">
        <v>990</v>
      </c>
      <c r="I579" t="s">
        <v>1195</v>
      </c>
      <c r="J579" t="s">
        <v>1135</v>
      </c>
      <c r="K579" t="s">
        <v>1273</v>
      </c>
      <c r="L579" t="s">
        <v>1008</v>
      </c>
      <c r="M579" t="s">
        <v>908</v>
      </c>
      <c r="N579" t="s">
        <v>1666</v>
      </c>
      <c r="O579" t="s">
        <v>1008</v>
      </c>
      <c r="P579" t="s">
        <v>923</v>
      </c>
      <c r="Q579" t="s">
        <v>2593</v>
      </c>
      <c r="R579" t="s">
        <v>1522</v>
      </c>
      <c r="S579" t="s">
        <v>991</v>
      </c>
      <c r="T579" t="s">
        <v>969</v>
      </c>
      <c r="U579" t="s">
        <v>1864</v>
      </c>
      <c r="V579" t="s">
        <v>1065</v>
      </c>
      <c r="W579" t="s">
        <v>945</v>
      </c>
      <c r="X579" t="s">
        <v>922</v>
      </c>
      <c r="Y579" t="s">
        <v>991</v>
      </c>
      <c r="Z579" t="s">
        <v>934</v>
      </c>
      <c r="AA579" t="s">
        <v>1008</v>
      </c>
      <c r="AB579" t="s">
        <v>934</v>
      </c>
      <c r="AC579" t="s">
        <v>1008</v>
      </c>
      <c r="AD579" t="s">
        <v>1155</v>
      </c>
      <c r="AE579" t="s">
        <v>927</v>
      </c>
      <c r="AF579">
        <f t="shared" ref="AF579:AF642" si="18">(L579 * 3) + ((I579 - L579) * 2) + S579</f>
        <v>3.6999999999999997</v>
      </c>
      <c r="AG579">
        <f t="shared" ref="AG579:AG642" si="19">(M579 * N579 * 3) + ((J579 - M579) * Q579 * 2) + (T579 * U579)</f>
        <v>3.7833000000000001</v>
      </c>
    </row>
    <row r="580" spans="1:33" x14ac:dyDescent="0.25">
      <c r="A580" t="s">
        <v>2594</v>
      </c>
      <c r="B580" t="s">
        <v>2595</v>
      </c>
      <c r="C580" t="s">
        <v>995</v>
      </c>
      <c r="D580" t="s">
        <v>121</v>
      </c>
      <c r="E580" t="s">
        <v>56</v>
      </c>
      <c r="F580" t="s">
        <v>1068</v>
      </c>
      <c r="G580" t="s">
        <v>1717</v>
      </c>
      <c r="H580" t="s">
        <v>1253</v>
      </c>
      <c r="I580" t="s">
        <v>1195</v>
      </c>
      <c r="J580" t="s">
        <v>979</v>
      </c>
      <c r="K580" t="s">
        <v>1441</v>
      </c>
      <c r="L580" t="s">
        <v>1065</v>
      </c>
      <c r="M580" t="s">
        <v>922</v>
      </c>
      <c r="N580" t="s">
        <v>1259</v>
      </c>
      <c r="O580" t="s">
        <v>987</v>
      </c>
      <c r="P580" t="s">
        <v>968</v>
      </c>
      <c r="Q580" t="s">
        <v>1577</v>
      </c>
      <c r="R580" t="s">
        <v>1840</v>
      </c>
      <c r="S580" t="s">
        <v>1008</v>
      </c>
      <c r="T580" t="s">
        <v>945</v>
      </c>
      <c r="U580" t="s">
        <v>1813</v>
      </c>
      <c r="V580" t="s">
        <v>1065</v>
      </c>
      <c r="W580" t="s">
        <v>1029</v>
      </c>
      <c r="X580" t="s">
        <v>908</v>
      </c>
      <c r="Y580" t="s">
        <v>1064</v>
      </c>
      <c r="Z580" t="s">
        <v>969</v>
      </c>
      <c r="AA580" t="s">
        <v>1119</v>
      </c>
      <c r="AB580" t="s">
        <v>1065</v>
      </c>
      <c r="AC580" t="s">
        <v>1064</v>
      </c>
      <c r="AD580" t="s">
        <v>1155</v>
      </c>
      <c r="AE580" t="s">
        <v>927</v>
      </c>
      <c r="AF580">
        <f t="shared" si="18"/>
        <v>3.8</v>
      </c>
      <c r="AG580">
        <f t="shared" si="19"/>
        <v>3.7940999999999998</v>
      </c>
    </row>
    <row r="581" spans="1:33" x14ac:dyDescent="0.25">
      <c r="A581" t="s">
        <v>2596</v>
      </c>
      <c r="B581" t="s">
        <v>2597</v>
      </c>
      <c r="C581" t="s">
        <v>1245</v>
      </c>
      <c r="D581" t="s">
        <v>48</v>
      </c>
      <c r="E581" t="s">
        <v>72</v>
      </c>
      <c r="F581" t="s">
        <v>1376</v>
      </c>
      <c r="G581" t="s">
        <v>901</v>
      </c>
      <c r="H581" t="s">
        <v>982</v>
      </c>
      <c r="I581" t="s">
        <v>1310</v>
      </c>
      <c r="J581" t="s">
        <v>1000</v>
      </c>
      <c r="K581" t="s">
        <v>1434</v>
      </c>
      <c r="L581" t="s">
        <v>969</v>
      </c>
      <c r="M581" t="s">
        <v>1049</v>
      </c>
      <c r="N581" t="s">
        <v>1351</v>
      </c>
      <c r="O581" t="s">
        <v>987</v>
      </c>
      <c r="P581" t="s">
        <v>1310</v>
      </c>
      <c r="Q581" t="s">
        <v>1077</v>
      </c>
      <c r="R581" t="s">
        <v>1551</v>
      </c>
      <c r="S581" t="s">
        <v>1094</v>
      </c>
      <c r="T581" t="s">
        <v>991</v>
      </c>
      <c r="U581" t="s">
        <v>1201</v>
      </c>
      <c r="V581" t="s">
        <v>1065</v>
      </c>
      <c r="W581" t="s">
        <v>922</v>
      </c>
      <c r="X581" t="s">
        <v>925</v>
      </c>
      <c r="Y581" t="s">
        <v>987</v>
      </c>
      <c r="Z581" t="s">
        <v>1065</v>
      </c>
      <c r="AA581" t="s">
        <v>934</v>
      </c>
      <c r="AB581" t="s">
        <v>1065</v>
      </c>
      <c r="AC581" t="s">
        <v>918</v>
      </c>
      <c r="AD581" t="s">
        <v>1155</v>
      </c>
      <c r="AE581" t="s">
        <v>927</v>
      </c>
      <c r="AF581">
        <f t="shared" si="18"/>
        <v>3.8999999999999995</v>
      </c>
      <c r="AG581">
        <f t="shared" si="19"/>
        <v>3.8439999999999999</v>
      </c>
    </row>
    <row r="582" spans="1:33" x14ac:dyDescent="0.25">
      <c r="A582" t="s">
        <v>2598</v>
      </c>
      <c r="B582" t="s">
        <v>2599</v>
      </c>
      <c r="C582" t="s">
        <v>1343</v>
      </c>
      <c r="D582" t="s">
        <v>974</v>
      </c>
      <c r="E582" t="s">
        <v>93</v>
      </c>
      <c r="F582" t="s">
        <v>1175</v>
      </c>
      <c r="G582" t="s">
        <v>928</v>
      </c>
      <c r="H582" t="s">
        <v>1253</v>
      </c>
      <c r="I582" t="s">
        <v>1230</v>
      </c>
      <c r="J582" t="s">
        <v>957</v>
      </c>
      <c r="K582" t="s">
        <v>2341</v>
      </c>
      <c r="L582" t="s">
        <v>969</v>
      </c>
      <c r="M582" t="s">
        <v>924</v>
      </c>
      <c r="N582" t="s">
        <v>2152</v>
      </c>
      <c r="O582" t="s">
        <v>987</v>
      </c>
      <c r="P582" t="s">
        <v>947</v>
      </c>
      <c r="Q582" t="s">
        <v>1886</v>
      </c>
      <c r="R582" t="s">
        <v>1870</v>
      </c>
      <c r="S582" t="s">
        <v>1094</v>
      </c>
      <c r="T582" t="s">
        <v>991</v>
      </c>
      <c r="U582" t="s">
        <v>1765</v>
      </c>
      <c r="V582" t="s">
        <v>934</v>
      </c>
      <c r="W582" t="s">
        <v>1195</v>
      </c>
      <c r="X582" t="s">
        <v>1310</v>
      </c>
      <c r="Y582" t="s">
        <v>1230</v>
      </c>
      <c r="Z582" t="s">
        <v>1119</v>
      </c>
      <c r="AA582" t="s">
        <v>934</v>
      </c>
      <c r="AB582" t="s">
        <v>1094</v>
      </c>
      <c r="AC582" t="s">
        <v>1064</v>
      </c>
      <c r="AD582" t="s">
        <v>1030</v>
      </c>
      <c r="AE582" t="s">
        <v>927</v>
      </c>
      <c r="AF582">
        <f t="shared" si="18"/>
        <v>3.6999999999999993</v>
      </c>
      <c r="AG582">
        <f t="shared" si="19"/>
        <v>3.7570000000000001</v>
      </c>
    </row>
    <row r="583" spans="1:33" x14ac:dyDescent="0.25">
      <c r="A583" t="s">
        <v>2598</v>
      </c>
      <c r="B583" t="s">
        <v>2599</v>
      </c>
      <c r="C583" t="s">
        <v>1343</v>
      </c>
      <c r="D583" t="s">
        <v>151</v>
      </c>
      <c r="E583" t="s">
        <v>93</v>
      </c>
      <c r="F583" t="s">
        <v>1067</v>
      </c>
      <c r="G583" t="s">
        <v>1717</v>
      </c>
      <c r="H583" t="s">
        <v>1126</v>
      </c>
      <c r="I583" t="s">
        <v>1008</v>
      </c>
      <c r="J583" t="s">
        <v>946</v>
      </c>
      <c r="K583" t="s">
        <v>2600</v>
      </c>
      <c r="L583" t="s">
        <v>1094</v>
      </c>
      <c r="M583" t="s">
        <v>1049</v>
      </c>
      <c r="N583" t="s">
        <v>2601</v>
      </c>
      <c r="O583" t="s">
        <v>991</v>
      </c>
      <c r="P583" t="s">
        <v>1195</v>
      </c>
      <c r="Q583" t="s">
        <v>1666</v>
      </c>
      <c r="R583" t="s">
        <v>2414</v>
      </c>
      <c r="S583" t="s">
        <v>1600</v>
      </c>
      <c r="T583" t="s">
        <v>1600</v>
      </c>
      <c r="U583" t="s">
        <v>927</v>
      </c>
      <c r="V583" t="s">
        <v>1600</v>
      </c>
      <c r="W583" t="s">
        <v>1064</v>
      </c>
      <c r="X583" t="s">
        <v>1064</v>
      </c>
      <c r="Y583" t="s">
        <v>969</v>
      </c>
      <c r="Z583" t="s">
        <v>1119</v>
      </c>
      <c r="AA583" t="s">
        <v>1119</v>
      </c>
      <c r="AB583" t="s">
        <v>1094</v>
      </c>
      <c r="AC583" t="s">
        <v>1094</v>
      </c>
      <c r="AD583" t="s">
        <v>922</v>
      </c>
      <c r="AE583" t="s">
        <v>927</v>
      </c>
      <c r="AF583">
        <f t="shared" si="18"/>
        <v>1.6999999999999997</v>
      </c>
      <c r="AG583" t="e">
        <f t="shared" si="19"/>
        <v>#VALUE!</v>
      </c>
    </row>
    <row r="584" spans="1:33" x14ac:dyDescent="0.25">
      <c r="A584" t="s">
        <v>2598</v>
      </c>
      <c r="B584" t="s">
        <v>2599</v>
      </c>
      <c r="C584" t="s">
        <v>1343</v>
      </c>
      <c r="D584" t="s">
        <v>1014</v>
      </c>
      <c r="E584" t="s">
        <v>93</v>
      </c>
      <c r="F584" t="s">
        <v>1083</v>
      </c>
      <c r="G584" t="s">
        <v>928</v>
      </c>
      <c r="H584" t="s">
        <v>1433</v>
      </c>
      <c r="I584" t="s">
        <v>956</v>
      </c>
      <c r="J584" t="s">
        <v>1063</v>
      </c>
      <c r="K584" t="s">
        <v>1666</v>
      </c>
      <c r="L584" t="s">
        <v>918</v>
      </c>
      <c r="M584" t="s">
        <v>964</v>
      </c>
      <c r="N584" t="s">
        <v>2259</v>
      </c>
      <c r="O584" t="s">
        <v>1064</v>
      </c>
      <c r="P584" t="s">
        <v>946</v>
      </c>
      <c r="Q584" t="s">
        <v>1556</v>
      </c>
      <c r="R584" t="s">
        <v>1538</v>
      </c>
      <c r="S584" t="s">
        <v>969</v>
      </c>
      <c r="T584" t="s">
        <v>987</v>
      </c>
      <c r="U584" t="s">
        <v>1765</v>
      </c>
      <c r="V584" t="s">
        <v>991</v>
      </c>
      <c r="W584" t="s">
        <v>1310</v>
      </c>
      <c r="X584" t="s">
        <v>1049</v>
      </c>
      <c r="Y584" t="s">
        <v>908</v>
      </c>
      <c r="Z584" t="s">
        <v>1119</v>
      </c>
      <c r="AA584" t="s">
        <v>1094</v>
      </c>
      <c r="AB584" t="s">
        <v>991</v>
      </c>
      <c r="AC584" t="s">
        <v>968</v>
      </c>
      <c r="AD584" t="s">
        <v>1291</v>
      </c>
      <c r="AE584" t="s">
        <v>927</v>
      </c>
      <c r="AF584">
        <f t="shared" si="18"/>
        <v>5.5</v>
      </c>
      <c r="AG584">
        <f t="shared" si="19"/>
        <v>5.5431999999999997</v>
      </c>
    </row>
    <row r="585" spans="1:33" x14ac:dyDescent="0.25">
      <c r="A585" t="s">
        <v>2602</v>
      </c>
      <c r="B585" t="s">
        <v>480</v>
      </c>
      <c r="C585" t="s">
        <v>1245</v>
      </c>
      <c r="D585" t="s">
        <v>85</v>
      </c>
      <c r="E585" t="s">
        <v>47</v>
      </c>
      <c r="F585" t="s">
        <v>1106</v>
      </c>
      <c r="G585" t="s">
        <v>1717</v>
      </c>
      <c r="H585" t="s">
        <v>1028</v>
      </c>
      <c r="I585" t="s">
        <v>1195</v>
      </c>
      <c r="J585" t="s">
        <v>1155</v>
      </c>
      <c r="K585" t="s">
        <v>1756</v>
      </c>
      <c r="L585" t="s">
        <v>1064</v>
      </c>
      <c r="M585" t="s">
        <v>1135</v>
      </c>
      <c r="N585" t="s">
        <v>1798</v>
      </c>
      <c r="O585" t="s">
        <v>934</v>
      </c>
      <c r="P585" t="s">
        <v>987</v>
      </c>
      <c r="Q585" t="s">
        <v>2152</v>
      </c>
      <c r="R585" t="s">
        <v>1845</v>
      </c>
      <c r="S585" t="s">
        <v>1600</v>
      </c>
      <c r="T585" t="s">
        <v>1600</v>
      </c>
      <c r="U585" t="s">
        <v>927</v>
      </c>
      <c r="V585" t="s">
        <v>1600</v>
      </c>
      <c r="W585" t="s">
        <v>1008</v>
      </c>
      <c r="X585" t="s">
        <v>1008</v>
      </c>
      <c r="Y585" t="s">
        <v>987</v>
      </c>
      <c r="Z585" t="s">
        <v>1119</v>
      </c>
      <c r="AA585" t="s">
        <v>1119</v>
      </c>
      <c r="AB585" t="s">
        <v>934</v>
      </c>
      <c r="AC585" t="s">
        <v>991</v>
      </c>
      <c r="AD585" t="s">
        <v>1030</v>
      </c>
      <c r="AE585" t="s">
        <v>927</v>
      </c>
      <c r="AF585">
        <f t="shared" si="18"/>
        <v>3.7</v>
      </c>
      <c r="AG585" t="e">
        <f t="shared" si="19"/>
        <v>#VALUE!</v>
      </c>
    </row>
    <row r="586" spans="1:33" x14ac:dyDescent="0.25">
      <c r="A586" t="s">
        <v>2603</v>
      </c>
      <c r="B586" t="s">
        <v>2604</v>
      </c>
      <c r="C586" t="s">
        <v>1068</v>
      </c>
      <c r="D586" t="s">
        <v>148</v>
      </c>
      <c r="E586" t="s">
        <v>72</v>
      </c>
      <c r="F586" t="s">
        <v>1410</v>
      </c>
      <c r="G586" t="s">
        <v>1031</v>
      </c>
      <c r="H586" t="s">
        <v>1815</v>
      </c>
      <c r="I586" t="s">
        <v>1029</v>
      </c>
      <c r="J586" t="s">
        <v>993</v>
      </c>
      <c r="K586" t="s">
        <v>2028</v>
      </c>
      <c r="L586" t="s">
        <v>1600</v>
      </c>
      <c r="M586" t="s">
        <v>1600</v>
      </c>
      <c r="N586" t="s">
        <v>927</v>
      </c>
      <c r="O586" t="s">
        <v>1029</v>
      </c>
      <c r="P586" t="s">
        <v>993</v>
      </c>
      <c r="Q586" t="s">
        <v>2028</v>
      </c>
      <c r="R586" t="s">
        <v>2028</v>
      </c>
      <c r="S586" t="s">
        <v>1065</v>
      </c>
      <c r="T586" t="s">
        <v>1064</v>
      </c>
      <c r="U586" t="s">
        <v>1863</v>
      </c>
      <c r="V586" t="s">
        <v>1310</v>
      </c>
      <c r="W586" t="s">
        <v>992</v>
      </c>
      <c r="X586" t="s">
        <v>1005</v>
      </c>
      <c r="Y586" t="s">
        <v>918</v>
      </c>
      <c r="Z586" t="s">
        <v>1094</v>
      </c>
      <c r="AA586" t="s">
        <v>1065</v>
      </c>
      <c r="AB586" t="s">
        <v>1008</v>
      </c>
      <c r="AC586" t="s">
        <v>1195</v>
      </c>
      <c r="AD586" t="s">
        <v>1030</v>
      </c>
      <c r="AE586" t="s">
        <v>927</v>
      </c>
      <c r="AF586">
        <f t="shared" si="18"/>
        <v>3.7</v>
      </c>
      <c r="AG586" t="e">
        <f t="shared" si="19"/>
        <v>#VALUE!</v>
      </c>
    </row>
    <row r="587" spans="1:33" x14ac:dyDescent="0.25">
      <c r="A587" t="s">
        <v>2605</v>
      </c>
      <c r="B587" t="s">
        <v>487</v>
      </c>
      <c r="C587" t="s">
        <v>1084</v>
      </c>
      <c r="D587" t="s">
        <v>85</v>
      </c>
      <c r="E587" t="s">
        <v>56</v>
      </c>
      <c r="F587" t="s">
        <v>1177</v>
      </c>
      <c r="G587" t="s">
        <v>901</v>
      </c>
      <c r="H587" t="s">
        <v>1040</v>
      </c>
      <c r="I587" t="s">
        <v>1230</v>
      </c>
      <c r="J587" t="s">
        <v>1220</v>
      </c>
      <c r="K587" t="s">
        <v>1308</v>
      </c>
      <c r="L587" t="s">
        <v>991</v>
      </c>
      <c r="M587" t="s">
        <v>918</v>
      </c>
      <c r="N587" t="s">
        <v>1018</v>
      </c>
      <c r="O587" t="s">
        <v>923</v>
      </c>
      <c r="P587" t="s">
        <v>968</v>
      </c>
      <c r="Q587" t="s">
        <v>1656</v>
      </c>
      <c r="R587" t="s">
        <v>2117</v>
      </c>
      <c r="S587" t="s">
        <v>1065</v>
      </c>
      <c r="T587" t="s">
        <v>969</v>
      </c>
      <c r="U587" t="s">
        <v>2200</v>
      </c>
      <c r="V587" t="s">
        <v>991</v>
      </c>
      <c r="W587" t="s">
        <v>918</v>
      </c>
      <c r="X587" t="s">
        <v>1195</v>
      </c>
      <c r="Y587" t="s">
        <v>1230</v>
      </c>
      <c r="Z587" t="s">
        <v>1094</v>
      </c>
      <c r="AA587" t="s">
        <v>1094</v>
      </c>
      <c r="AB587" t="s">
        <v>1008</v>
      </c>
      <c r="AC587" t="s">
        <v>1065</v>
      </c>
      <c r="AD587" t="s">
        <v>1030</v>
      </c>
      <c r="AE587" t="s">
        <v>927</v>
      </c>
      <c r="AF587">
        <f t="shared" si="18"/>
        <v>3.7</v>
      </c>
      <c r="AG587">
        <f t="shared" si="19"/>
        <v>3.6084000000000005</v>
      </c>
    </row>
    <row r="588" spans="1:33" x14ac:dyDescent="0.25">
      <c r="A588" t="s">
        <v>2606</v>
      </c>
      <c r="B588" t="s">
        <v>2607</v>
      </c>
      <c r="C588" t="s">
        <v>1015</v>
      </c>
      <c r="D588" t="s">
        <v>1223</v>
      </c>
      <c r="E588" t="s">
        <v>93</v>
      </c>
      <c r="F588" t="s">
        <v>1051</v>
      </c>
      <c r="G588" t="s">
        <v>1717</v>
      </c>
      <c r="H588" t="s">
        <v>1062</v>
      </c>
      <c r="I588" t="s">
        <v>1195</v>
      </c>
      <c r="J588" t="s">
        <v>1104</v>
      </c>
      <c r="K588" t="s">
        <v>1916</v>
      </c>
      <c r="L588" t="s">
        <v>1065</v>
      </c>
      <c r="M588" t="s">
        <v>922</v>
      </c>
      <c r="N588" t="s">
        <v>2341</v>
      </c>
      <c r="O588" t="s">
        <v>987</v>
      </c>
      <c r="P588" t="s">
        <v>945</v>
      </c>
      <c r="Q588" t="s">
        <v>1999</v>
      </c>
      <c r="R588" t="s">
        <v>1057</v>
      </c>
      <c r="S588" t="s">
        <v>1065</v>
      </c>
      <c r="T588" t="s">
        <v>923</v>
      </c>
      <c r="U588" t="s">
        <v>1131</v>
      </c>
      <c r="V588" t="s">
        <v>1065</v>
      </c>
      <c r="W588" t="s">
        <v>1195</v>
      </c>
      <c r="X588" t="s">
        <v>968</v>
      </c>
      <c r="Y588" t="s">
        <v>1008</v>
      </c>
      <c r="Z588" t="s">
        <v>1008</v>
      </c>
      <c r="AA588" t="s">
        <v>1600</v>
      </c>
      <c r="AB588" t="s">
        <v>934</v>
      </c>
      <c r="AC588" t="s">
        <v>1008</v>
      </c>
      <c r="AD588" t="s">
        <v>1030</v>
      </c>
      <c r="AE588" t="s">
        <v>927</v>
      </c>
      <c r="AF588">
        <f t="shared" si="18"/>
        <v>3.6</v>
      </c>
      <c r="AG588">
        <f t="shared" si="19"/>
        <v>3.6007999999999996</v>
      </c>
    </row>
    <row r="589" spans="1:33" x14ac:dyDescent="0.25">
      <c r="A589" t="s">
        <v>2608</v>
      </c>
      <c r="B589" t="s">
        <v>2609</v>
      </c>
      <c r="C589" t="s">
        <v>1245</v>
      </c>
      <c r="D589" t="s">
        <v>70</v>
      </c>
      <c r="E589" t="s">
        <v>63</v>
      </c>
      <c r="F589" t="s">
        <v>1165</v>
      </c>
      <c r="G589" t="s">
        <v>1717</v>
      </c>
      <c r="H589" t="s">
        <v>931</v>
      </c>
      <c r="I589" t="s">
        <v>1230</v>
      </c>
      <c r="J589" t="s">
        <v>1048</v>
      </c>
      <c r="K589" t="s">
        <v>1718</v>
      </c>
      <c r="L589" t="s">
        <v>1094</v>
      </c>
      <c r="M589" t="s">
        <v>923</v>
      </c>
      <c r="N589" t="s">
        <v>1650</v>
      </c>
      <c r="O589" t="s">
        <v>1064</v>
      </c>
      <c r="P589" t="s">
        <v>925</v>
      </c>
      <c r="Q589" t="s">
        <v>1131</v>
      </c>
      <c r="R589" t="s">
        <v>1300</v>
      </c>
      <c r="S589" t="s">
        <v>1008</v>
      </c>
      <c r="T589" t="s">
        <v>1064</v>
      </c>
      <c r="U589" t="s">
        <v>2074</v>
      </c>
      <c r="V589" t="s">
        <v>1094</v>
      </c>
      <c r="W589" t="s">
        <v>987</v>
      </c>
      <c r="X589" t="s">
        <v>1064</v>
      </c>
      <c r="Y589" t="s">
        <v>956</v>
      </c>
      <c r="Z589" t="s">
        <v>969</v>
      </c>
      <c r="AA589" t="s">
        <v>1119</v>
      </c>
      <c r="AB589" t="s">
        <v>918</v>
      </c>
      <c r="AC589" t="s">
        <v>987</v>
      </c>
      <c r="AD589" t="s">
        <v>1030</v>
      </c>
      <c r="AE589" t="s">
        <v>927</v>
      </c>
      <c r="AF589">
        <f t="shared" si="18"/>
        <v>3.8</v>
      </c>
      <c r="AG589">
        <f t="shared" si="19"/>
        <v>3.7643000000000004</v>
      </c>
    </row>
    <row r="590" spans="1:33" x14ac:dyDescent="0.25">
      <c r="A590" t="s">
        <v>2610</v>
      </c>
      <c r="B590" t="s">
        <v>2611</v>
      </c>
      <c r="C590" t="s">
        <v>995</v>
      </c>
      <c r="D590" t="s">
        <v>974</v>
      </c>
      <c r="E590" t="s">
        <v>93</v>
      </c>
      <c r="F590" t="s">
        <v>1238</v>
      </c>
      <c r="G590" t="s">
        <v>1717</v>
      </c>
      <c r="H590" t="s">
        <v>1236</v>
      </c>
      <c r="I590" t="s">
        <v>1195</v>
      </c>
      <c r="J590" t="s">
        <v>1135</v>
      </c>
      <c r="K590" t="s">
        <v>2040</v>
      </c>
      <c r="L590" t="s">
        <v>1094</v>
      </c>
      <c r="M590" t="s">
        <v>1064</v>
      </c>
      <c r="N590" t="s">
        <v>1785</v>
      </c>
      <c r="O590" t="s">
        <v>923</v>
      </c>
      <c r="P590" t="s">
        <v>1049</v>
      </c>
      <c r="Q590" t="s">
        <v>1131</v>
      </c>
      <c r="R590" t="s">
        <v>1426</v>
      </c>
      <c r="S590" t="s">
        <v>987</v>
      </c>
      <c r="T590" t="s">
        <v>1064</v>
      </c>
      <c r="U590" t="s">
        <v>2121</v>
      </c>
      <c r="V590" t="s">
        <v>923</v>
      </c>
      <c r="W590" t="s">
        <v>1230</v>
      </c>
      <c r="X590" t="s">
        <v>924</v>
      </c>
      <c r="Y590" t="s">
        <v>1094</v>
      </c>
      <c r="Z590" t="s">
        <v>991</v>
      </c>
      <c r="AA590" t="s">
        <v>1065</v>
      </c>
      <c r="AB590" t="s">
        <v>1065</v>
      </c>
      <c r="AC590" t="s">
        <v>918</v>
      </c>
      <c r="AD590" t="s">
        <v>992</v>
      </c>
      <c r="AE590" t="s">
        <v>927</v>
      </c>
      <c r="AF590">
        <f t="shared" si="18"/>
        <v>3.7</v>
      </c>
      <c r="AG590">
        <f t="shared" si="19"/>
        <v>3.5939999999999999</v>
      </c>
    </row>
    <row r="591" spans="1:33" x14ac:dyDescent="0.25">
      <c r="A591" t="s">
        <v>2610</v>
      </c>
      <c r="B591" t="s">
        <v>2611</v>
      </c>
      <c r="C591" t="s">
        <v>995</v>
      </c>
      <c r="D591" t="s">
        <v>85</v>
      </c>
      <c r="E591" t="s">
        <v>93</v>
      </c>
      <c r="F591" t="s">
        <v>1096</v>
      </c>
      <c r="G591" t="s">
        <v>1717</v>
      </c>
      <c r="H591" t="s">
        <v>957</v>
      </c>
      <c r="I591" t="s">
        <v>923</v>
      </c>
      <c r="J591" t="s">
        <v>922</v>
      </c>
      <c r="K591" t="s">
        <v>1836</v>
      </c>
      <c r="L591" t="s">
        <v>1094</v>
      </c>
      <c r="M591" t="s">
        <v>1008</v>
      </c>
      <c r="N591" t="s">
        <v>1131</v>
      </c>
      <c r="O591" t="s">
        <v>1008</v>
      </c>
      <c r="P591" t="s">
        <v>923</v>
      </c>
      <c r="Q591" t="s">
        <v>1696</v>
      </c>
      <c r="R591" t="s">
        <v>2333</v>
      </c>
      <c r="S591" t="s">
        <v>987</v>
      </c>
      <c r="T591" t="s">
        <v>918</v>
      </c>
      <c r="U591" t="s">
        <v>1270</v>
      </c>
      <c r="V591" t="s">
        <v>1094</v>
      </c>
      <c r="W591" t="s">
        <v>1094</v>
      </c>
      <c r="X591" t="s">
        <v>1008</v>
      </c>
      <c r="Y591" t="s">
        <v>1119</v>
      </c>
      <c r="Z591" t="s">
        <v>934</v>
      </c>
      <c r="AA591" t="s">
        <v>1094</v>
      </c>
      <c r="AB591" t="s">
        <v>1008</v>
      </c>
      <c r="AC591" t="s">
        <v>1008</v>
      </c>
      <c r="AD591" t="s">
        <v>946</v>
      </c>
      <c r="AE591" t="s">
        <v>927</v>
      </c>
      <c r="AF591">
        <f t="shared" si="18"/>
        <v>3.0999999999999996</v>
      </c>
      <c r="AG591">
        <f t="shared" si="19"/>
        <v>3.1715</v>
      </c>
    </row>
    <row r="592" spans="1:33" x14ac:dyDescent="0.25">
      <c r="A592" t="s">
        <v>2610</v>
      </c>
      <c r="B592" t="s">
        <v>2611</v>
      </c>
      <c r="C592" t="s">
        <v>995</v>
      </c>
      <c r="D592" t="s">
        <v>77</v>
      </c>
      <c r="E592" t="s">
        <v>93</v>
      </c>
      <c r="F592" t="s">
        <v>1121</v>
      </c>
      <c r="G592" t="s">
        <v>1717</v>
      </c>
      <c r="H592" t="s">
        <v>1304</v>
      </c>
      <c r="I592" t="s">
        <v>1310</v>
      </c>
      <c r="J592" t="s">
        <v>1228</v>
      </c>
      <c r="K592" t="s">
        <v>1870</v>
      </c>
      <c r="L592" t="s">
        <v>1094</v>
      </c>
      <c r="M592" t="s">
        <v>1230</v>
      </c>
      <c r="N592" t="s">
        <v>2251</v>
      </c>
      <c r="O592" t="s">
        <v>945</v>
      </c>
      <c r="P592" t="s">
        <v>1012</v>
      </c>
      <c r="Q592" t="s">
        <v>1168</v>
      </c>
      <c r="R592" t="s">
        <v>1686</v>
      </c>
      <c r="S592" t="s">
        <v>1008</v>
      </c>
      <c r="T592" t="s">
        <v>1195</v>
      </c>
      <c r="U592" t="s">
        <v>913</v>
      </c>
      <c r="V592" t="s">
        <v>1310</v>
      </c>
      <c r="W592" t="s">
        <v>947</v>
      </c>
      <c r="X592" t="s">
        <v>1155</v>
      </c>
      <c r="Y592" t="s">
        <v>1065</v>
      </c>
      <c r="Z592" t="s">
        <v>1065</v>
      </c>
      <c r="AA592" t="s">
        <v>1065</v>
      </c>
      <c r="AB592" t="s">
        <v>1094</v>
      </c>
      <c r="AC592" t="s">
        <v>923</v>
      </c>
      <c r="AD592" t="s">
        <v>1160</v>
      </c>
      <c r="AE592" t="s">
        <v>927</v>
      </c>
      <c r="AF592">
        <f t="shared" si="18"/>
        <v>4</v>
      </c>
      <c r="AG592">
        <f t="shared" si="19"/>
        <v>3.9119000000000002</v>
      </c>
    </row>
    <row r="593" spans="1:33" x14ac:dyDescent="0.25">
      <c r="A593" t="s">
        <v>2612</v>
      </c>
      <c r="B593" t="s">
        <v>2613</v>
      </c>
      <c r="C593" t="s">
        <v>1084</v>
      </c>
      <c r="D593" t="s">
        <v>113</v>
      </c>
      <c r="E593" t="s">
        <v>63</v>
      </c>
      <c r="F593" t="s">
        <v>1176</v>
      </c>
      <c r="G593" t="s">
        <v>928</v>
      </c>
      <c r="H593" t="s">
        <v>1113</v>
      </c>
      <c r="I593" t="s">
        <v>1195</v>
      </c>
      <c r="J593" t="s">
        <v>979</v>
      </c>
      <c r="K593" t="s">
        <v>1425</v>
      </c>
      <c r="L593" t="s">
        <v>987</v>
      </c>
      <c r="M593" t="s">
        <v>1012</v>
      </c>
      <c r="N593" t="s">
        <v>2305</v>
      </c>
      <c r="O593" t="s">
        <v>991</v>
      </c>
      <c r="P593" t="s">
        <v>918</v>
      </c>
      <c r="Q593" t="s">
        <v>999</v>
      </c>
      <c r="R593" t="s">
        <v>1205</v>
      </c>
      <c r="S593" t="s">
        <v>1094</v>
      </c>
      <c r="T593" t="s">
        <v>991</v>
      </c>
      <c r="U593" t="s">
        <v>2049</v>
      </c>
      <c r="V593" t="s">
        <v>969</v>
      </c>
      <c r="W593" t="s">
        <v>1310</v>
      </c>
      <c r="X593" t="s">
        <v>908</v>
      </c>
      <c r="Y593" t="s">
        <v>1064</v>
      </c>
      <c r="Z593" t="s">
        <v>1065</v>
      </c>
      <c r="AA593" t="s">
        <v>1119</v>
      </c>
      <c r="AB593" t="s">
        <v>991</v>
      </c>
      <c r="AC593" t="s">
        <v>1008</v>
      </c>
      <c r="AD593" t="s">
        <v>992</v>
      </c>
      <c r="AE593" t="s">
        <v>927</v>
      </c>
      <c r="AF593">
        <f t="shared" si="18"/>
        <v>3.7</v>
      </c>
      <c r="AG593">
        <f t="shared" si="19"/>
        <v>3.6078000000000001</v>
      </c>
    </row>
    <row r="594" spans="1:33" x14ac:dyDescent="0.25">
      <c r="A594" t="s">
        <v>2614</v>
      </c>
      <c r="B594" t="s">
        <v>2615</v>
      </c>
      <c r="C594" t="s">
        <v>950</v>
      </c>
      <c r="D594" t="s">
        <v>65</v>
      </c>
      <c r="E594" t="s">
        <v>47</v>
      </c>
      <c r="F594" t="s">
        <v>1085</v>
      </c>
      <c r="G594" t="s">
        <v>928</v>
      </c>
      <c r="H594" t="s">
        <v>905</v>
      </c>
      <c r="I594" t="s">
        <v>1195</v>
      </c>
      <c r="J594" t="s">
        <v>1104</v>
      </c>
      <c r="K594" t="s">
        <v>1205</v>
      </c>
      <c r="L594" t="s">
        <v>1094</v>
      </c>
      <c r="M594" t="s">
        <v>918</v>
      </c>
      <c r="N594" t="s">
        <v>2081</v>
      </c>
      <c r="O594" t="s">
        <v>923</v>
      </c>
      <c r="P594" t="s">
        <v>956</v>
      </c>
      <c r="Q594" t="s">
        <v>1352</v>
      </c>
      <c r="R594" t="s">
        <v>1074</v>
      </c>
      <c r="S594" t="s">
        <v>969</v>
      </c>
      <c r="T594" t="s">
        <v>918</v>
      </c>
      <c r="U594" t="s">
        <v>2216</v>
      </c>
      <c r="V594" t="s">
        <v>923</v>
      </c>
      <c r="W594" t="s">
        <v>1195</v>
      </c>
      <c r="X594" t="s">
        <v>947</v>
      </c>
      <c r="Y594" t="s">
        <v>918</v>
      </c>
      <c r="Z594" t="s">
        <v>1065</v>
      </c>
      <c r="AA594" t="s">
        <v>1119</v>
      </c>
      <c r="AB594" t="s">
        <v>991</v>
      </c>
      <c r="AC594" t="s">
        <v>1029</v>
      </c>
      <c r="AD594" t="s">
        <v>992</v>
      </c>
      <c r="AE594" t="s">
        <v>927</v>
      </c>
      <c r="AF594">
        <f t="shared" si="18"/>
        <v>3.5</v>
      </c>
      <c r="AG594">
        <f t="shared" si="19"/>
        <v>3.5627000000000004</v>
      </c>
    </row>
    <row r="595" spans="1:33" x14ac:dyDescent="0.25">
      <c r="A595" t="s">
        <v>2616</v>
      </c>
      <c r="B595" t="s">
        <v>481</v>
      </c>
      <c r="C595" t="s">
        <v>995</v>
      </c>
      <c r="D595" t="s">
        <v>85</v>
      </c>
      <c r="E595" t="s">
        <v>63</v>
      </c>
      <c r="F595" t="s">
        <v>1150</v>
      </c>
      <c r="G595" t="s">
        <v>949</v>
      </c>
      <c r="H595" t="s">
        <v>980</v>
      </c>
      <c r="I595" t="s">
        <v>1230</v>
      </c>
      <c r="J595" t="s">
        <v>1048</v>
      </c>
      <c r="K595" t="s">
        <v>1075</v>
      </c>
      <c r="L595" t="s">
        <v>991</v>
      </c>
      <c r="M595" t="s">
        <v>945</v>
      </c>
      <c r="N595" t="s">
        <v>1726</v>
      </c>
      <c r="O595" t="s">
        <v>918</v>
      </c>
      <c r="P595" t="s">
        <v>1049</v>
      </c>
      <c r="Q595" t="s">
        <v>1200</v>
      </c>
      <c r="R595" t="s">
        <v>1587</v>
      </c>
      <c r="S595" t="s">
        <v>991</v>
      </c>
      <c r="T595" t="s">
        <v>1065</v>
      </c>
      <c r="U595" t="s">
        <v>1616</v>
      </c>
      <c r="V595" t="s">
        <v>987</v>
      </c>
      <c r="W595" t="s">
        <v>1195</v>
      </c>
      <c r="X595" t="s">
        <v>956</v>
      </c>
      <c r="Y595" t="s">
        <v>918</v>
      </c>
      <c r="Z595" t="s">
        <v>1094</v>
      </c>
      <c r="AA595" t="s">
        <v>1119</v>
      </c>
      <c r="AB595" t="s">
        <v>969</v>
      </c>
      <c r="AC595" t="s">
        <v>1064</v>
      </c>
      <c r="AD595" t="s">
        <v>992</v>
      </c>
      <c r="AE595" t="s">
        <v>927</v>
      </c>
      <c r="AF595">
        <f t="shared" si="18"/>
        <v>3.6</v>
      </c>
      <c r="AG595">
        <f t="shared" si="19"/>
        <v>3.5739999999999998</v>
      </c>
    </row>
    <row r="596" spans="1:33" x14ac:dyDescent="0.25">
      <c r="A596" t="s">
        <v>2617</v>
      </c>
      <c r="B596" t="s">
        <v>2618</v>
      </c>
      <c r="C596" t="s">
        <v>929</v>
      </c>
      <c r="D596" t="s">
        <v>974</v>
      </c>
      <c r="E596" t="s">
        <v>56</v>
      </c>
      <c r="F596" t="s">
        <v>1084</v>
      </c>
      <c r="G596" t="s">
        <v>1096</v>
      </c>
      <c r="H596" t="s">
        <v>1153</v>
      </c>
      <c r="I596" t="s">
        <v>922</v>
      </c>
      <c r="J596" t="s">
        <v>1005</v>
      </c>
      <c r="K596" t="s">
        <v>1359</v>
      </c>
      <c r="L596" t="s">
        <v>1600</v>
      </c>
      <c r="M596" t="s">
        <v>1094</v>
      </c>
      <c r="N596" t="s">
        <v>2388</v>
      </c>
      <c r="O596" t="s">
        <v>1029</v>
      </c>
      <c r="P596" t="s">
        <v>1134</v>
      </c>
      <c r="Q596" t="s">
        <v>2329</v>
      </c>
      <c r="R596" t="s">
        <v>1142</v>
      </c>
      <c r="S596" t="s">
        <v>934</v>
      </c>
      <c r="T596" t="s">
        <v>1094</v>
      </c>
      <c r="U596" t="s">
        <v>913</v>
      </c>
      <c r="V596" t="s">
        <v>969</v>
      </c>
      <c r="W596" t="s">
        <v>1220</v>
      </c>
      <c r="X596" t="s">
        <v>970</v>
      </c>
      <c r="Y596" t="s">
        <v>1116</v>
      </c>
      <c r="Z596" t="s">
        <v>923</v>
      </c>
      <c r="AA596" t="s">
        <v>1065</v>
      </c>
      <c r="AB596" t="s">
        <v>993</v>
      </c>
      <c r="AC596" t="s">
        <v>1310</v>
      </c>
      <c r="AD596" t="s">
        <v>979</v>
      </c>
      <c r="AE596" t="s">
        <v>927</v>
      </c>
      <c r="AF596">
        <f t="shared" si="18"/>
        <v>3.6</v>
      </c>
      <c r="AG596">
        <f t="shared" si="19"/>
        <v>3.5472000000000001</v>
      </c>
    </row>
    <row r="597" spans="1:33" x14ac:dyDescent="0.25">
      <c r="A597" t="s">
        <v>2617</v>
      </c>
      <c r="B597" t="s">
        <v>2618</v>
      </c>
      <c r="C597" t="s">
        <v>929</v>
      </c>
      <c r="D597" t="s">
        <v>83</v>
      </c>
      <c r="E597" t="s">
        <v>56</v>
      </c>
      <c r="F597" t="s">
        <v>1222</v>
      </c>
      <c r="G597" t="s">
        <v>1067</v>
      </c>
      <c r="H597" t="s">
        <v>1383</v>
      </c>
      <c r="I597" t="s">
        <v>908</v>
      </c>
      <c r="J597" t="s">
        <v>1092</v>
      </c>
      <c r="K597" t="s">
        <v>2023</v>
      </c>
      <c r="L597" t="s">
        <v>1119</v>
      </c>
      <c r="M597" t="s">
        <v>1094</v>
      </c>
      <c r="N597" t="s">
        <v>2388</v>
      </c>
      <c r="O597" t="s">
        <v>956</v>
      </c>
      <c r="P597" t="s">
        <v>1043</v>
      </c>
      <c r="Q597" t="s">
        <v>1019</v>
      </c>
      <c r="R597" t="s">
        <v>1909</v>
      </c>
      <c r="S597" t="s">
        <v>934</v>
      </c>
      <c r="T597" t="s">
        <v>991</v>
      </c>
      <c r="U597" t="s">
        <v>913</v>
      </c>
      <c r="V597" t="s">
        <v>987</v>
      </c>
      <c r="W597" t="s">
        <v>964</v>
      </c>
      <c r="X597" t="s">
        <v>1030</v>
      </c>
      <c r="Y597" t="s">
        <v>1027</v>
      </c>
      <c r="Z597" t="s">
        <v>923</v>
      </c>
      <c r="AA597" t="s">
        <v>991</v>
      </c>
      <c r="AB597" t="s">
        <v>964</v>
      </c>
      <c r="AC597" t="s">
        <v>1195</v>
      </c>
      <c r="AD597" t="s">
        <v>1103</v>
      </c>
      <c r="AE597" t="s">
        <v>927</v>
      </c>
      <c r="AF597">
        <f t="shared" si="18"/>
        <v>4.5</v>
      </c>
      <c r="AG597">
        <f t="shared" si="19"/>
        <v>4.3960999999999997</v>
      </c>
    </row>
    <row r="598" spans="1:33" x14ac:dyDescent="0.25">
      <c r="A598" t="s">
        <v>2617</v>
      </c>
      <c r="B598" t="s">
        <v>2618</v>
      </c>
      <c r="C598" t="s">
        <v>929</v>
      </c>
      <c r="D598" t="s">
        <v>1149</v>
      </c>
      <c r="E598" t="s">
        <v>56</v>
      </c>
      <c r="F598" t="s">
        <v>1051</v>
      </c>
      <c r="G598" t="s">
        <v>928</v>
      </c>
      <c r="H598" t="s">
        <v>977</v>
      </c>
      <c r="I598" t="s">
        <v>1065</v>
      </c>
      <c r="J598" t="s">
        <v>979</v>
      </c>
      <c r="K598" t="s">
        <v>2486</v>
      </c>
      <c r="L598" t="s">
        <v>1600</v>
      </c>
      <c r="M598" t="s">
        <v>1600</v>
      </c>
      <c r="N598" t="s">
        <v>927</v>
      </c>
      <c r="O598" t="s">
        <v>1065</v>
      </c>
      <c r="P598" t="s">
        <v>979</v>
      </c>
      <c r="Q598" t="s">
        <v>2486</v>
      </c>
      <c r="R598" t="s">
        <v>2486</v>
      </c>
      <c r="S598" t="s">
        <v>1600</v>
      </c>
      <c r="T598" t="s">
        <v>1600</v>
      </c>
      <c r="U598" t="s">
        <v>927</v>
      </c>
      <c r="V598" t="s">
        <v>934</v>
      </c>
      <c r="W598" t="s">
        <v>956</v>
      </c>
      <c r="X598" t="s">
        <v>925</v>
      </c>
      <c r="Y598" t="s">
        <v>970</v>
      </c>
      <c r="Z598" t="s">
        <v>923</v>
      </c>
      <c r="AA598" t="s">
        <v>1065</v>
      </c>
      <c r="AB598" t="s">
        <v>945</v>
      </c>
      <c r="AC598" t="s">
        <v>956</v>
      </c>
      <c r="AD598" t="s">
        <v>923</v>
      </c>
      <c r="AE598" t="s">
        <v>927</v>
      </c>
      <c r="AF598">
        <f t="shared" si="18"/>
        <v>1</v>
      </c>
      <c r="AG598" t="e">
        <f t="shared" si="19"/>
        <v>#VALUE!</v>
      </c>
    </row>
    <row r="599" spans="1:33" x14ac:dyDescent="0.25">
      <c r="A599" t="s">
        <v>2619</v>
      </c>
      <c r="B599" t="s">
        <v>2620</v>
      </c>
      <c r="C599" t="s">
        <v>902</v>
      </c>
      <c r="D599" t="s">
        <v>102</v>
      </c>
      <c r="E599" t="s">
        <v>72</v>
      </c>
      <c r="F599" t="s">
        <v>1390</v>
      </c>
      <c r="G599" t="s">
        <v>1717</v>
      </c>
      <c r="H599" t="s">
        <v>1092</v>
      </c>
      <c r="I599" t="s">
        <v>1195</v>
      </c>
      <c r="J599" t="s">
        <v>1220</v>
      </c>
      <c r="K599" t="s">
        <v>1451</v>
      </c>
      <c r="L599" t="s">
        <v>1094</v>
      </c>
      <c r="M599" t="s">
        <v>918</v>
      </c>
      <c r="N599" t="s">
        <v>2309</v>
      </c>
      <c r="O599" t="s">
        <v>1064</v>
      </c>
      <c r="P599" t="s">
        <v>968</v>
      </c>
      <c r="Q599" t="s">
        <v>1325</v>
      </c>
      <c r="R599" t="s">
        <v>1396</v>
      </c>
      <c r="S599" t="s">
        <v>969</v>
      </c>
      <c r="T599" t="s">
        <v>918</v>
      </c>
      <c r="U599" t="s">
        <v>2082</v>
      </c>
      <c r="V599" t="s">
        <v>987</v>
      </c>
      <c r="W599" t="s">
        <v>969</v>
      </c>
      <c r="X599" t="s">
        <v>1230</v>
      </c>
      <c r="Y599" t="s">
        <v>1094</v>
      </c>
      <c r="Z599" t="s">
        <v>934</v>
      </c>
      <c r="AA599" t="s">
        <v>1119</v>
      </c>
      <c r="AB599" t="s">
        <v>1094</v>
      </c>
      <c r="AC599" t="s">
        <v>1008</v>
      </c>
      <c r="AD599" t="s">
        <v>979</v>
      </c>
      <c r="AE599" t="s">
        <v>927</v>
      </c>
      <c r="AF599">
        <f t="shared" si="18"/>
        <v>3.5</v>
      </c>
      <c r="AG599">
        <f t="shared" si="19"/>
        <v>3.5604000000000005</v>
      </c>
    </row>
    <row r="600" spans="1:33" x14ac:dyDescent="0.25">
      <c r="A600" t="s">
        <v>2621</v>
      </c>
      <c r="B600" t="s">
        <v>336</v>
      </c>
      <c r="C600" t="s">
        <v>1355</v>
      </c>
      <c r="D600" t="s">
        <v>142</v>
      </c>
      <c r="E600" t="s">
        <v>56</v>
      </c>
      <c r="F600" t="s">
        <v>975</v>
      </c>
      <c r="G600" t="s">
        <v>1202</v>
      </c>
      <c r="H600" t="s">
        <v>1241</v>
      </c>
      <c r="I600" t="s">
        <v>945</v>
      </c>
      <c r="J600" t="s">
        <v>946</v>
      </c>
      <c r="K600" t="s">
        <v>1424</v>
      </c>
      <c r="L600" t="s">
        <v>987</v>
      </c>
      <c r="M600" t="s">
        <v>908</v>
      </c>
      <c r="N600" t="s">
        <v>1870</v>
      </c>
      <c r="O600" t="s">
        <v>1065</v>
      </c>
      <c r="P600" t="s">
        <v>918</v>
      </c>
      <c r="Q600" t="s">
        <v>1629</v>
      </c>
      <c r="R600" t="s">
        <v>1352</v>
      </c>
      <c r="S600" t="s">
        <v>1094</v>
      </c>
      <c r="T600" t="s">
        <v>991</v>
      </c>
      <c r="U600" t="s">
        <v>1864</v>
      </c>
      <c r="V600" t="s">
        <v>1094</v>
      </c>
      <c r="W600" t="s">
        <v>1064</v>
      </c>
      <c r="X600" t="s">
        <v>1310</v>
      </c>
      <c r="Y600" t="s">
        <v>1230</v>
      </c>
      <c r="Z600" t="s">
        <v>1065</v>
      </c>
      <c r="AA600" t="s">
        <v>1119</v>
      </c>
      <c r="AB600" t="s">
        <v>991</v>
      </c>
      <c r="AC600" t="s">
        <v>923</v>
      </c>
      <c r="AD600" t="s">
        <v>979</v>
      </c>
      <c r="AE600" t="s">
        <v>927</v>
      </c>
      <c r="AF600">
        <f t="shared" si="18"/>
        <v>3.5</v>
      </c>
      <c r="AG600">
        <f t="shared" si="19"/>
        <v>3.5823999999999994</v>
      </c>
    </row>
    <row r="601" spans="1:33" x14ac:dyDescent="0.25">
      <c r="A601" t="s">
        <v>2622</v>
      </c>
      <c r="B601" t="s">
        <v>2623</v>
      </c>
      <c r="C601" t="s">
        <v>1355</v>
      </c>
      <c r="D601" t="s">
        <v>121</v>
      </c>
      <c r="E601" t="s">
        <v>47</v>
      </c>
      <c r="F601" t="s">
        <v>1187</v>
      </c>
      <c r="G601" t="s">
        <v>949</v>
      </c>
      <c r="H601" t="s">
        <v>1027</v>
      </c>
      <c r="I601" t="s">
        <v>945</v>
      </c>
      <c r="J601" t="s">
        <v>1104</v>
      </c>
      <c r="K601" t="s">
        <v>1908</v>
      </c>
      <c r="L601" t="s">
        <v>923</v>
      </c>
      <c r="M601" t="s">
        <v>924</v>
      </c>
      <c r="N601" t="s">
        <v>1659</v>
      </c>
      <c r="O601" t="s">
        <v>1119</v>
      </c>
      <c r="P601" t="s">
        <v>991</v>
      </c>
      <c r="Q601" t="s">
        <v>910</v>
      </c>
      <c r="R601" t="s">
        <v>2169</v>
      </c>
      <c r="S601" t="s">
        <v>1119</v>
      </c>
      <c r="T601" t="s">
        <v>1119</v>
      </c>
      <c r="U601" t="s">
        <v>1836</v>
      </c>
      <c r="V601" t="s">
        <v>1119</v>
      </c>
      <c r="W601" t="s">
        <v>1065</v>
      </c>
      <c r="X601" t="s">
        <v>1065</v>
      </c>
      <c r="Y601" t="s">
        <v>934</v>
      </c>
      <c r="Z601" t="s">
        <v>1119</v>
      </c>
      <c r="AA601" t="s">
        <v>1600</v>
      </c>
      <c r="AB601" t="s">
        <v>1119</v>
      </c>
      <c r="AC601" t="s">
        <v>1008</v>
      </c>
      <c r="AD601" t="s">
        <v>979</v>
      </c>
      <c r="AE601" t="s">
        <v>927</v>
      </c>
      <c r="AF601">
        <f t="shared" si="18"/>
        <v>3.5</v>
      </c>
      <c r="AG601">
        <f t="shared" si="19"/>
        <v>3.4991999999999996</v>
      </c>
    </row>
    <row r="602" spans="1:33" x14ac:dyDescent="0.25">
      <c r="A602" t="s">
        <v>2624</v>
      </c>
      <c r="B602" t="s">
        <v>2625</v>
      </c>
      <c r="C602" t="s">
        <v>929</v>
      </c>
      <c r="D602" t="s">
        <v>148</v>
      </c>
      <c r="E602" t="s">
        <v>72</v>
      </c>
      <c r="F602" t="s">
        <v>1202</v>
      </c>
      <c r="G602" t="s">
        <v>972</v>
      </c>
      <c r="H602" t="s">
        <v>1508</v>
      </c>
      <c r="I602" t="s">
        <v>1195</v>
      </c>
      <c r="J602" t="s">
        <v>992</v>
      </c>
      <c r="K602" t="s">
        <v>1620</v>
      </c>
      <c r="L602" t="s">
        <v>991</v>
      </c>
      <c r="M602" t="s">
        <v>1029</v>
      </c>
      <c r="N602" t="s">
        <v>2626</v>
      </c>
      <c r="O602" t="s">
        <v>918</v>
      </c>
      <c r="P602" t="s">
        <v>956</v>
      </c>
      <c r="Q602" t="s">
        <v>1018</v>
      </c>
      <c r="R602" t="s">
        <v>1863</v>
      </c>
      <c r="S602" t="s">
        <v>991</v>
      </c>
      <c r="T602" t="s">
        <v>969</v>
      </c>
      <c r="U602" t="s">
        <v>2333</v>
      </c>
      <c r="V602" t="s">
        <v>918</v>
      </c>
      <c r="W602" t="s">
        <v>947</v>
      </c>
      <c r="X602" t="s">
        <v>946</v>
      </c>
      <c r="Y602" t="s">
        <v>1230</v>
      </c>
      <c r="Z602" t="s">
        <v>991</v>
      </c>
      <c r="AA602" t="s">
        <v>1119</v>
      </c>
      <c r="AB602" t="s">
        <v>918</v>
      </c>
      <c r="AC602" t="s">
        <v>945</v>
      </c>
      <c r="AD602" t="s">
        <v>979</v>
      </c>
      <c r="AE602" t="s">
        <v>927</v>
      </c>
      <c r="AF602">
        <f t="shared" si="18"/>
        <v>3.4</v>
      </c>
      <c r="AG602">
        <f t="shared" si="19"/>
        <v>3.4632000000000001</v>
      </c>
    </row>
    <row r="603" spans="1:33" x14ac:dyDescent="0.25">
      <c r="A603" t="s">
        <v>2627</v>
      </c>
      <c r="B603" t="s">
        <v>2628</v>
      </c>
      <c r="C603" t="s">
        <v>973</v>
      </c>
      <c r="D603" t="s">
        <v>105</v>
      </c>
      <c r="E603" t="s">
        <v>56</v>
      </c>
      <c r="F603" t="s">
        <v>1031</v>
      </c>
      <c r="G603" t="s">
        <v>901</v>
      </c>
      <c r="H603" t="s">
        <v>1113</v>
      </c>
      <c r="I603" t="s">
        <v>945</v>
      </c>
      <c r="J603" t="s">
        <v>924</v>
      </c>
      <c r="K603" t="s">
        <v>1131</v>
      </c>
      <c r="L603" t="s">
        <v>934</v>
      </c>
      <c r="M603" t="s">
        <v>923</v>
      </c>
      <c r="N603" t="s">
        <v>2251</v>
      </c>
      <c r="O603" t="s">
        <v>923</v>
      </c>
      <c r="P603" t="s">
        <v>1230</v>
      </c>
      <c r="Q603" t="s">
        <v>1999</v>
      </c>
      <c r="R603" t="s">
        <v>1143</v>
      </c>
      <c r="S603" t="s">
        <v>987</v>
      </c>
      <c r="T603" t="s">
        <v>945</v>
      </c>
      <c r="U603" t="s">
        <v>1696</v>
      </c>
      <c r="V603" t="s">
        <v>934</v>
      </c>
      <c r="W603" t="s">
        <v>987</v>
      </c>
      <c r="X603" t="s">
        <v>923</v>
      </c>
      <c r="Y603" t="s">
        <v>956</v>
      </c>
      <c r="Z603" t="s">
        <v>987</v>
      </c>
      <c r="AA603" t="s">
        <v>991</v>
      </c>
      <c r="AB603" t="s">
        <v>1029</v>
      </c>
      <c r="AC603" t="s">
        <v>991</v>
      </c>
      <c r="AD603" t="s">
        <v>1000</v>
      </c>
      <c r="AE603" t="s">
        <v>927</v>
      </c>
      <c r="AF603">
        <f t="shared" si="18"/>
        <v>3.4000000000000004</v>
      </c>
      <c r="AG603">
        <f t="shared" si="19"/>
        <v>3.3995999999999995</v>
      </c>
    </row>
    <row r="604" spans="1:33" x14ac:dyDescent="0.25">
      <c r="A604" t="s">
        <v>2629</v>
      </c>
      <c r="B604" t="s">
        <v>2630</v>
      </c>
      <c r="C604" t="s">
        <v>902</v>
      </c>
      <c r="D604" t="s">
        <v>163</v>
      </c>
      <c r="E604" t="s">
        <v>72</v>
      </c>
      <c r="F604" t="s">
        <v>1212</v>
      </c>
      <c r="G604" t="s">
        <v>928</v>
      </c>
      <c r="H604" t="s">
        <v>1152</v>
      </c>
      <c r="I604" t="s">
        <v>1310</v>
      </c>
      <c r="J604" t="s">
        <v>964</v>
      </c>
      <c r="K604" t="s">
        <v>1275</v>
      </c>
      <c r="L604" t="s">
        <v>1600</v>
      </c>
      <c r="M604" t="s">
        <v>1600</v>
      </c>
      <c r="N604" t="s">
        <v>927</v>
      </c>
      <c r="O604" t="s">
        <v>1310</v>
      </c>
      <c r="P604" t="s">
        <v>964</v>
      </c>
      <c r="Q604" t="s">
        <v>1275</v>
      </c>
      <c r="R604" t="s">
        <v>1275</v>
      </c>
      <c r="S604" t="s">
        <v>991</v>
      </c>
      <c r="T604" t="s">
        <v>1065</v>
      </c>
      <c r="U604" t="s">
        <v>2049</v>
      </c>
      <c r="V604" t="s">
        <v>945</v>
      </c>
      <c r="W604" t="s">
        <v>968</v>
      </c>
      <c r="X604" t="s">
        <v>1135</v>
      </c>
      <c r="Y604" t="s">
        <v>1064</v>
      </c>
      <c r="Z604" t="s">
        <v>934</v>
      </c>
      <c r="AA604" t="s">
        <v>1065</v>
      </c>
      <c r="AB604" t="s">
        <v>987</v>
      </c>
      <c r="AC604" t="s">
        <v>1029</v>
      </c>
      <c r="AD604" t="s">
        <v>1000</v>
      </c>
      <c r="AE604" t="s">
        <v>927</v>
      </c>
      <c r="AF604">
        <f t="shared" si="18"/>
        <v>3.4</v>
      </c>
      <c r="AG604" t="e">
        <f t="shared" si="19"/>
        <v>#VALUE!</v>
      </c>
    </row>
    <row r="605" spans="1:33" x14ac:dyDescent="0.25">
      <c r="A605" t="s">
        <v>2631</v>
      </c>
      <c r="B605" t="s">
        <v>2632</v>
      </c>
      <c r="C605" t="s">
        <v>1032</v>
      </c>
      <c r="D605" t="s">
        <v>105</v>
      </c>
      <c r="E605" t="s">
        <v>63</v>
      </c>
      <c r="F605" t="s">
        <v>930</v>
      </c>
      <c r="G605" t="s">
        <v>1414</v>
      </c>
      <c r="H605" t="s">
        <v>1685</v>
      </c>
      <c r="I605" t="s">
        <v>1230</v>
      </c>
      <c r="J605" t="s">
        <v>964</v>
      </c>
      <c r="K605" t="s">
        <v>1358</v>
      </c>
      <c r="L605" t="s">
        <v>991</v>
      </c>
      <c r="M605" t="s">
        <v>1064</v>
      </c>
      <c r="N605" t="s">
        <v>1039</v>
      </c>
      <c r="O605" t="s">
        <v>923</v>
      </c>
      <c r="P605" t="s">
        <v>968</v>
      </c>
      <c r="Q605" t="s">
        <v>1352</v>
      </c>
      <c r="R605" t="s">
        <v>1184</v>
      </c>
      <c r="S605" t="s">
        <v>934</v>
      </c>
      <c r="T605" t="s">
        <v>991</v>
      </c>
      <c r="U605" t="s">
        <v>1131</v>
      </c>
      <c r="V605" t="s">
        <v>923</v>
      </c>
      <c r="W605" t="s">
        <v>922</v>
      </c>
      <c r="X605" t="s">
        <v>1220</v>
      </c>
      <c r="Y605" t="s">
        <v>945</v>
      </c>
      <c r="Z605" t="s">
        <v>1065</v>
      </c>
      <c r="AA605" t="s">
        <v>934</v>
      </c>
      <c r="AB605" t="s">
        <v>918</v>
      </c>
      <c r="AC605" t="s">
        <v>922</v>
      </c>
      <c r="AD605" t="s">
        <v>1000</v>
      </c>
      <c r="AE605" t="s">
        <v>927</v>
      </c>
      <c r="AF605">
        <f t="shared" si="18"/>
        <v>3.4000000000000004</v>
      </c>
      <c r="AG605">
        <f t="shared" si="19"/>
        <v>3.4079000000000002</v>
      </c>
    </row>
    <row r="606" spans="1:33" x14ac:dyDescent="0.25">
      <c r="A606" t="s">
        <v>2633</v>
      </c>
      <c r="B606" t="s">
        <v>2634</v>
      </c>
      <c r="C606" t="s">
        <v>1084</v>
      </c>
      <c r="D606" t="s">
        <v>121</v>
      </c>
      <c r="E606" t="s">
        <v>93</v>
      </c>
      <c r="F606" t="s">
        <v>1233</v>
      </c>
      <c r="G606" t="s">
        <v>1717</v>
      </c>
      <c r="H606" t="s">
        <v>1009</v>
      </c>
      <c r="I606" t="s">
        <v>1230</v>
      </c>
      <c r="J606" t="s">
        <v>908</v>
      </c>
      <c r="K606" t="s">
        <v>2245</v>
      </c>
      <c r="L606" t="s">
        <v>1119</v>
      </c>
      <c r="M606" t="s">
        <v>934</v>
      </c>
      <c r="N606" t="s">
        <v>910</v>
      </c>
      <c r="O606" t="s">
        <v>1195</v>
      </c>
      <c r="P606" t="s">
        <v>1049</v>
      </c>
      <c r="Q606" t="s">
        <v>2438</v>
      </c>
      <c r="R606" t="s">
        <v>1848</v>
      </c>
      <c r="S606" t="s">
        <v>969</v>
      </c>
      <c r="T606" t="s">
        <v>918</v>
      </c>
      <c r="U606" t="s">
        <v>2170</v>
      </c>
      <c r="V606" t="s">
        <v>969</v>
      </c>
      <c r="W606" t="s">
        <v>918</v>
      </c>
      <c r="X606" t="s">
        <v>1230</v>
      </c>
      <c r="Y606" t="s">
        <v>1094</v>
      </c>
      <c r="Z606" t="s">
        <v>1119</v>
      </c>
      <c r="AA606" t="s">
        <v>1094</v>
      </c>
      <c r="AB606" t="s">
        <v>991</v>
      </c>
      <c r="AC606" t="s">
        <v>987</v>
      </c>
      <c r="AD606" t="s">
        <v>1000</v>
      </c>
      <c r="AE606" t="s">
        <v>927</v>
      </c>
      <c r="AF606">
        <f t="shared" si="18"/>
        <v>3.4999999999999996</v>
      </c>
      <c r="AG606">
        <f t="shared" si="19"/>
        <v>3.3841000000000006</v>
      </c>
    </row>
    <row r="607" spans="1:33" x14ac:dyDescent="0.25">
      <c r="A607" t="s">
        <v>2635</v>
      </c>
      <c r="B607" t="s">
        <v>2636</v>
      </c>
      <c r="C607" t="s">
        <v>973</v>
      </c>
      <c r="D607" t="s">
        <v>1223</v>
      </c>
      <c r="E607" t="s">
        <v>47</v>
      </c>
      <c r="F607" t="s">
        <v>1162</v>
      </c>
      <c r="G607" t="s">
        <v>1717</v>
      </c>
      <c r="H607" t="s">
        <v>1063</v>
      </c>
      <c r="I607" t="s">
        <v>1195</v>
      </c>
      <c r="J607" t="s">
        <v>1012</v>
      </c>
      <c r="K607" t="s">
        <v>1131</v>
      </c>
      <c r="L607" t="s">
        <v>1094</v>
      </c>
      <c r="M607" t="s">
        <v>1064</v>
      </c>
      <c r="N607" t="s">
        <v>2205</v>
      </c>
      <c r="O607" t="s">
        <v>923</v>
      </c>
      <c r="P607" t="s">
        <v>1310</v>
      </c>
      <c r="Q607" t="s">
        <v>1696</v>
      </c>
      <c r="R607" t="s">
        <v>1401</v>
      </c>
      <c r="S607" t="s">
        <v>991</v>
      </c>
      <c r="T607" t="s">
        <v>969</v>
      </c>
      <c r="U607" t="s">
        <v>2049</v>
      </c>
      <c r="V607" t="s">
        <v>1065</v>
      </c>
      <c r="W607" t="s">
        <v>1008</v>
      </c>
      <c r="X607" t="s">
        <v>945</v>
      </c>
      <c r="Y607" t="s">
        <v>991</v>
      </c>
      <c r="Z607" t="s">
        <v>1119</v>
      </c>
      <c r="AA607" t="s">
        <v>1094</v>
      </c>
      <c r="AB607" t="s">
        <v>1094</v>
      </c>
      <c r="AC607" t="s">
        <v>991</v>
      </c>
      <c r="AD607" t="s">
        <v>970</v>
      </c>
      <c r="AE607" t="s">
        <v>927</v>
      </c>
      <c r="AF607">
        <f t="shared" si="18"/>
        <v>3.3</v>
      </c>
      <c r="AG607">
        <f t="shared" si="19"/>
        <v>3.3321000000000005</v>
      </c>
    </row>
    <row r="608" spans="1:33" x14ac:dyDescent="0.25">
      <c r="A608" t="s">
        <v>2637</v>
      </c>
      <c r="B608" t="s">
        <v>2638</v>
      </c>
      <c r="C608" t="s">
        <v>1204</v>
      </c>
      <c r="D608" t="s">
        <v>1069</v>
      </c>
      <c r="E608" t="s">
        <v>63</v>
      </c>
      <c r="F608" t="s">
        <v>973</v>
      </c>
      <c r="G608" t="s">
        <v>1717</v>
      </c>
      <c r="H608" t="s">
        <v>1079</v>
      </c>
      <c r="I608" t="s">
        <v>1064</v>
      </c>
      <c r="J608" t="s">
        <v>1135</v>
      </c>
      <c r="K608" t="s">
        <v>1379</v>
      </c>
      <c r="L608" t="s">
        <v>991</v>
      </c>
      <c r="M608" t="s">
        <v>1310</v>
      </c>
      <c r="N608" t="s">
        <v>2361</v>
      </c>
      <c r="O608" t="s">
        <v>1008</v>
      </c>
      <c r="P608" t="s">
        <v>1310</v>
      </c>
      <c r="Q608" t="s">
        <v>1976</v>
      </c>
      <c r="R608" t="s">
        <v>1474</v>
      </c>
      <c r="S608" t="s">
        <v>987</v>
      </c>
      <c r="T608" t="s">
        <v>987</v>
      </c>
      <c r="U608" t="s">
        <v>2639</v>
      </c>
      <c r="V608" t="s">
        <v>1119</v>
      </c>
      <c r="W608" t="s">
        <v>1008</v>
      </c>
      <c r="X608" t="s">
        <v>987</v>
      </c>
      <c r="Y608" t="s">
        <v>991</v>
      </c>
      <c r="Z608" t="s">
        <v>934</v>
      </c>
      <c r="AA608" t="s">
        <v>1600</v>
      </c>
      <c r="AB608" t="s">
        <v>991</v>
      </c>
      <c r="AC608" t="s">
        <v>934</v>
      </c>
      <c r="AD608" t="s">
        <v>970</v>
      </c>
      <c r="AE608" t="s">
        <v>927</v>
      </c>
      <c r="AF608">
        <f t="shared" si="18"/>
        <v>3.4000000000000004</v>
      </c>
      <c r="AG608">
        <f t="shared" si="19"/>
        <v>3.3130999999999999</v>
      </c>
    </row>
    <row r="609" spans="1:33" x14ac:dyDescent="0.25">
      <c r="A609" t="s">
        <v>2640</v>
      </c>
      <c r="B609" t="s">
        <v>2641</v>
      </c>
      <c r="C609" t="s">
        <v>973</v>
      </c>
      <c r="D609" t="s">
        <v>65</v>
      </c>
      <c r="E609" t="s">
        <v>63</v>
      </c>
      <c r="F609" t="s">
        <v>1238</v>
      </c>
      <c r="G609" t="s">
        <v>1717</v>
      </c>
      <c r="H609" t="s">
        <v>988</v>
      </c>
      <c r="I609" t="s">
        <v>1230</v>
      </c>
      <c r="J609" t="s">
        <v>946</v>
      </c>
      <c r="K609" t="s">
        <v>1718</v>
      </c>
      <c r="L609" t="s">
        <v>1094</v>
      </c>
      <c r="M609" t="s">
        <v>1195</v>
      </c>
      <c r="N609" t="s">
        <v>1216</v>
      </c>
      <c r="O609" t="s">
        <v>1064</v>
      </c>
      <c r="P609" t="s">
        <v>968</v>
      </c>
      <c r="Q609" t="s">
        <v>1494</v>
      </c>
      <c r="R609" t="s">
        <v>1200</v>
      </c>
      <c r="S609" t="s">
        <v>1094</v>
      </c>
      <c r="T609" t="s">
        <v>991</v>
      </c>
      <c r="U609" t="s">
        <v>1842</v>
      </c>
      <c r="V609" t="s">
        <v>1094</v>
      </c>
      <c r="W609" t="s">
        <v>991</v>
      </c>
      <c r="X609" t="s">
        <v>1008</v>
      </c>
      <c r="Y609" t="s">
        <v>1065</v>
      </c>
      <c r="Z609" t="s">
        <v>991</v>
      </c>
      <c r="AA609" t="s">
        <v>934</v>
      </c>
      <c r="AB609" t="s">
        <v>1008</v>
      </c>
      <c r="AC609" t="s">
        <v>987</v>
      </c>
      <c r="AD609" t="s">
        <v>970</v>
      </c>
      <c r="AE609" t="s">
        <v>927</v>
      </c>
      <c r="AF609">
        <f t="shared" si="18"/>
        <v>3.3999999999999995</v>
      </c>
      <c r="AG609">
        <f t="shared" si="19"/>
        <v>3.2496999999999998</v>
      </c>
    </row>
    <row r="610" spans="1:33" x14ac:dyDescent="0.25">
      <c r="A610" t="s">
        <v>2642</v>
      </c>
      <c r="B610" t="s">
        <v>2643</v>
      </c>
      <c r="C610" t="s">
        <v>1084</v>
      </c>
      <c r="D610" t="s">
        <v>45</v>
      </c>
      <c r="E610" t="s">
        <v>63</v>
      </c>
      <c r="F610" t="s">
        <v>1106</v>
      </c>
      <c r="G610" t="s">
        <v>1717</v>
      </c>
      <c r="H610" t="s">
        <v>1518</v>
      </c>
      <c r="I610" t="s">
        <v>1064</v>
      </c>
      <c r="J610" t="s">
        <v>979</v>
      </c>
      <c r="K610" t="s">
        <v>1628</v>
      </c>
      <c r="L610" t="s">
        <v>1008</v>
      </c>
      <c r="M610" t="s">
        <v>993</v>
      </c>
      <c r="N610" t="s">
        <v>2644</v>
      </c>
      <c r="O610" t="s">
        <v>991</v>
      </c>
      <c r="P610" t="s">
        <v>923</v>
      </c>
      <c r="Q610" t="s">
        <v>1719</v>
      </c>
      <c r="R610" t="s">
        <v>1968</v>
      </c>
      <c r="S610" t="s">
        <v>1094</v>
      </c>
      <c r="T610" t="s">
        <v>969</v>
      </c>
      <c r="U610" t="s">
        <v>1131</v>
      </c>
      <c r="V610" t="s">
        <v>918</v>
      </c>
      <c r="W610" t="s">
        <v>945</v>
      </c>
      <c r="X610" t="s">
        <v>908</v>
      </c>
      <c r="Y610" t="s">
        <v>987</v>
      </c>
      <c r="Z610" t="s">
        <v>923</v>
      </c>
      <c r="AA610" t="s">
        <v>1119</v>
      </c>
      <c r="AB610" t="s">
        <v>1094</v>
      </c>
      <c r="AC610" t="s">
        <v>968</v>
      </c>
      <c r="AD610" t="s">
        <v>1048</v>
      </c>
      <c r="AE610" t="s">
        <v>927</v>
      </c>
      <c r="AF610">
        <f t="shared" si="18"/>
        <v>3.1999999999999997</v>
      </c>
      <c r="AG610">
        <f t="shared" si="19"/>
        <v>3.2</v>
      </c>
    </row>
    <row r="611" spans="1:33" x14ac:dyDescent="0.25">
      <c r="A611" t="s">
        <v>2645</v>
      </c>
      <c r="B611" t="s">
        <v>2646</v>
      </c>
      <c r="C611" t="s">
        <v>1084</v>
      </c>
      <c r="D611" t="s">
        <v>148</v>
      </c>
      <c r="E611" t="s">
        <v>93</v>
      </c>
      <c r="F611" t="s">
        <v>1489</v>
      </c>
      <c r="G611" t="s">
        <v>972</v>
      </c>
      <c r="H611" t="s">
        <v>1655</v>
      </c>
      <c r="I611" t="s">
        <v>945</v>
      </c>
      <c r="J611" t="s">
        <v>993</v>
      </c>
      <c r="K611" t="s">
        <v>1476</v>
      </c>
      <c r="L611" t="s">
        <v>1094</v>
      </c>
      <c r="M611" t="s">
        <v>918</v>
      </c>
      <c r="N611" t="s">
        <v>2069</v>
      </c>
      <c r="O611" t="s">
        <v>918</v>
      </c>
      <c r="P611" t="s">
        <v>1029</v>
      </c>
      <c r="Q611" t="s">
        <v>1542</v>
      </c>
      <c r="R611" t="s">
        <v>1522</v>
      </c>
      <c r="S611" t="s">
        <v>1065</v>
      </c>
      <c r="T611" t="s">
        <v>987</v>
      </c>
      <c r="U611" t="s">
        <v>2027</v>
      </c>
      <c r="V611" t="s">
        <v>969</v>
      </c>
      <c r="W611" t="s">
        <v>923</v>
      </c>
      <c r="X611" t="s">
        <v>1029</v>
      </c>
      <c r="Y611" t="s">
        <v>991</v>
      </c>
      <c r="Z611" t="s">
        <v>991</v>
      </c>
      <c r="AA611" t="s">
        <v>1008</v>
      </c>
      <c r="AB611" t="s">
        <v>934</v>
      </c>
      <c r="AC611" t="s">
        <v>1064</v>
      </c>
      <c r="AD611" t="s">
        <v>1048</v>
      </c>
      <c r="AE611" t="s">
        <v>927</v>
      </c>
      <c r="AF611">
        <f t="shared" si="18"/>
        <v>3.1999999999999997</v>
      </c>
      <c r="AG611">
        <f t="shared" si="19"/>
        <v>3.2812999999999999</v>
      </c>
    </row>
    <row r="612" spans="1:33" x14ac:dyDescent="0.25">
      <c r="A612" t="s">
        <v>2647</v>
      </c>
      <c r="B612" t="s">
        <v>2648</v>
      </c>
      <c r="C612" t="s">
        <v>973</v>
      </c>
      <c r="D612" t="s">
        <v>1014</v>
      </c>
      <c r="E612" t="s">
        <v>47</v>
      </c>
      <c r="F612" t="s">
        <v>1355</v>
      </c>
      <c r="G612" t="s">
        <v>1083</v>
      </c>
      <c r="H612" t="s">
        <v>1179</v>
      </c>
      <c r="I612" t="s">
        <v>945</v>
      </c>
      <c r="J612" t="s">
        <v>1104</v>
      </c>
      <c r="K612" t="s">
        <v>2242</v>
      </c>
      <c r="L612" t="s">
        <v>991</v>
      </c>
      <c r="M612" t="s">
        <v>1230</v>
      </c>
      <c r="N612" t="s">
        <v>1858</v>
      </c>
      <c r="O612" t="s">
        <v>987</v>
      </c>
      <c r="P612" t="s">
        <v>1230</v>
      </c>
      <c r="Q612" t="s">
        <v>1615</v>
      </c>
      <c r="R612" t="s">
        <v>1205</v>
      </c>
      <c r="S612" t="s">
        <v>1065</v>
      </c>
      <c r="T612" t="s">
        <v>987</v>
      </c>
      <c r="U612" t="s">
        <v>2169</v>
      </c>
      <c r="V612" t="s">
        <v>1065</v>
      </c>
      <c r="W612" t="s">
        <v>1310</v>
      </c>
      <c r="X612" t="s">
        <v>956</v>
      </c>
      <c r="Y612" t="s">
        <v>1008</v>
      </c>
      <c r="Z612" t="s">
        <v>923</v>
      </c>
      <c r="AA612" t="s">
        <v>1094</v>
      </c>
      <c r="AB612" t="s">
        <v>991</v>
      </c>
      <c r="AC612" t="s">
        <v>1195</v>
      </c>
      <c r="AD612" t="s">
        <v>1048</v>
      </c>
      <c r="AE612" t="s">
        <v>927</v>
      </c>
      <c r="AF612">
        <f t="shared" si="18"/>
        <v>3.3</v>
      </c>
      <c r="AG612">
        <f t="shared" si="19"/>
        <v>3.1450000000000005</v>
      </c>
    </row>
    <row r="613" spans="1:33" x14ac:dyDescent="0.25">
      <c r="A613" t="s">
        <v>2649</v>
      </c>
      <c r="B613" t="s">
        <v>410</v>
      </c>
      <c r="C613" t="s">
        <v>1204</v>
      </c>
      <c r="D613" t="s">
        <v>974</v>
      </c>
      <c r="E613" t="s">
        <v>56</v>
      </c>
      <c r="F613" t="s">
        <v>1233</v>
      </c>
      <c r="G613" t="s">
        <v>1067</v>
      </c>
      <c r="H613" t="s">
        <v>1574</v>
      </c>
      <c r="I613" t="s">
        <v>1064</v>
      </c>
      <c r="J613" t="s">
        <v>970</v>
      </c>
      <c r="K613" t="s">
        <v>1515</v>
      </c>
      <c r="L613" t="s">
        <v>1065</v>
      </c>
      <c r="M613" t="s">
        <v>968</v>
      </c>
      <c r="N613" t="s">
        <v>1320</v>
      </c>
      <c r="O613" t="s">
        <v>969</v>
      </c>
      <c r="P613" t="s">
        <v>1310</v>
      </c>
      <c r="Q613" t="s">
        <v>1448</v>
      </c>
      <c r="R613" t="s">
        <v>1240</v>
      </c>
      <c r="S613" t="s">
        <v>991</v>
      </c>
      <c r="T613" t="s">
        <v>969</v>
      </c>
      <c r="U613" t="s">
        <v>1836</v>
      </c>
      <c r="V613" t="s">
        <v>1008</v>
      </c>
      <c r="W613" t="s">
        <v>923</v>
      </c>
      <c r="X613" t="s">
        <v>922</v>
      </c>
      <c r="Y613" t="s">
        <v>1049</v>
      </c>
      <c r="Z613" t="s">
        <v>918</v>
      </c>
      <c r="AA613" t="s">
        <v>1094</v>
      </c>
      <c r="AB613" t="s">
        <v>969</v>
      </c>
      <c r="AC613" t="s">
        <v>969</v>
      </c>
      <c r="AD613" t="s">
        <v>946</v>
      </c>
      <c r="AE613" t="s">
        <v>927</v>
      </c>
      <c r="AF613">
        <f t="shared" si="18"/>
        <v>3.1</v>
      </c>
      <c r="AG613">
        <f t="shared" si="19"/>
        <v>3.1325999999999996</v>
      </c>
    </row>
    <row r="614" spans="1:33" x14ac:dyDescent="0.25">
      <c r="A614" t="s">
        <v>2649</v>
      </c>
      <c r="B614" t="s">
        <v>410</v>
      </c>
      <c r="C614" t="s">
        <v>1204</v>
      </c>
      <c r="D614" t="s">
        <v>105</v>
      </c>
      <c r="E614" t="s">
        <v>56</v>
      </c>
      <c r="F614" t="s">
        <v>902</v>
      </c>
      <c r="G614" t="s">
        <v>928</v>
      </c>
      <c r="H614" t="s">
        <v>1635</v>
      </c>
      <c r="I614" t="s">
        <v>987</v>
      </c>
      <c r="J614" t="s">
        <v>1048</v>
      </c>
      <c r="K614" t="s">
        <v>2650</v>
      </c>
      <c r="L614" t="s">
        <v>1065</v>
      </c>
      <c r="M614" t="s">
        <v>1049</v>
      </c>
      <c r="N614" t="s">
        <v>1948</v>
      </c>
      <c r="O614" t="s">
        <v>991</v>
      </c>
      <c r="P614" t="s">
        <v>1195</v>
      </c>
      <c r="Q614" t="s">
        <v>2651</v>
      </c>
      <c r="R614" t="s">
        <v>1997</v>
      </c>
      <c r="S614" t="s">
        <v>1094</v>
      </c>
      <c r="T614" t="s">
        <v>969</v>
      </c>
      <c r="U614" t="s">
        <v>1289</v>
      </c>
      <c r="V614" t="s">
        <v>969</v>
      </c>
      <c r="W614" t="s">
        <v>945</v>
      </c>
      <c r="X614" t="s">
        <v>968</v>
      </c>
      <c r="Y614" t="s">
        <v>968</v>
      </c>
      <c r="Z614" t="s">
        <v>918</v>
      </c>
      <c r="AA614" t="s">
        <v>1094</v>
      </c>
      <c r="AB614" t="s">
        <v>1065</v>
      </c>
      <c r="AC614" t="s">
        <v>1008</v>
      </c>
      <c r="AD614" t="s">
        <v>993</v>
      </c>
      <c r="AE614" t="s">
        <v>927</v>
      </c>
      <c r="AF614">
        <f t="shared" si="18"/>
        <v>2.4</v>
      </c>
      <c r="AG614">
        <f t="shared" si="19"/>
        <v>2.5221</v>
      </c>
    </row>
    <row r="615" spans="1:33" x14ac:dyDescent="0.25">
      <c r="A615" t="s">
        <v>2649</v>
      </c>
      <c r="B615" t="s">
        <v>410</v>
      </c>
      <c r="C615" t="s">
        <v>1204</v>
      </c>
      <c r="D615" t="s">
        <v>129</v>
      </c>
      <c r="E615" t="s">
        <v>56</v>
      </c>
      <c r="F615" t="s">
        <v>1162</v>
      </c>
      <c r="G615" t="s">
        <v>1031</v>
      </c>
      <c r="H615" t="s">
        <v>1345</v>
      </c>
      <c r="I615" t="s">
        <v>1029</v>
      </c>
      <c r="J615" t="s">
        <v>979</v>
      </c>
      <c r="K615" t="s">
        <v>1099</v>
      </c>
      <c r="L615" t="s">
        <v>969</v>
      </c>
      <c r="M615" t="s">
        <v>922</v>
      </c>
      <c r="N615" t="s">
        <v>1666</v>
      </c>
      <c r="O615" t="s">
        <v>1064</v>
      </c>
      <c r="P615" t="s">
        <v>968</v>
      </c>
      <c r="Q615" t="s">
        <v>1836</v>
      </c>
      <c r="R615" t="s">
        <v>1115</v>
      </c>
      <c r="S615" t="s">
        <v>991</v>
      </c>
      <c r="T615" t="s">
        <v>969</v>
      </c>
      <c r="U615" t="s">
        <v>1696</v>
      </c>
      <c r="V615" t="s">
        <v>918</v>
      </c>
      <c r="W615" t="s">
        <v>969</v>
      </c>
      <c r="X615" t="s">
        <v>1230</v>
      </c>
      <c r="Y615" t="s">
        <v>908</v>
      </c>
      <c r="Z615" t="s">
        <v>918</v>
      </c>
      <c r="AA615" t="s">
        <v>934</v>
      </c>
      <c r="AB615" t="s">
        <v>969</v>
      </c>
      <c r="AC615" t="s">
        <v>969</v>
      </c>
      <c r="AD615" t="s">
        <v>1170</v>
      </c>
      <c r="AE615" t="s">
        <v>927</v>
      </c>
      <c r="AF615">
        <f t="shared" si="18"/>
        <v>4.2</v>
      </c>
      <c r="AG615">
        <f t="shared" si="19"/>
        <v>4.2585000000000006</v>
      </c>
    </row>
    <row r="616" spans="1:33" x14ac:dyDescent="0.25">
      <c r="A616" t="s">
        <v>2652</v>
      </c>
      <c r="B616" t="s">
        <v>685</v>
      </c>
      <c r="C616" t="s">
        <v>1293</v>
      </c>
      <c r="D616" t="s">
        <v>974</v>
      </c>
      <c r="E616" t="s">
        <v>72</v>
      </c>
      <c r="F616" t="s">
        <v>1121</v>
      </c>
      <c r="G616" t="s">
        <v>928</v>
      </c>
      <c r="H616" t="s">
        <v>1002</v>
      </c>
      <c r="I616" t="s">
        <v>1195</v>
      </c>
      <c r="J616" t="s">
        <v>956</v>
      </c>
      <c r="K616" t="s">
        <v>1771</v>
      </c>
      <c r="L616" t="s">
        <v>1600</v>
      </c>
      <c r="M616" t="s">
        <v>1600</v>
      </c>
      <c r="N616" t="s">
        <v>927</v>
      </c>
      <c r="O616" t="s">
        <v>1195</v>
      </c>
      <c r="P616" t="s">
        <v>956</v>
      </c>
      <c r="Q616" t="s">
        <v>1771</v>
      </c>
      <c r="R616" t="s">
        <v>1771</v>
      </c>
      <c r="S616" t="s">
        <v>1065</v>
      </c>
      <c r="T616" t="s">
        <v>918</v>
      </c>
      <c r="U616" t="s">
        <v>1836</v>
      </c>
      <c r="V616" t="s">
        <v>1064</v>
      </c>
      <c r="W616" t="s">
        <v>993</v>
      </c>
      <c r="X616" t="s">
        <v>979</v>
      </c>
      <c r="Y616" t="s">
        <v>1065</v>
      </c>
      <c r="Z616" t="s">
        <v>1119</v>
      </c>
      <c r="AA616" t="s">
        <v>1094</v>
      </c>
      <c r="AB616" t="s">
        <v>991</v>
      </c>
      <c r="AC616" t="s">
        <v>1230</v>
      </c>
      <c r="AD616" t="s">
        <v>946</v>
      </c>
      <c r="AE616" t="s">
        <v>927</v>
      </c>
      <c r="AF616">
        <f t="shared" si="18"/>
        <v>3.1</v>
      </c>
      <c r="AG616" t="e">
        <f t="shared" si="19"/>
        <v>#VALUE!</v>
      </c>
    </row>
    <row r="617" spans="1:33" x14ac:dyDescent="0.25">
      <c r="A617" t="s">
        <v>2652</v>
      </c>
      <c r="B617" t="s">
        <v>685</v>
      </c>
      <c r="C617" t="s">
        <v>1293</v>
      </c>
      <c r="D617" t="s">
        <v>151</v>
      </c>
      <c r="E617" t="s">
        <v>72</v>
      </c>
      <c r="F617" t="s">
        <v>1083</v>
      </c>
      <c r="G617" t="s">
        <v>901</v>
      </c>
      <c r="H617" t="s">
        <v>1132</v>
      </c>
      <c r="I617" t="s">
        <v>1195</v>
      </c>
      <c r="J617" t="s">
        <v>1029</v>
      </c>
      <c r="K617" t="s">
        <v>1947</v>
      </c>
      <c r="L617" t="s">
        <v>1600</v>
      </c>
      <c r="M617" t="s">
        <v>1600</v>
      </c>
      <c r="N617" t="s">
        <v>927</v>
      </c>
      <c r="O617" t="s">
        <v>1195</v>
      </c>
      <c r="P617" t="s">
        <v>1029</v>
      </c>
      <c r="Q617" t="s">
        <v>1947</v>
      </c>
      <c r="R617" t="s">
        <v>1947</v>
      </c>
      <c r="S617" t="s">
        <v>1065</v>
      </c>
      <c r="T617" t="s">
        <v>987</v>
      </c>
      <c r="U617" t="s">
        <v>1696</v>
      </c>
      <c r="V617" t="s">
        <v>923</v>
      </c>
      <c r="W617" t="s">
        <v>1029</v>
      </c>
      <c r="X617" t="s">
        <v>1012</v>
      </c>
      <c r="Y617" t="s">
        <v>1094</v>
      </c>
      <c r="Z617" t="s">
        <v>1600</v>
      </c>
      <c r="AA617" t="s">
        <v>1094</v>
      </c>
      <c r="AB617" t="s">
        <v>1119</v>
      </c>
      <c r="AC617" t="s">
        <v>923</v>
      </c>
      <c r="AD617" t="s">
        <v>1135</v>
      </c>
      <c r="AE617" t="s">
        <v>927</v>
      </c>
      <c r="AF617">
        <f t="shared" si="18"/>
        <v>3.1</v>
      </c>
      <c r="AG617" t="e">
        <f t="shared" si="19"/>
        <v>#VALUE!</v>
      </c>
    </row>
    <row r="618" spans="1:33" x14ac:dyDescent="0.25">
      <c r="A618" t="s">
        <v>874</v>
      </c>
      <c r="B618" t="s">
        <v>171</v>
      </c>
      <c r="C618" t="s">
        <v>875</v>
      </c>
      <c r="D618" t="s">
        <v>172</v>
      </c>
      <c r="E618" t="s">
        <v>876</v>
      </c>
      <c r="F618" t="s">
        <v>392</v>
      </c>
      <c r="G618" t="s">
        <v>877</v>
      </c>
      <c r="H618" t="s">
        <v>878</v>
      </c>
      <c r="I618" t="s">
        <v>879</v>
      </c>
      <c r="J618" t="s">
        <v>880</v>
      </c>
      <c r="K618" t="s">
        <v>881</v>
      </c>
      <c r="L618" t="s">
        <v>882</v>
      </c>
      <c r="M618" t="s">
        <v>883</v>
      </c>
      <c r="N618" t="s">
        <v>884</v>
      </c>
      <c r="O618" t="s">
        <v>885</v>
      </c>
      <c r="P618" t="s">
        <v>886</v>
      </c>
      <c r="Q618" t="s">
        <v>887</v>
      </c>
      <c r="R618" t="s">
        <v>888</v>
      </c>
      <c r="S618" t="s">
        <v>889</v>
      </c>
      <c r="T618" t="s">
        <v>890</v>
      </c>
      <c r="U618" t="s">
        <v>891</v>
      </c>
      <c r="V618" t="s">
        <v>892</v>
      </c>
      <c r="W618" t="s">
        <v>893</v>
      </c>
      <c r="X618" t="s">
        <v>894</v>
      </c>
      <c r="Y618" t="s">
        <v>895</v>
      </c>
      <c r="Z618" t="s">
        <v>896</v>
      </c>
      <c r="AA618" t="s">
        <v>897</v>
      </c>
      <c r="AB618" t="s">
        <v>898</v>
      </c>
      <c r="AC618" t="s">
        <v>93</v>
      </c>
      <c r="AD618" t="s">
        <v>899</v>
      </c>
      <c r="AE618" t="s">
        <v>900</v>
      </c>
      <c r="AF618" t="e">
        <f t="shared" si="18"/>
        <v>#VALUE!</v>
      </c>
      <c r="AG618" t="e">
        <f t="shared" si="19"/>
        <v>#VALUE!</v>
      </c>
    </row>
    <row r="619" spans="1:33" x14ac:dyDescent="0.25">
      <c r="A619" t="s">
        <v>2652</v>
      </c>
      <c r="B619" t="s">
        <v>685</v>
      </c>
      <c r="C619" t="s">
        <v>1293</v>
      </c>
      <c r="D619" t="s">
        <v>83</v>
      </c>
      <c r="E619" t="s">
        <v>72</v>
      </c>
      <c r="F619" t="s">
        <v>949</v>
      </c>
      <c r="G619" t="s">
        <v>901</v>
      </c>
      <c r="H619" t="s">
        <v>932</v>
      </c>
      <c r="I619" t="s">
        <v>1195</v>
      </c>
      <c r="J619" t="s">
        <v>1135</v>
      </c>
      <c r="K619" t="s">
        <v>1297</v>
      </c>
      <c r="L619" t="s">
        <v>1600</v>
      </c>
      <c r="M619" t="s">
        <v>1600</v>
      </c>
      <c r="N619" t="s">
        <v>927</v>
      </c>
      <c r="O619" t="s">
        <v>1195</v>
      </c>
      <c r="P619" t="s">
        <v>1135</v>
      </c>
      <c r="Q619" t="s">
        <v>1297</v>
      </c>
      <c r="R619" t="s">
        <v>1297</v>
      </c>
      <c r="S619" t="s">
        <v>1008</v>
      </c>
      <c r="T619" t="s">
        <v>1195</v>
      </c>
      <c r="U619" t="s">
        <v>1131</v>
      </c>
      <c r="V619" t="s">
        <v>1195</v>
      </c>
      <c r="W619" t="s">
        <v>957</v>
      </c>
      <c r="X619" t="s">
        <v>1063</v>
      </c>
      <c r="Y619" t="s">
        <v>923</v>
      </c>
      <c r="Z619" t="s">
        <v>1094</v>
      </c>
      <c r="AA619" t="s">
        <v>1094</v>
      </c>
      <c r="AB619" t="s">
        <v>923</v>
      </c>
      <c r="AC619" t="s">
        <v>947</v>
      </c>
      <c r="AD619" t="s">
        <v>970</v>
      </c>
      <c r="AE619" t="s">
        <v>927</v>
      </c>
      <c r="AF619">
        <f t="shared" si="18"/>
        <v>3.3</v>
      </c>
      <c r="AG619" t="e">
        <f t="shared" si="19"/>
        <v>#VALUE!</v>
      </c>
    </row>
    <row r="620" spans="1:33" x14ac:dyDescent="0.25">
      <c r="A620" t="s">
        <v>2653</v>
      </c>
      <c r="B620" t="s">
        <v>2654</v>
      </c>
      <c r="C620" t="s">
        <v>929</v>
      </c>
      <c r="D620" t="s">
        <v>142</v>
      </c>
      <c r="E620" t="s">
        <v>63</v>
      </c>
      <c r="F620" t="s">
        <v>1444</v>
      </c>
      <c r="G620" t="s">
        <v>949</v>
      </c>
      <c r="H620" t="s">
        <v>960</v>
      </c>
      <c r="I620" t="s">
        <v>1064</v>
      </c>
      <c r="J620" t="s">
        <v>1104</v>
      </c>
      <c r="K620" t="s">
        <v>1111</v>
      </c>
      <c r="L620" t="s">
        <v>987</v>
      </c>
      <c r="M620" t="s">
        <v>908</v>
      </c>
      <c r="N620" t="s">
        <v>1100</v>
      </c>
      <c r="O620" t="s">
        <v>1094</v>
      </c>
      <c r="P620" t="s">
        <v>1008</v>
      </c>
      <c r="Q620" t="s">
        <v>1099</v>
      </c>
      <c r="R620" t="s">
        <v>907</v>
      </c>
      <c r="S620" t="s">
        <v>1119</v>
      </c>
      <c r="T620" t="s">
        <v>1094</v>
      </c>
      <c r="U620" t="s">
        <v>1494</v>
      </c>
      <c r="V620" t="s">
        <v>991</v>
      </c>
      <c r="W620" t="s">
        <v>918</v>
      </c>
      <c r="X620" t="s">
        <v>1195</v>
      </c>
      <c r="Y620" t="s">
        <v>969</v>
      </c>
      <c r="Z620" t="s">
        <v>1065</v>
      </c>
      <c r="AA620" t="s">
        <v>1094</v>
      </c>
      <c r="AB620" t="s">
        <v>991</v>
      </c>
      <c r="AC620" t="s">
        <v>918</v>
      </c>
      <c r="AD620" t="s">
        <v>1135</v>
      </c>
      <c r="AE620" t="s">
        <v>927</v>
      </c>
      <c r="AF620">
        <f t="shared" si="18"/>
        <v>3.1000000000000005</v>
      </c>
      <c r="AG620">
        <f t="shared" si="19"/>
        <v>3.0742999999999996</v>
      </c>
    </row>
    <row r="621" spans="1:33" x14ac:dyDescent="0.25">
      <c r="A621" t="s">
        <v>2655</v>
      </c>
      <c r="B621" t="s">
        <v>2656</v>
      </c>
      <c r="C621" t="s">
        <v>1355</v>
      </c>
      <c r="D621" t="s">
        <v>151</v>
      </c>
      <c r="E621" t="s">
        <v>93</v>
      </c>
      <c r="F621" t="s">
        <v>1164</v>
      </c>
      <c r="G621" t="s">
        <v>972</v>
      </c>
      <c r="H621" t="s">
        <v>937</v>
      </c>
      <c r="I621" t="s">
        <v>1064</v>
      </c>
      <c r="J621" t="s">
        <v>1104</v>
      </c>
      <c r="K621" t="s">
        <v>1683</v>
      </c>
      <c r="L621" t="s">
        <v>991</v>
      </c>
      <c r="M621" t="s">
        <v>1230</v>
      </c>
      <c r="N621" t="s">
        <v>2657</v>
      </c>
      <c r="O621" t="s">
        <v>1008</v>
      </c>
      <c r="P621" t="s">
        <v>1230</v>
      </c>
      <c r="Q621" t="s">
        <v>1091</v>
      </c>
      <c r="R621" t="s">
        <v>1440</v>
      </c>
      <c r="S621" t="s">
        <v>1065</v>
      </c>
      <c r="T621" t="s">
        <v>969</v>
      </c>
      <c r="U621" t="s">
        <v>1972</v>
      </c>
      <c r="V621" t="s">
        <v>1008</v>
      </c>
      <c r="W621" t="s">
        <v>908</v>
      </c>
      <c r="X621" t="s">
        <v>1104</v>
      </c>
      <c r="Y621" t="s">
        <v>1195</v>
      </c>
      <c r="Z621" t="s">
        <v>1094</v>
      </c>
      <c r="AA621" t="s">
        <v>1065</v>
      </c>
      <c r="AB621" t="s">
        <v>1008</v>
      </c>
      <c r="AC621" t="s">
        <v>1049</v>
      </c>
      <c r="AD621" t="s">
        <v>1135</v>
      </c>
      <c r="AE621" t="s">
        <v>927</v>
      </c>
      <c r="AF621">
        <f t="shared" si="18"/>
        <v>3.1000000000000005</v>
      </c>
      <c r="AG621">
        <f t="shared" si="19"/>
        <v>3.0009999999999999</v>
      </c>
    </row>
    <row r="622" spans="1:33" x14ac:dyDescent="0.25">
      <c r="A622" t="s">
        <v>2658</v>
      </c>
      <c r="B622" t="s">
        <v>2659</v>
      </c>
      <c r="C622" t="s">
        <v>902</v>
      </c>
      <c r="D622" t="s">
        <v>95</v>
      </c>
      <c r="E622" t="s">
        <v>63</v>
      </c>
      <c r="F622" t="s">
        <v>928</v>
      </c>
      <c r="G622" t="s">
        <v>1717</v>
      </c>
      <c r="H622" t="s">
        <v>1450</v>
      </c>
      <c r="I622" t="s">
        <v>923</v>
      </c>
      <c r="J622" t="s">
        <v>920</v>
      </c>
      <c r="K622" t="s">
        <v>2251</v>
      </c>
      <c r="L622" t="s">
        <v>1065</v>
      </c>
      <c r="M622" t="s">
        <v>956</v>
      </c>
      <c r="N622" t="s">
        <v>2152</v>
      </c>
      <c r="O622" t="s">
        <v>1065</v>
      </c>
      <c r="P622" t="s">
        <v>1135</v>
      </c>
      <c r="Q622" t="s">
        <v>2388</v>
      </c>
      <c r="R622" t="s">
        <v>2152</v>
      </c>
      <c r="S622" t="s">
        <v>1065</v>
      </c>
      <c r="T622" t="s">
        <v>923</v>
      </c>
      <c r="U622" t="s">
        <v>1131</v>
      </c>
      <c r="V622" t="s">
        <v>956</v>
      </c>
      <c r="W622" t="s">
        <v>956</v>
      </c>
      <c r="X622" t="s">
        <v>1228</v>
      </c>
      <c r="Y622" t="s">
        <v>1065</v>
      </c>
      <c r="Z622" t="s">
        <v>923</v>
      </c>
      <c r="AA622" t="s">
        <v>1600</v>
      </c>
      <c r="AB622" t="s">
        <v>923</v>
      </c>
      <c r="AC622" t="s">
        <v>1600</v>
      </c>
      <c r="AD622" t="s">
        <v>1135</v>
      </c>
      <c r="AE622" t="s">
        <v>927</v>
      </c>
      <c r="AF622">
        <f t="shared" si="18"/>
        <v>3</v>
      </c>
      <c r="AG622">
        <f t="shared" si="19"/>
        <v>3.0019999999999998</v>
      </c>
    </row>
    <row r="623" spans="1:33" x14ac:dyDescent="0.25">
      <c r="A623" t="s">
        <v>2660</v>
      </c>
      <c r="B623" t="s">
        <v>2661</v>
      </c>
      <c r="C623" t="s">
        <v>1238</v>
      </c>
      <c r="D623" t="s">
        <v>95</v>
      </c>
      <c r="E623" t="s">
        <v>63</v>
      </c>
      <c r="F623" t="s">
        <v>1085</v>
      </c>
      <c r="G623" t="s">
        <v>1717</v>
      </c>
      <c r="H623" t="s">
        <v>916</v>
      </c>
      <c r="I623" t="s">
        <v>1064</v>
      </c>
      <c r="J623" t="s">
        <v>1220</v>
      </c>
      <c r="K623" t="s">
        <v>1619</v>
      </c>
      <c r="L623" t="s">
        <v>1094</v>
      </c>
      <c r="M623" t="s">
        <v>1064</v>
      </c>
      <c r="N623" t="s">
        <v>1470</v>
      </c>
      <c r="O623" t="s">
        <v>987</v>
      </c>
      <c r="P623" t="s">
        <v>1029</v>
      </c>
      <c r="Q623" t="s">
        <v>1283</v>
      </c>
      <c r="R623" t="s">
        <v>1364</v>
      </c>
      <c r="S623" t="s">
        <v>991</v>
      </c>
      <c r="T623" t="s">
        <v>969</v>
      </c>
      <c r="U623" t="s">
        <v>1007</v>
      </c>
      <c r="V623" t="s">
        <v>1065</v>
      </c>
      <c r="W623" t="s">
        <v>987</v>
      </c>
      <c r="X623" t="s">
        <v>1195</v>
      </c>
      <c r="Y623" t="s">
        <v>1065</v>
      </c>
      <c r="Z623" t="s">
        <v>1094</v>
      </c>
      <c r="AA623" t="s">
        <v>1119</v>
      </c>
      <c r="AB623" t="s">
        <v>969</v>
      </c>
      <c r="AC623" t="s">
        <v>1008</v>
      </c>
      <c r="AD623" t="s">
        <v>1135</v>
      </c>
      <c r="AE623" t="s">
        <v>927</v>
      </c>
      <c r="AF623">
        <f t="shared" si="18"/>
        <v>2.9</v>
      </c>
      <c r="AG623">
        <f t="shared" si="19"/>
        <v>2.9737000000000005</v>
      </c>
    </row>
    <row r="624" spans="1:33" x14ac:dyDescent="0.25">
      <c r="A624" t="s">
        <v>2662</v>
      </c>
      <c r="B624" t="s">
        <v>422</v>
      </c>
      <c r="C624" t="s">
        <v>1390</v>
      </c>
      <c r="D624" t="s">
        <v>129</v>
      </c>
      <c r="E624" t="s">
        <v>47</v>
      </c>
      <c r="F624" t="s">
        <v>949</v>
      </c>
      <c r="G624" t="s">
        <v>901</v>
      </c>
      <c r="H624" t="s">
        <v>1473</v>
      </c>
      <c r="I624" t="s">
        <v>923</v>
      </c>
      <c r="J624" t="s">
        <v>947</v>
      </c>
      <c r="K624" t="s">
        <v>1729</v>
      </c>
      <c r="L624" t="s">
        <v>923</v>
      </c>
      <c r="M624" t="s">
        <v>956</v>
      </c>
      <c r="N624" t="s">
        <v>1131</v>
      </c>
      <c r="O624" t="s">
        <v>1600</v>
      </c>
      <c r="P624" t="s">
        <v>1094</v>
      </c>
      <c r="Q624" t="s">
        <v>1646</v>
      </c>
      <c r="R624" t="s">
        <v>2663</v>
      </c>
      <c r="S624" t="s">
        <v>1600</v>
      </c>
      <c r="T624" t="s">
        <v>1600</v>
      </c>
      <c r="U624" t="s">
        <v>927</v>
      </c>
      <c r="V624" t="s">
        <v>1195</v>
      </c>
      <c r="W624" t="s">
        <v>1195</v>
      </c>
      <c r="X624" t="s">
        <v>1220</v>
      </c>
      <c r="Y624" t="s">
        <v>1600</v>
      </c>
      <c r="Z624" t="s">
        <v>1094</v>
      </c>
      <c r="AA624" t="s">
        <v>1094</v>
      </c>
      <c r="AB624" t="s">
        <v>1094</v>
      </c>
      <c r="AC624" t="s">
        <v>1220</v>
      </c>
      <c r="AD624" t="s">
        <v>1135</v>
      </c>
      <c r="AE624" t="s">
        <v>927</v>
      </c>
      <c r="AF624">
        <f t="shared" si="18"/>
        <v>3</v>
      </c>
      <c r="AG624" t="e">
        <f t="shared" si="19"/>
        <v>#VALUE!</v>
      </c>
    </row>
    <row r="625" spans="1:33" x14ac:dyDescent="0.25">
      <c r="A625" t="s">
        <v>2664</v>
      </c>
      <c r="B625" t="s">
        <v>2665</v>
      </c>
      <c r="C625" t="s">
        <v>1084</v>
      </c>
      <c r="D625" t="s">
        <v>974</v>
      </c>
      <c r="E625" t="s">
        <v>93</v>
      </c>
      <c r="F625" t="s">
        <v>1147</v>
      </c>
      <c r="G625" t="s">
        <v>901</v>
      </c>
      <c r="H625" t="s">
        <v>941</v>
      </c>
      <c r="I625" t="s">
        <v>1064</v>
      </c>
      <c r="J625" t="s">
        <v>993</v>
      </c>
      <c r="K625" t="s">
        <v>1018</v>
      </c>
      <c r="L625" t="s">
        <v>1008</v>
      </c>
      <c r="M625" t="s">
        <v>968</v>
      </c>
      <c r="N625" t="s">
        <v>910</v>
      </c>
      <c r="O625" t="s">
        <v>991</v>
      </c>
      <c r="P625" t="s">
        <v>969</v>
      </c>
      <c r="Q625" t="s">
        <v>1842</v>
      </c>
      <c r="R625" t="s">
        <v>1374</v>
      </c>
      <c r="S625" t="s">
        <v>1119</v>
      </c>
      <c r="T625" t="s">
        <v>934</v>
      </c>
      <c r="U625" t="s">
        <v>1131</v>
      </c>
      <c r="V625" t="s">
        <v>991</v>
      </c>
      <c r="W625" t="s">
        <v>945</v>
      </c>
      <c r="X625" t="s">
        <v>1029</v>
      </c>
      <c r="Y625" t="s">
        <v>987</v>
      </c>
      <c r="Z625" t="s">
        <v>934</v>
      </c>
      <c r="AA625" t="s">
        <v>934</v>
      </c>
      <c r="AB625" t="s">
        <v>1094</v>
      </c>
      <c r="AC625" t="s">
        <v>1195</v>
      </c>
      <c r="AD625" t="s">
        <v>964</v>
      </c>
      <c r="AE625" t="s">
        <v>927</v>
      </c>
      <c r="AF625">
        <f t="shared" si="18"/>
        <v>3</v>
      </c>
      <c r="AG625">
        <f t="shared" si="19"/>
        <v>3.0000000000000004</v>
      </c>
    </row>
    <row r="626" spans="1:33" x14ac:dyDescent="0.25">
      <c r="A626" t="s">
        <v>2664</v>
      </c>
      <c r="B626" t="s">
        <v>2665</v>
      </c>
      <c r="C626" t="s">
        <v>1084</v>
      </c>
      <c r="D626" t="s">
        <v>108</v>
      </c>
      <c r="E626" t="s">
        <v>72</v>
      </c>
      <c r="F626" t="s">
        <v>1067</v>
      </c>
      <c r="G626" t="s">
        <v>1717</v>
      </c>
      <c r="H626" t="s">
        <v>943</v>
      </c>
      <c r="I626" t="s">
        <v>1008</v>
      </c>
      <c r="J626" t="s">
        <v>908</v>
      </c>
      <c r="K626" t="s">
        <v>1666</v>
      </c>
      <c r="L626" t="s">
        <v>969</v>
      </c>
      <c r="M626" t="s">
        <v>922</v>
      </c>
      <c r="N626" t="s">
        <v>1666</v>
      </c>
      <c r="O626" t="s">
        <v>1119</v>
      </c>
      <c r="P626" t="s">
        <v>991</v>
      </c>
      <c r="Q626" t="s">
        <v>1666</v>
      </c>
      <c r="R626" t="s">
        <v>1682</v>
      </c>
      <c r="S626" t="s">
        <v>1119</v>
      </c>
      <c r="T626" t="s">
        <v>1094</v>
      </c>
      <c r="U626" t="s">
        <v>1131</v>
      </c>
      <c r="V626" t="s">
        <v>1094</v>
      </c>
      <c r="W626" t="s">
        <v>1064</v>
      </c>
      <c r="X626" t="s">
        <v>1230</v>
      </c>
      <c r="Y626" t="s">
        <v>991</v>
      </c>
      <c r="Z626" t="s">
        <v>1119</v>
      </c>
      <c r="AA626" t="s">
        <v>1600</v>
      </c>
      <c r="AB626" t="s">
        <v>1600</v>
      </c>
      <c r="AC626" t="s">
        <v>1230</v>
      </c>
      <c r="AD626" t="s">
        <v>908</v>
      </c>
      <c r="AE626" t="s">
        <v>927</v>
      </c>
      <c r="AF626">
        <f t="shared" si="18"/>
        <v>2.0999999999999996</v>
      </c>
      <c r="AG626">
        <f t="shared" si="19"/>
        <v>2.1147</v>
      </c>
    </row>
    <row r="627" spans="1:33" x14ac:dyDescent="0.25">
      <c r="A627" t="s">
        <v>2664</v>
      </c>
      <c r="B627" t="s">
        <v>2665</v>
      </c>
      <c r="C627" t="s">
        <v>1084</v>
      </c>
      <c r="D627" t="s">
        <v>105</v>
      </c>
      <c r="E627" t="s">
        <v>93</v>
      </c>
      <c r="F627" t="s">
        <v>1051</v>
      </c>
      <c r="G627" t="s">
        <v>901</v>
      </c>
      <c r="H627" t="s">
        <v>1207</v>
      </c>
      <c r="I627" t="s">
        <v>1310</v>
      </c>
      <c r="J627" t="s">
        <v>1104</v>
      </c>
      <c r="K627" t="s">
        <v>1352</v>
      </c>
      <c r="L627" t="s">
        <v>987</v>
      </c>
      <c r="M627" t="s">
        <v>956</v>
      </c>
      <c r="N627" t="s">
        <v>958</v>
      </c>
      <c r="O627" t="s">
        <v>1008</v>
      </c>
      <c r="P627" t="s">
        <v>987</v>
      </c>
      <c r="Q627" t="s">
        <v>963</v>
      </c>
      <c r="R627" t="s">
        <v>2186</v>
      </c>
      <c r="S627" t="s">
        <v>1600</v>
      </c>
      <c r="T627" t="s">
        <v>1600</v>
      </c>
      <c r="U627" t="s">
        <v>927</v>
      </c>
      <c r="V627" t="s">
        <v>1065</v>
      </c>
      <c r="W627" t="s">
        <v>1195</v>
      </c>
      <c r="X627" t="s">
        <v>968</v>
      </c>
      <c r="Y627" t="s">
        <v>945</v>
      </c>
      <c r="Z627" t="s">
        <v>934</v>
      </c>
      <c r="AA627" t="s">
        <v>1094</v>
      </c>
      <c r="AB627" t="s">
        <v>1008</v>
      </c>
      <c r="AC627" t="s">
        <v>945</v>
      </c>
      <c r="AD627" t="s">
        <v>1155</v>
      </c>
      <c r="AE627" t="s">
        <v>927</v>
      </c>
      <c r="AF627">
        <f t="shared" si="18"/>
        <v>3.8000000000000003</v>
      </c>
      <c r="AG627" t="e">
        <f t="shared" si="19"/>
        <v>#VALUE!</v>
      </c>
    </row>
    <row r="628" spans="1:33" x14ac:dyDescent="0.25">
      <c r="A628" t="s">
        <v>2666</v>
      </c>
      <c r="B628" t="s">
        <v>2667</v>
      </c>
      <c r="C628" t="s">
        <v>902</v>
      </c>
      <c r="D628" t="s">
        <v>121</v>
      </c>
      <c r="E628" t="s">
        <v>56</v>
      </c>
      <c r="F628" t="s">
        <v>1245</v>
      </c>
      <c r="G628" t="s">
        <v>1717</v>
      </c>
      <c r="H628" t="s">
        <v>916</v>
      </c>
      <c r="I628" t="s">
        <v>1195</v>
      </c>
      <c r="J628" t="s">
        <v>1048</v>
      </c>
      <c r="K628" t="s">
        <v>1373</v>
      </c>
      <c r="L628" t="s">
        <v>934</v>
      </c>
      <c r="M628" t="s">
        <v>991</v>
      </c>
      <c r="N628" t="s">
        <v>1131</v>
      </c>
      <c r="O628" t="s">
        <v>1064</v>
      </c>
      <c r="P628" t="s">
        <v>1104</v>
      </c>
      <c r="Q628" t="s">
        <v>1704</v>
      </c>
      <c r="R628" t="s">
        <v>1168</v>
      </c>
      <c r="S628" t="s">
        <v>1600</v>
      </c>
      <c r="T628" t="s">
        <v>1600</v>
      </c>
      <c r="U628" t="s">
        <v>2146</v>
      </c>
      <c r="V628" t="s">
        <v>1094</v>
      </c>
      <c r="W628" t="s">
        <v>1008</v>
      </c>
      <c r="X628" t="s">
        <v>923</v>
      </c>
      <c r="Y628" t="s">
        <v>1195</v>
      </c>
      <c r="Z628" t="s">
        <v>1065</v>
      </c>
      <c r="AA628" t="s">
        <v>1119</v>
      </c>
      <c r="AB628" t="s">
        <v>1008</v>
      </c>
      <c r="AC628" t="s">
        <v>969</v>
      </c>
      <c r="AD628" t="s">
        <v>964</v>
      </c>
      <c r="AE628" t="s">
        <v>927</v>
      </c>
      <c r="AF628">
        <f t="shared" si="18"/>
        <v>2.8000000000000003</v>
      </c>
      <c r="AG628">
        <f t="shared" si="19"/>
        <v>2.8792</v>
      </c>
    </row>
    <row r="629" spans="1:33" x14ac:dyDescent="0.25">
      <c r="A629" t="s">
        <v>2668</v>
      </c>
      <c r="B629" t="s">
        <v>2669</v>
      </c>
      <c r="C629" t="s">
        <v>1390</v>
      </c>
      <c r="D629" t="s">
        <v>1149</v>
      </c>
      <c r="E629" t="s">
        <v>72</v>
      </c>
      <c r="F629" t="s">
        <v>1376</v>
      </c>
      <c r="G629" t="s">
        <v>1121</v>
      </c>
      <c r="H629" t="s">
        <v>1368</v>
      </c>
      <c r="I629" t="s">
        <v>1195</v>
      </c>
      <c r="J629" t="s">
        <v>1012</v>
      </c>
      <c r="K629" t="s">
        <v>1451</v>
      </c>
      <c r="L629" t="s">
        <v>1600</v>
      </c>
      <c r="M629" t="s">
        <v>1119</v>
      </c>
      <c r="N629" t="s">
        <v>1131</v>
      </c>
      <c r="O629" t="s">
        <v>945</v>
      </c>
      <c r="P629" t="s">
        <v>993</v>
      </c>
      <c r="Q629" t="s">
        <v>1451</v>
      </c>
      <c r="R629" t="s">
        <v>1131</v>
      </c>
      <c r="S629" t="s">
        <v>1094</v>
      </c>
      <c r="T629" t="s">
        <v>1065</v>
      </c>
      <c r="U629" t="s">
        <v>1836</v>
      </c>
      <c r="V629" t="s">
        <v>1230</v>
      </c>
      <c r="W629" t="s">
        <v>1049</v>
      </c>
      <c r="X629" t="s">
        <v>1048</v>
      </c>
      <c r="Y629" t="s">
        <v>969</v>
      </c>
      <c r="Z629" t="s">
        <v>934</v>
      </c>
      <c r="AA629" t="s">
        <v>1065</v>
      </c>
      <c r="AB629" t="s">
        <v>1008</v>
      </c>
      <c r="AC629" t="s">
        <v>1310</v>
      </c>
      <c r="AD629" t="s">
        <v>964</v>
      </c>
      <c r="AE629" t="s">
        <v>927</v>
      </c>
      <c r="AF629">
        <f t="shared" si="18"/>
        <v>2.9</v>
      </c>
      <c r="AG629">
        <f t="shared" si="19"/>
        <v>2.9249999999999998</v>
      </c>
    </row>
    <row r="630" spans="1:33" x14ac:dyDescent="0.25">
      <c r="A630" t="s">
        <v>2670</v>
      </c>
      <c r="B630" t="s">
        <v>2671</v>
      </c>
      <c r="C630" t="s">
        <v>1238</v>
      </c>
      <c r="D630" t="s">
        <v>105</v>
      </c>
      <c r="E630" t="s">
        <v>93</v>
      </c>
      <c r="F630" t="s">
        <v>1032</v>
      </c>
      <c r="G630" t="s">
        <v>1717</v>
      </c>
      <c r="H630" t="s">
        <v>1043</v>
      </c>
      <c r="I630" t="s">
        <v>923</v>
      </c>
      <c r="J630" t="s">
        <v>925</v>
      </c>
      <c r="K630" t="s">
        <v>1537</v>
      </c>
      <c r="L630" t="s">
        <v>969</v>
      </c>
      <c r="M630" t="s">
        <v>1195</v>
      </c>
      <c r="N630" t="s">
        <v>1784</v>
      </c>
      <c r="O630" t="s">
        <v>1065</v>
      </c>
      <c r="P630" t="s">
        <v>918</v>
      </c>
      <c r="Q630" t="s">
        <v>1442</v>
      </c>
      <c r="R630" t="s">
        <v>2233</v>
      </c>
      <c r="S630" t="s">
        <v>1094</v>
      </c>
      <c r="T630" t="s">
        <v>1094</v>
      </c>
      <c r="U630" t="s">
        <v>2049</v>
      </c>
      <c r="V630" t="s">
        <v>1094</v>
      </c>
      <c r="W630" t="s">
        <v>987</v>
      </c>
      <c r="X630" t="s">
        <v>1064</v>
      </c>
      <c r="Y630" t="s">
        <v>934</v>
      </c>
      <c r="Z630" t="s">
        <v>1119</v>
      </c>
      <c r="AA630" t="s">
        <v>934</v>
      </c>
      <c r="AB630" t="s">
        <v>1094</v>
      </c>
      <c r="AC630" t="s">
        <v>1065</v>
      </c>
      <c r="AD630" t="s">
        <v>964</v>
      </c>
      <c r="AE630" t="s">
        <v>927</v>
      </c>
      <c r="AF630">
        <f t="shared" si="18"/>
        <v>2.8999999999999995</v>
      </c>
      <c r="AG630">
        <f t="shared" si="19"/>
        <v>2.9037000000000006</v>
      </c>
    </row>
    <row r="631" spans="1:33" x14ac:dyDescent="0.25">
      <c r="A631" t="s">
        <v>2672</v>
      </c>
      <c r="B631" t="s">
        <v>2673</v>
      </c>
      <c r="C631" t="s">
        <v>1032</v>
      </c>
      <c r="D631" t="s">
        <v>170</v>
      </c>
      <c r="E631" t="s">
        <v>56</v>
      </c>
      <c r="F631" t="s">
        <v>1121</v>
      </c>
      <c r="G631" t="s">
        <v>1717</v>
      </c>
      <c r="H631" t="s">
        <v>921</v>
      </c>
      <c r="I631" t="s">
        <v>923</v>
      </c>
      <c r="J631" t="s">
        <v>1135</v>
      </c>
      <c r="K631" t="s">
        <v>1666</v>
      </c>
      <c r="L631" t="s">
        <v>1065</v>
      </c>
      <c r="M631" t="s">
        <v>1049</v>
      </c>
      <c r="N631" t="s">
        <v>1785</v>
      </c>
      <c r="O631" t="s">
        <v>1065</v>
      </c>
      <c r="P631" t="s">
        <v>1064</v>
      </c>
      <c r="Q631" t="s">
        <v>958</v>
      </c>
      <c r="R631" t="s">
        <v>2040</v>
      </c>
      <c r="S631" t="s">
        <v>934</v>
      </c>
      <c r="T631" t="s">
        <v>934</v>
      </c>
      <c r="U631" t="s">
        <v>2146</v>
      </c>
      <c r="V631" t="s">
        <v>934</v>
      </c>
      <c r="W631" t="s">
        <v>918</v>
      </c>
      <c r="X631" t="s">
        <v>1064</v>
      </c>
      <c r="Y631" t="s">
        <v>1195</v>
      </c>
      <c r="Z631" t="s">
        <v>969</v>
      </c>
      <c r="AA631" t="s">
        <v>934</v>
      </c>
      <c r="AB631" t="s">
        <v>1065</v>
      </c>
      <c r="AC631" t="s">
        <v>969</v>
      </c>
      <c r="AD631" t="s">
        <v>1220</v>
      </c>
      <c r="AE631" t="s">
        <v>927</v>
      </c>
      <c r="AF631">
        <f t="shared" si="18"/>
        <v>2.7</v>
      </c>
      <c r="AG631">
        <f t="shared" si="19"/>
        <v>2.7475999999999998</v>
      </c>
    </row>
    <row r="632" spans="1:33" x14ac:dyDescent="0.25">
      <c r="A632" t="s">
        <v>2674</v>
      </c>
      <c r="B632" t="s">
        <v>2675</v>
      </c>
      <c r="C632" t="s">
        <v>973</v>
      </c>
      <c r="D632" t="s">
        <v>70</v>
      </c>
      <c r="E632" t="s">
        <v>63</v>
      </c>
      <c r="F632" t="s">
        <v>1051</v>
      </c>
      <c r="G632" t="s">
        <v>1717</v>
      </c>
      <c r="H632" t="s">
        <v>909</v>
      </c>
      <c r="I632" t="s">
        <v>923</v>
      </c>
      <c r="J632" t="s">
        <v>947</v>
      </c>
      <c r="K632" t="s">
        <v>1729</v>
      </c>
      <c r="L632" t="s">
        <v>1065</v>
      </c>
      <c r="M632" t="s">
        <v>923</v>
      </c>
      <c r="N632" t="s">
        <v>1131</v>
      </c>
      <c r="O632" t="s">
        <v>1065</v>
      </c>
      <c r="P632" t="s">
        <v>1195</v>
      </c>
      <c r="Q632" t="s">
        <v>910</v>
      </c>
      <c r="R632" t="s">
        <v>984</v>
      </c>
      <c r="S632" t="s">
        <v>934</v>
      </c>
      <c r="T632" t="s">
        <v>1094</v>
      </c>
      <c r="U632" t="s">
        <v>1131</v>
      </c>
      <c r="V632" t="s">
        <v>934</v>
      </c>
      <c r="W632" t="s">
        <v>1008</v>
      </c>
      <c r="X632" t="s">
        <v>987</v>
      </c>
      <c r="Y632" t="s">
        <v>1008</v>
      </c>
      <c r="Z632" t="s">
        <v>934</v>
      </c>
      <c r="AA632" t="s">
        <v>1600</v>
      </c>
      <c r="AB632" t="s">
        <v>1094</v>
      </c>
      <c r="AC632" t="s">
        <v>934</v>
      </c>
      <c r="AD632" t="s">
        <v>1220</v>
      </c>
      <c r="AE632" t="s">
        <v>927</v>
      </c>
      <c r="AF632">
        <f t="shared" si="18"/>
        <v>2.7</v>
      </c>
      <c r="AG632">
        <f t="shared" si="19"/>
        <v>2.6249999999999996</v>
      </c>
    </row>
    <row r="633" spans="1:33" x14ac:dyDescent="0.25">
      <c r="A633" t="s">
        <v>2676</v>
      </c>
      <c r="B633" t="s">
        <v>2677</v>
      </c>
      <c r="C633" t="s">
        <v>1032</v>
      </c>
      <c r="D633" t="s">
        <v>133</v>
      </c>
      <c r="E633" t="s">
        <v>47</v>
      </c>
      <c r="F633" t="s">
        <v>1202</v>
      </c>
      <c r="G633" t="s">
        <v>1717</v>
      </c>
      <c r="H633" t="s">
        <v>1059</v>
      </c>
      <c r="I633" t="s">
        <v>1064</v>
      </c>
      <c r="J633" t="s">
        <v>1029</v>
      </c>
      <c r="K633" t="s">
        <v>1488</v>
      </c>
      <c r="L633" t="s">
        <v>934</v>
      </c>
      <c r="M633" t="s">
        <v>991</v>
      </c>
      <c r="N633" t="s">
        <v>1729</v>
      </c>
      <c r="O633" t="s">
        <v>918</v>
      </c>
      <c r="P633" t="s">
        <v>945</v>
      </c>
      <c r="Q633" t="s">
        <v>1382</v>
      </c>
      <c r="R633" t="s">
        <v>2049</v>
      </c>
      <c r="S633" t="s">
        <v>1094</v>
      </c>
      <c r="T633" t="s">
        <v>969</v>
      </c>
      <c r="U633" t="s">
        <v>1297</v>
      </c>
      <c r="V633" t="s">
        <v>991</v>
      </c>
      <c r="W633" t="s">
        <v>1230</v>
      </c>
      <c r="X633" t="s">
        <v>968</v>
      </c>
      <c r="Y633" t="s">
        <v>1094</v>
      </c>
      <c r="Z633" t="s">
        <v>1094</v>
      </c>
      <c r="AA633" t="s">
        <v>1094</v>
      </c>
      <c r="AB633" t="s">
        <v>1094</v>
      </c>
      <c r="AC633" t="s">
        <v>1008</v>
      </c>
      <c r="AD633" t="s">
        <v>1220</v>
      </c>
      <c r="AE633" t="s">
        <v>927</v>
      </c>
      <c r="AF633">
        <f t="shared" si="18"/>
        <v>2.7</v>
      </c>
      <c r="AG633">
        <f t="shared" si="19"/>
        <v>2.6748000000000003</v>
      </c>
    </row>
    <row r="634" spans="1:33" x14ac:dyDescent="0.25">
      <c r="A634" t="s">
        <v>2678</v>
      </c>
      <c r="B634" t="s">
        <v>2679</v>
      </c>
      <c r="C634" t="s">
        <v>1032</v>
      </c>
      <c r="D634" t="s">
        <v>974</v>
      </c>
      <c r="E634" t="s">
        <v>56</v>
      </c>
      <c r="F634" t="s">
        <v>1068</v>
      </c>
      <c r="G634" t="s">
        <v>972</v>
      </c>
      <c r="H634" t="s">
        <v>1658</v>
      </c>
      <c r="I634" t="s">
        <v>923</v>
      </c>
      <c r="J634" t="s">
        <v>1135</v>
      </c>
      <c r="K634" t="s">
        <v>2069</v>
      </c>
      <c r="L634" t="s">
        <v>934</v>
      </c>
      <c r="M634" t="s">
        <v>1064</v>
      </c>
      <c r="N634" t="s">
        <v>2680</v>
      </c>
      <c r="O634" t="s">
        <v>987</v>
      </c>
      <c r="P634" t="s">
        <v>1049</v>
      </c>
      <c r="Q634" t="s">
        <v>1373</v>
      </c>
      <c r="R634" t="s">
        <v>1556</v>
      </c>
      <c r="S634" t="s">
        <v>991</v>
      </c>
      <c r="T634" t="s">
        <v>969</v>
      </c>
      <c r="U634" t="s">
        <v>1972</v>
      </c>
      <c r="V634" t="s">
        <v>991</v>
      </c>
      <c r="W634" t="s">
        <v>1008</v>
      </c>
      <c r="X634" t="s">
        <v>1064</v>
      </c>
      <c r="Y634" t="s">
        <v>968</v>
      </c>
      <c r="Z634" t="s">
        <v>918</v>
      </c>
      <c r="AA634" t="s">
        <v>1119</v>
      </c>
      <c r="AB634" t="s">
        <v>969</v>
      </c>
      <c r="AC634" t="s">
        <v>923</v>
      </c>
      <c r="AD634" t="s">
        <v>1012</v>
      </c>
      <c r="AE634" t="s">
        <v>927</v>
      </c>
      <c r="AF634">
        <f t="shared" si="18"/>
        <v>2.6</v>
      </c>
      <c r="AG634">
        <f t="shared" si="19"/>
        <v>2.6230999999999995</v>
      </c>
    </row>
    <row r="635" spans="1:33" x14ac:dyDescent="0.25">
      <c r="A635" t="s">
        <v>2678</v>
      </c>
      <c r="B635" t="s">
        <v>2679</v>
      </c>
      <c r="C635" t="s">
        <v>1032</v>
      </c>
      <c r="D635" t="s">
        <v>1223</v>
      </c>
      <c r="E635" t="s">
        <v>56</v>
      </c>
      <c r="F635" t="s">
        <v>928</v>
      </c>
      <c r="G635" t="s">
        <v>1717</v>
      </c>
      <c r="H635" t="s">
        <v>956</v>
      </c>
      <c r="I635" t="s">
        <v>1065</v>
      </c>
      <c r="J635" t="s">
        <v>1065</v>
      </c>
      <c r="K635" t="s">
        <v>2146</v>
      </c>
      <c r="L635" t="s">
        <v>1600</v>
      </c>
      <c r="M635" t="s">
        <v>1600</v>
      </c>
      <c r="N635" t="s">
        <v>927</v>
      </c>
      <c r="O635" t="s">
        <v>1065</v>
      </c>
      <c r="P635" t="s">
        <v>1065</v>
      </c>
      <c r="Q635" t="s">
        <v>2146</v>
      </c>
      <c r="R635" t="s">
        <v>2146</v>
      </c>
      <c r="S635" t="s">
        <v>1600</v>
      </c>
      <c r="T635" t="s">
        <v>1600</v>
      </c>
      <c r="U635" t="s">
        <v>927</v>
      </c>
      <c r="V635" t="s">
        <v>1065</v>
      </c>
      <c r="W635" t="s">
        <v>1600</v>
      </c>
      <c r="X635" t="s">
        <v>1065</v>
      </c>
      <c r="Y635" t="s">
        <v>1065</v>
      </c>
      <c r="Z635" t="s">
        <v>1065</v>
      </c>
      <c r="AA635" t="s">
        <v>1600</v>
      </c>
      <c r="AB635" t="s">
        <v>1600</v>
      </c>
      <c r="AC635" t="s">
        <v>1065</v>
      </c>
      <c r="AD635" t="s">
        <v>923</v>
      </c>
      <c r="AE635" t="s">
        <v>927</v>
      </c>
      <c r="AF635">
        <f t="shared" si="18"/>
        <v>1</v>
      </c>
      <c r="AG635" t="e">
        <f t="shared" si="19"/>
        <v>#VALUE!</v>
      </c>
    </row>
    <row r="636" spans="1:33" x14ac:dyDescent="0.25">
      <c r="A636" t="s">
        <v>2678</v>
      </c>
      <c r="B636" t="s">
        <v>2679</v>
      </c>
      <c r="C636" t="s">
        <v>1032</v>
      </c>
      <c r="D636" t="s">
        <v>1279</v>
      </c>
      <c r="E636" t="s">
        <v>56</v>
      </c>
      <c r="F636" t="s">
        <v>1164</v>
      </c>
      <c r="G636" t="s">
        <v>972</v>
      </c>
      <c r="H636" t="s">
        <v>1360</v>
      </c>
      <c r="I636" t="s">
        <v>923</v>
      </c>
      <c r="J636" t="s">
        <v>946</v>
      </c>
      <c r="K636" t="s">
        <v>2319</v>
      </c>
      <c r="L636" t="s">
        <v>934</v>
      </c>
      <c r="M636" t="s">
        <v>945</v>
      </c>
      <c r="N636" t="s">
        <v>2680</v>
      </c>
      <c r="O636" t="s">
        <v>987</v>
      </c>
      <c r="P636" t="s">
        <v>1049</v>
      </c>
      <c r="Q636" t="s">
        <v>1564</v>
      </c>
      <c r="R636" t="s">
        <v>1001</v>
      </c>
      <c r="S636" t="s">
        <v>1065</v>
      </c>
      <c r="T636" t="s">
        <v>969</v>
      </c>
      <c r="U636" t="s">
        <v>1972</v>
      </c>
      <c r="V636" t="s">
        <v>991</v>
      </c>
      <c r="W636" t="s">
        <v>987</v>
      </c>
      <c r="X636" t="s">
        <v>1064</v>
      </c>
      <c r="Y636" t="s">
        <v>968</v>
      </c>
      <c r="Z636" t="s">
        <v>918</v>
      </c>
      <c r="AA636" t="s">
        <v>1119</v>
      </c>
      <c r="AB636" t="s">
        <v>969</v>
      </c>
      <c r="AC636" t="s">
        <v>923</v>
      </c>
      <c r="AD636" t="s">
        <v>1220</v>
      </c>
      <c r="AE636" t="s">
        <v>927</v>
      </c>
      <c r="AF636">
        <f t="shared" si="18"/>
        <v>2.7</v>
      </c>
      <c r="AG636">
        <f t="shared" si="19"/>
        <v>2.6414</v>
      </c>
    </row>
    <row r="637" spans="1:33" x14ac:dyDescent="0.25">
      <c r="A637" t="s">
        <v>2681</v>
      </c>
      <c r="B637" t="s">
        <v>2682</v>
      </c>
      <c r="C637" t="s">
        <v>1164</v>
      </c>
      <c r="D637" t="s">
        <v>121</v>
      </c>
      <c r="E637" t="s">
        <v>93</v>
      </c>
      <c r="F637" t="s">
        <v>1096</v>
      </c>
      <c r="G637" t="s">
        <v>928</v>
      </c>
      <c r="H637" t="s">
        <v>1546</v>
      </c>
      <c r="I637" t="s">
        <v>987</v>
      </c>
      <c r="J637" t="s">
        <v>924</v>
      </c>
      <c r="K637" t="s">
        <v>1791</v>
      </c>
      <c r="L637" t="s">
        <v>991</v>
      </c>
      <c r="M637" t="s">
        <v>922</v>
      </c>
      <c r="N637" t="s">
        <v>2205</v>
      </c>
      <c r="O637" t="s">
        <v>1094</v>
      </c>
      <c r="P637" t="s">
        <v>987</v>
      </c>
      <c r="Q637" t="s">
        <v>1729</v>
      </c>
      <c r="R637" t="s">
        <v>1564</v>
      </c>
      <c r="S637" t="s">
        <v>969</v>
      </c>
      <c r="T637" t="s">
        <v>1008</v>
      </c>
      <c r="U637" t="s">
        <v>1765</v>
      </c>
      <c r="V637" t="s">
        <v>1008</v>
      </c>
      <c r="W637" t="s">
        <v>1029</v>
      </c>
      <c r="X637" t="s">
        <v>925</v>
      </c>
      <c r="Y637" t="s">
        <v>1008</v>
      </c>
      <c r="Z637" t="s">
        <v>1094</v>
      </c>
      <c r="AA637" t="s">
        <v>1600</v>
      </c>
      <c r="AB637" t="s">
        <v>991</v>
      </c>
      <c r="AC637" t="s">
        <v>1064</v>
      </c>
      <c r="AD637" t="s">
        <v>1012</v>
      </c>
      <c r="AE637" t="s">
        <v>927</v>
      </c>
      <c r="AF637">
        <f t="shared" si="18"/>
        <v>2.6</v>
      </c>
      <c r="AG637">
        <f t="shared" si="19"/>
        <v>2.5453999999999999</v>
      </c>
    </row>
    <row r="638" spans="1:33" x14ac:dyDescent="0.25">
      <c r="A638" t="s">
        <v>2683</v>
      </c>
      <c r="B638" t="s">
        <v>2684</v>
      </c>
      <c r="C638" t="s">
        <v>995</v>
      </c>
      <c r="D638" t="s">
        <v>102</v>
      </c>
      <c r="E638" t="s">
        <v>47</v>
      </c>
      <c r="F638" t="s">
        <v>1123</v>
      </c>
      <c r="G638" t="s">
        <v>1717</v>
      </c>
      <c r="H638" t="s">
        <v>1063</v>
      </c>
      <c r="I638" t="s">
        <v>923</v>
      </c>
      <c r="J638" t="s">
        <v>956</v>
      </c>
      <c r="K638" t="s">
        <v>1629</v>
      </c>
      <c r="L638" t="s">
        <v>1094</v>
      </c>
      <c r="M638" t="s">
        <v>918</v>
      </c>
      <c r="N638" t="s">
        <v>1977</v>
      </c>
      <c r="O638" t="s">
        <v>1008</v>
      </c>
      <c r="P638" t="s">
        <v>923</v>
      </c>
      <c r="Q638" t="s">
        <v>2386</v>
      </c>
      <c r="R638" t="s">
        <v>1215</v>
      </c>
      <c r="S638" t="s">
        <v>991</v>
      </c>
      <c r="T638" t="s">
        <v>991</v>
      </c>
      <c r="U638" t="s">
        <v>1969</v>
      </c>
      <c r="V638" t="s">
        <v>1094</v>
      </c>
      <c r="W638" t="s">
        <v>987</v>
      </c>
      <c r="X638" t="s">
        <v>923</v>
      </c>
      <c r="Y638" t="s">
        <v>991</v>
      </c>
      <c r="Z638" t="s">
        <v>1094</v>
      </c>
      <c r="AA638" t="s">
        <v>1094</v>
      </c>
      <c r="AB638" t="s">
        <v>934</v>
      </c>
      <c r="AC638" t="s">
        <v>1008</v>
      </c>
      <c r="AD638" t="s">
        <v>1012</v>
      </c>
      <c r="AE638" t="s">
        <v>927</v>
      </c>
      <c r="AF638">
        <f t="shared" si="18"/>
        <v>2.6999999999999997</v>
      </c>
      <c r="AG638">
        <f t="shared" si="19"/>
        <v>2.6418000000000004</v>
      </c>
    </row>
    <row r="639" spans="1:33" x14ac:dyDescent="0.25">
      <c r="A639" t="s">
        <v>2685</v>
      </c>
      <c r="B639" t="s">
        <v>2686</v>
      </c>
      <c r="C639" t="s">
        <v>1084</v>
      </c>
      <c r="D639" t="s">
        <v>148</v>
      </c>
      <c r="E639" t="s">
        <v>93</v>
      </c>
      <c r="F639" t="s">
        <v>1177</v>
      </c>
      <c r="G639" t="s">
        <v>928</v>
      </c>
      <c r="H639" t="s">
        <v>1011</v>
      </c>
      <c r="I639" t="s">
        <v>918</v>
      </c>
      <c r="J639" t="s">
        <v>924</v>
      </c>
      <c r="K639" t="s">
        <v>910</v>
      </c>
      <c r="L639" t="s">
        <v>1065</v>
      </c>
      <c r="M639" t="s">
        <v>1310</v>
      </c>
      <c r="N639" t="s">
        <v>1528</v>
      </c>
      <c r="O639" t="s">
        <v>991</v>
      </c>
      <c r="P639" t="s">
        <v>918</v>
      </c>
      <c r="Q639" t="s">
        <v>1157</v>
      </c>
      <c r="R639" t="s">
        <v>1916</v>
      </c>
      <c r="S639" t="s">
        <v>991</v>
      </c>
      <c r="T639" t="s">
        <v>1065</v>
      </c>
      <c r="U639" t="s">
        <v>2049</v>
      </c>
      <c r="V639" t="s">
        <v>1065</v>
      </c>
      <c r="W639" t="s">
        <v>923</v>
      </c>
      <c r="X639" t="s">
        <v>1310</v>
      </c>
      <c r="Y639" t="s">
        <v>991</v>
      </c>
      <c r="Z639" t="s">
        <v>934</v>
      </c>
      <c r="AA639" t="s">
        <v>1119</v>
      </c>
      <c r="AB639" t="s">
        <v>1094</v>
      </c>
      <c r="AC639" t="s">
        <v>918</v>
      </c>
      <c r="AD639" t="s">
        <v>1012</v>
      </c>
      <c r="AE639" t="s">
        <v>927</v>
      </c>
      <c r="AF639">
        <f t="shared" si="18"/>
        <v>2.6999999999999997</v>
      </c>
      <c r="AG639">
        <f t="shared" si="19"/>
        <v>2.6349</v>
      </c>
    </row>
    <row r="640" spans="1:33" x14ac:dyDescent="0.25">
      <c r="A640" t="s">
        <v>2687</v>
      </c>
      <c r="B640" t="s">
        <v>2688</v>
      </c>
      <c r="C640" t="s">
        <v>995</v>
      </c>
      <c r="D640" t="s">
        <v>974</v>
      </c>
      <c r="E640" t="s">
        <v>63</v>
      </c>
      <c r="F640" t="s">
        <v>1414</v>
      </c>
      <c r="G640" t="s">
        <v>928</v>
      </c>
      <c r="H640" t="s">
        <v>1182</v>
      </c>
      <c r="I640" t="s">
        <v>987</v>
      </c>
      <c r="J640" t="s">
        <v>908</v>
      </c>
      <c r="K640" t="s">
        <v>1461</v>
      </c>
      <c r="L640" t="s">
        <v>1094</v>
      </c>
      <c r="M640" t="s">
        <v>1064</v>
      </c>
      <c r="N640" t="s">
        <v>2152</v>
      </c>
      <c r="O640" t="s">
        <v>1065</v>
      </c>
      <c r="P640" t="s">
        <v>923</v>
      </c>
      <c r="Q640" t="s">
        <v>1370</v>
      </c>
      <c r="R640" t="s">
        <v>1923</v>
      </c>
      <c r="S640" t="s">
        <v>969</v>
      </c>
      <c r="T640" t="s">
        <v>918</v>
      </c>
      <c r="U640" t="s">
        <v>1801</v>
      </c>
      <c r="V640" t="s">
        <v>991</v>
      </c>
      <c r="W640" t="s">
        <v>923</v>
      </c>
      <c r="X640" t="s">
        <v>1195</v>
      </c>
      <c r="Y640" t="s">
        <v>987</v>
      </c>
      <c r="Z640" t="s">
        <v>969</v>
      </c>
      <c r="AA640" t="s">
        <v>1119</v>
      </c>
      <c r="AB640" t="s">
        <v>991</v>
      </c>
      <c r="AC640" t="s">
        <v>923</v>
      </c>
      <c r="AD640" t="s">
        <v>993</v>
      </c>
      <c r="AE640" t="s">
        <v>927</v>
      </c>
      <c r="AF640">
        <f t="shared" si="18"/>
        <v>2.5</v>
      </c>
      <c r="AG640">
        <f t="shared" si="19"/>
        <v>2.5609000000000002</v>
      </c>
    </row>
    <row r="641" spans="1:33" x14ac:dyDescent="0.25">
      <c r="A641" t="s">
        <v>2687</v>
      </c>
      <c r="B641" t="s">
        <v>2688</v>
      </c>
      <c r="C641" t="s">
        <v>995</v>
      </c>
      <c r="D641" t="s">
        <v>113</v>
      </c>
      <c r="E641" t="s">
        <v>63</v>
      </c>
      <c r="F641" t="s">
        <v>902</v>
      </c>
      <c r="G641" t="s">
        <v>1717</v>
      </c>
      <c r="H641" t="s">
        <v>1329</v>
      </c>
      <c r="I641" t="s">
        <v>1065</v>
      </c>
      <c r="J641" t="s">
        <v>1195</v>
      </c>
      <c r="K641" t="s">
        <v>1886</v>
      </c>
      <c r="L641" t="s">
        <v>934</v>
      </c>
      <c r="M641" t="s">
        <v>1008</v>
      </c>
      <c r="N641" t="s">
        <v>2530</v>
      </c>
      <c r="O641" t="s">
        <v>934</v>
      </c>
      <c r="P641" t="s">
        <v>969</v>
      </c>
      <c r="Q641" t="s">
        <v>1719</v>
      </c>
      <c r="R641" t="s">
        <v>1840</v>
      </c>
      <c r="S641" t="s">
        <v>969</v>
      </c>
      <c r="T641" t="s">
        <v>987</v>
      </c>
      <c r="U641" t="s">
        <v>1999</v>
      </c>
      <c r="V641" t="s">
        <v>934</v>
      </c>
      <c r="W641" t="s">
        <v>987</v>
      </c>
      <c r="X641" t="s">
        <v>918</v>
      </c>
      <c r="Y641" t="s">
        <v>991</v>
      </c>
      <c r="Z641" t="s">
        <v>1065</v>
      </c>
      <c r="AA641" t="s">
        <v>1600</v>
      </c>
      <c r="AB641" t="s">
        <v>934</v>
      </c>
      <c r="AC641" t="s">
        <v>1008</v>
      </c>
      <c r="AD641" t="s">
        <v>922</v>
      </c>
      <c r="AE641" t="s">
        <v>927</v>
      </c>
      <c r="AF641">
        <f t="shared" si="18"/>
        <v>1.8000000000000003</v>
      </c>
      <c r="AG641">
        <f t="shared" si="19"/>
        <v>1.7148000000000003</v>
      </c>
    </row>
    <row r="642" spans="1:33" x14ac:dyDescent="0.25">
      <c r="A642" t="s">
        <v>2687</v>
      </c>
      <c r="B642" t="s">
        <v>2688</v>
      </c>
      <c r="C642" t="s">
        <v>995</v>
      </c>
      <c r="D642" t="s">
        <v>45</v>
      </c>
      <c r="E642" t="s">
        <v>56</v>
      </c>
      <c r="F642" t="s">
        <v>1212</v>
      </c>
      <c r="G642" t="s">
        <v>928</v>
      </c>
      <c r="H642" t="s">
        <v>1752</v>
      </c>
      <c r="I642" t="s">
        <v>1230</v>
      </c>
      <c r="J642" t="s">
        <v>970</v>
      </c>
      <c r="K642" t="s">
        <v>1266</v>
      </c>
      <c r="L642" t="s">
        <v>991</v>
      </c>
      <c r="M642" t="s">
        <v>922</v>
      </c>
      <c r="N642" t="s">
        <v>2689</v>
      </c>
      <c r="O642" t="s">
        <v>923</v>
      </c>
      <c r="P642" t="s">
        <v>1029</v>
      </c>
      <c r="Q642" t="s">
        <v>1407</v>
      </c>
      <c r="R642" t="s">
        <v>999</v>
      </c>
      <c r="S642" t="s">
        <v>1008</v>
      </c>
      <c r="T642" t="s">
        <v>923</v>
      </c>
      <c r="U642" t="s">
        <v>1743</v>
      </c>
      <c r="V642" t="s">
        <v>987</v>
      </c>
      <c r="W642" t="s">
        <v>945</v>
      </c>
      <c r="X642" t="s">
        <v>956</v>
      </c>
      <c r="Y642" t="s">
        <v>1230</v>
      </c>
      <c r="Z642" t="s">
        <v>1008</v>
      </c>
      <c r="AA642" t="s">
        <v>934</v>
      </c>
      <c r="AB642" t="s">
        <v>1008</v>
      </c>
      <c r="AC642" t="s">
        <v>1310</v>
      </c>
      <c r="AD642" t="s">
        <v>1155</v>
      </c>
      <c r="AE642" t="s">
        <v>927</v>
      </c>
      <c r="AF642">
        <f t="shared" si="18"/>
        <v>3.9000000000000004</v>
      </c>
      <c r="AG642">
        <f t="shared" si="19"/>
        <v>3.7776999999999998</v>
      </c>
    </row>
    <row r="643" spans="1:33" x14ac:dyDescent="0.25">
      <c r="A643" t="s">
        <v>2690</v>
      </c>
      <c r="B643" t="s">
        <v>2691</v>
      </c>
      <c r="C643" t="s">
        <v>973</v>
      </c>
      <c r="D643" t="s">
        <v>974</v>
      </c>
      <c r="E643" t="s">
        <v>72</v>
      </c>
      <c r="F643" t="s">
        <v>1384</v>
      </c>
      <c r="G643" t="s">
        <v>1717</v>
      </c>
      <c r="H643" t="s">
        <v>1038</v>
      </c>
      <c r="I643" t="s">
        <v>1064</v>
      </c>
      <c r="J643" t="s">
        <v>1049</v>
      </c>
      <c r="K643" t="s">
        <v>1656</v>
      </c>
      <c r="L643" t="s">
        <v>1600</v>
      </c>
      <c r="M643" t="s">
        <v>1600</v>
      </c>
      <c r="N643" t="s">
        <v>927</v>
      </c>
      <c r="O643" t="s">
        <v>1064</v>
      </c>
      <c r="P643" t="s">
        <v>1049</v>
      </c>
      <c r="Q643" t="s">
        <v>1656</v>
      </c>
      <c r="R643" t="s">
        <v>1656</v>
      </c>
      <c r="S643" t="s">
        <v>1094</v>
      </c>
      <c r="T643" t="s">
        <v>918</v>
      </c>
      <c r="U643" t="s">
        <v>1775</v>
      </c>
      <c r="V643" t="s">
        <v>945</v>
      </c>
      <c r="W643" t="s">
        <v>1029</v>
      </c>
      <c r="X643" t="s">
        <v>1104</v>
      </c>
      <c r="Y643" t="s">
        <v>991</v>
      </c>
      <c r="Z643" t="s">
        <v>934</v>
      </c>
      <c r="AA643" t="s">
        <v>991</v>
      </c>
      <c r="AB643" t="s">
        <v>969</v>
      </c>
      <c r="AC643" t="s">
        <v>968</v>
      </c>
      <c r="AD643" t="s">
        <v>993</v>
      </c>
      <c r="AE643" t="s">
        <v>927</v>
      </c>
      <c r="AF643">
        <f t="shared" ref="AF643:AF706" si="20">(L643 * 3) + ((I643 - L643) * 2) + S643</f>
        <v>2.5</v>
      </c>
      <c r="AG643" t="e">
        <f t="shared" ref="AG643:AG706" si="21">(M643 * N643 * 3) + ((J643 - M643) * Q643 * 2) + (T643 * U643)</f>
        <v>#VALUE!</v>
      </c>
    </row>
    <row r="644" spans="1:33" x14ac:dyDescent="0.25">
      <c r="A644" t="s">
        <v>2690</v>
      </c>
      <c r="B644" t="s">
        <v>2691</v>
      </c>
      <c r="C644" t="s">
        <v>973</v>
      </c>
      <c r="D644" t="s">
        <v>83</v>
      </c>
      <c r="E644" t="s">
        <v>72</v>
      </c>
      <c r="F644" t="s">
        <v>1202</v>
      </c>
      <c r="G644" t="s">
        <v>1717</v>
      </c>
      <c r="H644" t="s">
        <v>1020</v>
      </c>
      <c r="I644" t="s">
        <v>918</v>
      </c>
      <c r="J644" t="s">
        <v>956</v>
      </c>
      <c r="K644" t="s">
        <v>1099</v>
      </c>
      <c r="L644" t="s">
        <v>1600</v>
      </c>
      <c r="M644" t="s">
        <v>1600</v>
      </c>
      <c r="N644" t="s">
        <v>927</v>
      </c>
      <c r="O644" t="s">
        <v>918</v>
      </c>
      <c r="P644" t="s">
        <v>956</v>
      </c>
      <c r="Q644" t="s">
        <v>1099</v>
      </c>
      <c r="R644" t="s">
        <v>1099</v>
      </c>
      <c r="S644" t="s">
        <v>1065</v>
      </c>
      <c r="T644" t="s">
        <v>1195</v>
      </c>
      <c r="U644" t="s">
        <v>1679</v>
      </c>
      <c r="V644" t="s">
        <v>1230</v>
      </c>
      <c r="W644" t="s">
        <v>1230</v>
      </c>
      <c r="X644" t="s">
        <v>1104</v>
      </c>
      <c r="Y644" t="s">
        <v>969</v>
      </c>
      <c r="Z644" t="s">
        <v>991</v>
      </c>
      <c r="AA644" t="s">
        <v>991</v>
      </c>
      <c r="AB644" t="s">
        <v>969</v>
      </c>
      <c r="AC644" t="s">
        <v>922</v>
      </c>
      <c r="AD644" t="s">
        <v>924</v>
      </c>
      <c r="AE644" t="s">
        <v>927</v>
      </c>
      <c r="AF644">
        <f t="shared" si="20"/>
        <v>2.2999999999999998</v>
      </c>
      <c r="AG644" t="e">
        <f t="shared" si="21"/>
        <v>#VALUE!</v>
      </c>
    </row>
    <row r="645" spans="1:33" x14ac:dyDescent="0.25">
      <c r="A645" t="s">
        <v>2690</v>
      </c>
      <c r="B645" t="s">
        <v>2691</v>
      </c>
      <c r="C645" t="s">
        <v>973</v>
      </c>
      <c r="D645" t="s">
        <v>1014</v>
      </c>
      <c r="E645" t="s">
        <v>72</v>
      </c>
      <c r="F645" t="s">
        <v>995</v>
      </c>
      <c r="G645" t="s">
        <v>1717</v>
      </c>
      <c r="H645" t="s">
        <v>1038</v>
      </c>
      <c r="I645" t="s">
        <v>945</v>
      </c>
      <c r="J645" t="s">
        <v>1049</v>
      </c>
      <c r="K645" t="s">
        <v>2115</v>
      </c>
      <c r="L645" t="s">
        <v>1600</v>
      </c>
      <c r="M645" t="s">
        <v>1600</v>
      </c>
      <c r="N645" t="s">
        <v>927</v>
      </c>
      <c r="O645" t="s">
        <v>945</v>
      </c>
      <c r="P645" t="s">
        <v>1049</v>
      </c>
      <c r="Q645" t="s">
        <v>2115</v>
      </c>
      <c r="R645" t="s">
        <v>2115</v>
      </c>
      <c r="S645" t="s">
        <v>934</v>
      </c>
      <c r="T645" t="s">
        <v>1065</v>
      </c>
      <c r="U645" t="s">
        <v>958</v>
      </c>
      <c r="V645" t="s">
        <v>923</v>
      </c>
      <c r="W645" t="s">
        <v>968</v>
      </c>
      <c r="X645" t="s">
        <v>1104</v>
      </c>
      <c r="Y645" t="s">
        <v>1094</v>
      </c>
      <c r="Z645" t="s">
        <v>1119</v>
      </c>
      <c r="AA645" t="s">
        <v>991</v>
      </c>
      <c r="AB645" t="s">
        <v>969</v>
      </c>
      <c r="AC645" t="s">
        <v>1049</v>
      </c>
      <c r="AD645" t="s">
        <v>1012</v>
      </c>
      <c r="AE645" t="s">
        <v>927</v>
      </c>
      <c r="AF645">
        <f t="shared" si="20"/>
        <v>2.6</v>
      </c>
      <c r="AG645" t="e">
        <f t="shared" si="21"/>
        <v>#VALUE!</v>
      </c>
    </row>
    <row r="646" spans="1:33" x14ac:dyDescent="0.25">
      <c r="A646" t="s">
        <v>2692</v>
      </c>
      <c r="B646" t="s">
        <v>2693</v>
      </c>
      <c r="C646" t="s">
        <v>1204</v>
      </c>
      <c r="D646" t="s">
        <v>77</v>
      </c>
      <c r="E646" t="s">
        <v>93</v>
      </c>
      <c r="F646" t="s">
        <v>1177</v>
      </c>
      <c r="G646" t="s">
        <v>1717</v>
      </c>
      <c r="H646" t="s">
        <v>1011</v>
      </c>
      <c r="I646" t="s">
        <v>987</v>
      </c>
      <c r="J646" t="s">
        <v>922</v>
      </c>
      <c r="K646" t="s">
        <v>1629</v>
      </c>
      <c r="L646" t="s">
        <v>934</v>
      </c>
      <c r="M646" t="s">
        <v>969</v>
      </c>
      <c r="N646" t="s">
        <v>1750</v>
      </c>
      <c r="O646" t="s">
        <v>969</v>
      </c>
      <c r="P646" t="s">
        <v>1064</v>
      </c>
      <c r="Q646" t="s">
        <v>1610</v>
      </c>
      <c r="R646" t="s">
        <v>1713</v>
      </c>
      <c r="S646" t="s">
        <v>969</v>
      </c>
      <c r="T646" t="s">
        <v>923</v>
      </c>
      <c r="U646" t="s">
        <v>2466</v>
      </c>
      <c r="V646" t="s">
        <v>991</v>
      </c>
      <c r="W646" t="s">
        <v>918</v>
      </c>
      <c r="X646" t="s">
        <v>1195</v>
      </c>
      <c r="Y646" t="s">
        <v>1094</v>
      </c>
      <c r="Z646" t="s">
        <v>934</v>
      </c>
      <c r="AA646" t="s">
        <v>1600</v>
      </c>
      <c r="AB646" t="s">
        <v>934</v>
      </c>
      <c r="AC646" t="s">
        <v>969</v>
      </c>
      <c r="AD646" t="s">
        <v>993</v>
      </c>
      <c r="AE646" t="s">
        <v>927</v>
      </c>
      <c r="AF646">
        <f t="shared" si="20"/>
        <v>2.4000000000000004</v>
      </c>
      <c r="AG646">
        <f t="shared" si="21"/>
        <v>2.5152000000000001</v>
      </c>
    </row>
    <row r="647" spans="1:33" x14ac:dyDescent="0.25">
      <c r="A647" t="s">
        <v>2694</v>
      </c>
      <c r="B647" t="s">
        <v>2695</v>
      </c>
      <c r="C647" t="s">
        <v>1032</v>
      </c>
      <c r="D647" t="s">
        <v>48</v>
      </c>
      <c r="E647" t="s">
        <v>47</v>
      </c>
      <c r="F647" t="s">
        <v>1477</v>
      </c>
      <c r="G647" t="s">
        <v>949</v>
      </c>
      <c r="H647" t="s">
        <v>967</v>
      </c>
      <c r="I647" t="s">
        <v>918</v>
      </c>
      <c r="J647" t="s">
        <v>993</v>
      </c>
      <c r="K647" t="s">
        <v>1111</v>
      </c>
      <c r="L647" t="s">
        <v>1094</v>
      </c>
      <c r="M647" t="s">
        <v>945</v>
      </c>
      <c r="N647" t="s">
        <v>2196</v>
      </c>
      <c r="O647" t="s">
        <v>969</v>
      </c>
      <c r="P647" t="s">
        <v>1195</v>
      </c>
      <c r="Q647" t="s">
        <v>1131</v>
      </c>
      <c r="R647" t="s">
        <v>1297</v>
      </c>
      <c r="S647" t="s">
        <v>1094</v>
      </c>
      <c r="T647" t="s">
        <v>1065</v>
      </c>
      <c r="U647" t="s">
        <v>939</v>
      </c>
      <c r="V647" t="s">
        <v>969</v>
      </c>
      <c r="W647" t="s">
        <v>922</v>
      </c>
      <c r="X647" t="s">
        <v>925</v>
      </c>
      <c r="Y647" t="s">
        <v>1064</v>
      </c>
      <c r="Z647" t="s">
        <v>1094</v>
      </c>
      <c r="AA647" t="s">
        <v>1119</v>
      </c>
      <c r="AB647" t="s">
        <v>1065</v>
      </c>
      <c r="AC647" t="s">
        <v>923</v>
      </c>
      <c r="AD647" t="s">
        <v>993</v>
      </c>
      <c r="AE647" t="s">
        <v>927</v>
      </c>
      <c r="AF647">
        <f t="shared" si="20"/>
        <v>2.4</v>
      </c>
      <c r="AG647">
        <f t="shared" si="21"/>
        <v>2.5179000000000005</v>
      </c>
    </row>
    <row r="648" spans="1:33" x14ac:dyDescent="0.25">
      <c r="A648" t="s">
        <v>2696</v>
      </c>
      <c r="B648" t="s">
        <v>2697</v>
      </c>
      <c r="C648" t="s">
        <v>1015</v>
      </c>
      <c r="D648" t="s">
        <v>1223</v>
      </c>
      <c r="E648" t="s">
        <v>56</v>
      </c>
      <c r="F648" t="s">
        <v>1390</v>
      </c>
      <c r="G648" t="s">
        <v>1717</v>
      </c>
      <c r="H648" t="s">
        <v>921</v>
      </c>
      <c r="I648" t="s">
        <v>1064</v>
      </c>
      <c r="J648" t="s">
        <v>1012</v>
      </c>
      <c r="K648" t="s">
        <v>1538</v>
      </c>
      <c r="L648" t="s">
        <v>1119</v>
      </c>
      <c r="M648" t="s">
        <v>969</v>
      </c>
      <c r="N648" t="s">
        <v>2600</v>
      </c>
      <c r="O648" t="s">
        <v>918</v>
      </c>
      <c r="P648" t="s">
        <v>956</v>
      </c>
      <c r="Q648" t="s">
        <v>1923</v>
      </c>
      <c r="R648" t="s">
        <v>1448</v>
      </c>
      <c r="S648" t="s">
        <v>1094</v>
      </c>
      <c r="T648" t="s">
        <v>991</v>
      </c>
      <c r="U648" t="s">
        <v>1566</v>
      </c>
      <c r="V648" t="s">
        <v>991</v>
      </c>
      <c r="W648" t="s">
        <v>987</v>
      </c>
      <c r="X648" t="s">
        <v>945</v>
      </c>
      <c r="Y648" t="s">
        <v>945</v>
      </c>
      <c r="Z648" t="s">
        <v>991</v>
      </c>
      <c r="AA648" t="s">
        <v>1119</v>
      </c>
      <c r="AB648" t="s">
        <v>1065</v>
      </c>
      <c r="AC648" t="s">
        <v>1065</v>
      </c>
      <c r="AD648" t="s">
        <v>993</v>
      </c>
      <c r="AE648" t="s">
        <v>927</v>
      </c>
      <c r="AF648">
        <f t="shared" si="20"/>
        <v>2.5999999999999996</v>
      </c>
      <c r="AG648">
        <f t="shared" si="21"/>
        <v>2.5258000000000003</v>
      </c>
    </row>
    <row r="649" spans="1:33" x14ac:dyDescent="0.25">
      <c r="A649" t="s">
        <v>2698</v>
      </c>
      <c r="B649" t="s">
        <v>2699</v>
      </c>
      <c r="C649" t="s">
        <v>995</v>
      </c>
      <c r="D649" t="s">
        <v>77</v>
      </c>
      <c r="E649" t="s">
        <v>63</v>
      </c>
      <c r="F649" t="s">
        <v>1164</v>
      </c>
      <c r="G649" t="s">
        <v>1717</v>
      </c>
      <c r="H649" t="s">
        <v>1128</v>
      </c>
      <c r="I649" t="s">
        <v>918</v>
      </c>
      <c r="J649" t="s">
        <v>947</v>
      </c>
      <c r="K649" t="s">
        <v>1346</v>
      </c>
      <c r="L649" t="s">
        <v>934</v>
      </c>
      <c r="M649" t="s">
        <v>918</v>
      </c>
      <c r="N649" t="s">
        <v>2700</v>
      </c>
      <c r="O649" t="s">
        <v>1008</v>
      </c>
      <c r="P649" t="s">
        <v>1230</v>
      </c>
      <c r="Q649" t="s">
        <v>1436</v>
      </c>
      <c r="R649" t="s">
        <v>1665</v>
      </c>
      <c r="S649" t="s">
        <v>1094</v>
      </c>
      <c r="T649" t="s">
        <v>991</v>
      </c>
      <c r="U649" t="s">
        <v>1836</v>
      </c>
      <c r="V649" t="s">
        <v>1094</v>
      </c>
      <c r="W649" t="s">
        <v>987</v>
      </c>
      <c r="X649" t="s">
        <v>1064</v>
      </c>
      <c r="Y649" t="s">
        <v>1094</v>
      </c>
      <c r="Z649" t="s">
        <v>991</v>
      </c>
      <c r="AA649" t="s">
        <v>934</v>
      </c>
      <c r="AB649" t="s">
        <v>934</v>
      </c>
      <c r="AC649" t="s">
        <v>1065</v>
      </c>
      <c r="AD649" t="s">
        <v>924</v>
      </c>
      <c r="AE649" t="s">
        <v>927</v>
      </c>
      <c r="AF649">
        <f t="shared" si="20"/>
        <v>2.2999999999999998</v>
      </c>
      <c r="AG649">
        <f t="shared" si="21"/>
        <v>2.3186999999999998</v>
      </c>
    </row>
    <row r="650" spans="1:33" x14ac:dyDescent="0.25">
      <c r="A650" t="s">
        <v>2701</v>
      </c>
      <c r="B650" t="s">
        <v>2702</v>
      </c>
      <c r="C650" t="s">
        <v>1084</v>
      </c>
      <c r="D650" t="s">
        <v>1014</v>
      </c>
      <c r="E650" t="s">
        <v>72</v>
      </c>
      <c r="F650" t="s">
        <v>1376</v>
      </c>
      <c r="G650" t="s">
        <v>1717</v>
      </c>
      <c r="H650" t="s">
        <v>911</v>
      </c>
      <c r="I650" t="s">
        <v>1064</v>
      </c>
      <c r="J650" t="s">
        <v>968</v>
      </c>
      <c r="K650" t="s">
        <v>1807</v>
      </c>
      <c r="L650" t="s">
        <v>1600</v>
      </c>
      <c r="M650" t="s">
        <v>1119</v>
      </c>
      <c r="N650" t="s">
        <v>1646</v>
      </c>
      <c r="O650" t="s">
        <v>1064</v>
      </c>
      <c r="P650" t="s">
        <v>922</v>
      </c>
      <c r="Q650" t="s">
        <v>1949</v>
      </c>
      <c r="R650" t="s">
        <v>1807</v>
      </c>
      <c r="S650" t="s">
        <v>1094</v>
      </c>
      <c r="T650" t="s">
        <v>991</v>
      </c>
      <c r="U650" t="s">
        <v>1999</v>
      </c>
      <c r="V650" t="s">
        <v>918</v>
      </c>
      <c r="W650" t="s">
        <v>1310</v>
      </c>
      <c r="X650" t="s">
        <v>993</v>
      </c>
      <c r="Y650" t="s">
        <v>991</v>
      </c>
      <c r="Z650" t="s">
        <v>934</v>
      </c>
      <c r="AA650" t="s">
        <v>991</v>
      </c>
      <c r="AB650" t="s">
        <v>1094</v>
      </c>
      <c r="AC650" t="s">
        <v>945</v>
      </c>
      <c r="AD650" t="s">
        <v>924</v>
      </c>
      <c r="AE650" t="s">
        <v>927</v>
      </c>
      <c r="AF650">
        <f t="shared" si="20"/>
        <v>2.5</v>
      </c>
      <c r="AG650">
        <f t="shared" si="21"/>
        <v>2.4786000000000001</v>
      </c>
    </row>
    <row r="651" spans="1:33" x14ac:dyDescent="0.25">
      <c r="A651" t="s">
        <v>2703</v>
      </c>
      <c r="B651" t="s">
        <v>2704</v>
      </c>
      <c r="C651" t="s">
        <v>1015</v>
      </c>
      <c r="D651" t="s">
        <v>156</v>
      </c>
      <c r="E651" t="s">
        <v>63</v>
      </c>
      <c r="F651" t="s">
        <v>1123</v>
      </c>
      <c r="G651" t="s">
        <v>972</v>
      </c>
      <c r="H651" t="s">
        <v>1076</v>
      </c>
      <c r="I651" t="s">
        <v>918</v>
      </c>
      <c r="J651" t="s">
        <v>956</v>
      </c>
      <c r="K651" t="s">
        <v>1869</v>
      </c>
      <c r="L651" t="s">
        <v>1065</v>
      </c>
      <c r="M651" t="s">
        <v>1195</v>
      </c>
      <c r="N651" t="s">
        <v>1909</v>
      </c>
      <c r="O651" t="s">
        <v>991</v>
      </c>
      <c r="P651" t="s">
        <v>969</v>
      </c>
      <c r="Q651" t="s">
        <v>1523</v>
      </c>
      <c r="R651" t="s">
        <v>1493</v>
      </c>
      <c r="S651" t="s">
        <v>934</v>
      </c>
      <c r="T651" t="s">
        <v>934</v>
      </c>
      <c r="U651" t="s">
        <v>1270</v>
      </c>
      <c r="V651" t="s">
        <v>987</v>
      </c>
      <c r="W651" t="s">
        <v>993</v>
      </c>
      <c r="X651" t="s">
        <v>970</v>
      </c>
      <c r="Y651" t="s">
        <v>918</v>
      </c>
      <c r="Z651" t="s">
        <v>1008</v>
      </c>
      <c r="AA651" t="s">
        <v>1094</v>
      </c>
      <c r="AB651" t="s">
        <v>1094</v>
      </c>
      <c r="AC651" t="s">
        <v>1008</v>
      </c>
      <c r="AD651" t="s">
        <v>924</v>
      </c>
      <c r="AE651" t="s">
        <v>927</v>
      </c>
      <c r="AF651">
        <f t="shared" si="20"/>
        <v>2.5</v>
      </c>
      <c r="AG651">
        <f t="shared" si="21"/>
        <v>2.4912999999999998</v>
      </c>
    </row>
    <row r="652" spans="1:33" x14ac:dyDescent="0.25">
      <c r="A652" t="s">
        <v>2705</v>
      </c>
      <c r="B652" t="s">
        <v>416</v>
      </c>
      <c r="C652" t="s">
        <v>1084</v>
      </c>
      <c r="D652" t="s">
        <v>1755</v>
      </c>
      <c r="E652" t="s">
        <v>47</v>
      </c>
      <c r="F652" t="s">
        <v>1343</v>
      </c>
      <c r="G652" t="s">
        <v>1717</v>
      </c>
      <c r="H652" t="s">
        <v>1047</v>
      </c>
      <c r="I652" t="s">
        <v>987</v>
      </c>
      <c r="J652" t="s">
        <v>1049</v>
      </c>
      <c r="K652" t="s">
        <v>1797</v>
      </c>
      <c r="L652" t="s">
        <v>1094</v>
      </c>
      <c r="M652" t="s">
        <v>987</v>
      </c>
      <c r="N652" t="s">
        <v>1726</v>
      </c>
      <c r="O652" t="s">
        <v>1065</v>
      </c>
      <c r="P652" t="s">
        <v>923</v>
      </c>
      <c r="Q652" t="s">
        <v>1287</v>
      </c>
      <c r="R652" t="s">
        <v>1299</v>
      </c>
      <c r="S652" t="s">
        <v>991</v>
      </c>
      <c r="T652" t="s">
        <v>969</v>
      </c>
      <c r="U652" t="s">
        <v>2049</v>
      </c>
      <c r="V652" t="s">
        <v>1094</v>
      </c>
      <c r="W652" t="s">
        <v>918</v>
      </c>
      <c r="X652" t="s">
        <v>1195</v>
      </c>
      <c r="Y652" t="s">
        <v>1094</v>
      </c>
      <c r="Z652" t="s">
        <v>1119</v>
      </c>
      <c r="AA652" t="s">
        <v>1600</v>
      </c>
      <c r="AB652" t="s">
        <v>991</v>
      </c>
      <c r="AC652" t="s">
        <v>991</v>
      </c>
      <c r="AD652" t="s">
        <v>947</v>
      </c>
      <c r="AE652" t="s">
        <v>927</v>
      </c>
      <c r="AF652">
        <f t="shared" si="20"/>
        <v>2.2999999999999998</v>
      </c>
      <c r="AG652">
        <f t="shared" si="21"/>
        <v>2.3163999999999998</v>
      </c>
    </row>
    <row r="653" spans="1:33" x14ac:dyDescent="0.25">
      <c r="A653" t="s">
        <v>2705</v>
      </c>
      <c r="B653" t="s">
        <v>416</v>
      </c>
      <c r="C653" t="s">
        <v>1084</v>
      </c>
      <c r="D653" t="s">
        <v>105</v>
      </c>
      <c r="E653" t="s">
        <v>47</v>
      </c>
      <c r="F653" t="s">
        <v>902</v>
      </c>
      <c r="G653" t="s">
        <v>1717</v>
      </c>
      <c r="H653" t="s">
        <v>957</v>
      </c>
      <c r="I653" t="s">
        <v>1008</v>
      </c>
      <c r="J653" t="s">
        <v>968</v>
      </c>
      <c r="K653" t="s">
        <v>1111</v>
      </c>
      <c r="L653" t="s">
        <v>1094</v>
      </c>
      <c r="M653" t="s">
        <v>987</v>
      </c>
      <c r="N653" t="s">
        <v>1666</v>
      </c>
      <c r="O653" t="s">
        <v>991</v>
      </c>
      <c r="P653" t="s">
        <v>923</v>
      </c>
      <c r="Q653" t="s">
        <v>1419</v>
      </c>
      <c r="R653" t="s">
        <v>1776</v>
      </c>
      <c r="S653" t="s">
        <v>1094</v>
      </c>
      <c r="T653" t="s">
        <v>1065</v>
      </c>
      <c r="U653" t="s">
        <v>2049</v>
      </c>
      <c r="V653" t="s">
        <v>1094</v>
      </c>
      <c r="W653" t="s">
        <v>923</v>
      </c>
      <c r="X653" t="s">
        <v>945</v>
      </c>
      <c r="Y653" t="s">
        <v>1094</v>
      </c>
      <c r="Z653" t="s">
        <v>1119</v>
      </c>
      <c r="AA653" t="s">
        <v>1600</v>
      </c>
      <c r="AB653" t="s">
        <v>1065</v>
      </c>
      <c r="AC653" t="s">
        <v>991</v>
      </c>
      <c r="AD653" t="s">
        <v>956</v>
      </c>
      <c r="AE653" t="s">
        <v>927</v>
      </c>
      <c r="AF653">
        <f t="shared" si="20"/>
        <v>1.9999999999999998</v>
      </c>
      <c r="AG653">
        <f t="shared" si="21"/>
        <v>2.0202</v>
      </c>
    </row>
    <row r="654" spans="1:33" x14ac:dyDescent="0.25">
      <c r="A654" t="s">
        <v>2705</v>
      </c>
      <c r="B654" t="s">
        <v>416</v>
      </c>
      <c r="C654" t="s">
        <v>1084</v>
      </c>
      <c r="D654" t="s">
        <v>79</v>
      </c>
      <c r="E654" t="s">
        <v>47</v>
      </c>
      <c r="F654" t="s">
        <v>949</v>
      </c>
      <c r="G654" t="s">
        <v>1717</v>
      </c>
      <c r="H654" t="s">
        <v>909</v>
      </c>
      <c r="I654" t="s">
        <v>1195</v>
      </c>
      <c r="J654" t="s">
        <v>947</v>
      </c>
      <c r="K654" t="s">
        <v>913</v>
      </c>
      <c r="L654" t="s">
        <v>1008</v>
      </c>
      <c r="M654" t="s">
        <v>923</v>
      </c>
      <c r="N654" t="s">
        <v>1696</v>
      </c>
      <c r="O654" t="s">
        <v>1008</v>
      </c>
      <c r="P654" t="s">
        <v>1195</v>
      </c>
      <c r="Q654" t="s">
        <v>1131</v>
      </c>
      <c r="R654" t="s">
        <v>1999</v>
      </c>
      <c r="S654" t="s">
        <v>1008</v>
      </c>
      <c r="T654" t="s">
        <v>1195</v>
      </c>
      <c r="U654" t="s">
        <v>1131</v>
      </c>
      <c r="V654" t="s">
        <v>1008</v>
      </c>
      <c r="W654" t="s">
        <v>1094</v>
      </c>
      <c r="X654" t="s">
        <v>923</v>
      </c>
      <c r="Y654" t="s">
        <v>1008</v>
      </c>
      <c r="Z654" t="s">
        <v>1600</v>
      </c>
      <c r="AA654" t="s">
        <v>1600</v>
      </c>
      <c r="AB654" t="s">
        <v>1094</v>
      </c>
      <c r="AC654" t="s">
        <v>1008</v>
      </c>
      <c r="AD654" t="s">
        <v>1228</v>
      </c>
      <c r="AE654" t="s">
        <v>927</v>
      </c>
      <c r="AF654">
        <f t="shared" si="20"/>
        <v>4</v>
      </c>
      <c r="AG654">
        <f t="shared" si="21"/>
        <v>3.9510000000000001</v>
      </c>
    </row>
    <row r="655" spans="1:33" x14ac:dyDescent="0.25">
      <c r="A655" t="s">
        <v>2705</v>
      </c>
      <c r="B655" t="s">
        <v>416</v>
      </c>
      <c r="C655" t="s">
        <v>1084</v>
      </c>
      <c r="D655" t="s">
        <v>129</v>
      </c>
      <c r="E655" t="s">
        <v>47</v>
      </c>
      <c r="F655" t="s">
        <v>1051</v>
      </c>
      <c r="G655" t="s">
        <v>1717</v>
      </c>
      <c r="H655" t="s">
        <v>1104</v>
      </c>
      <c r="I655" t="s">
        <v>987</v>
      </c>
      <c r="J655" t="s">
        <v>968</v>
      </c>
      <c r="K655" t="s">
        <v>1665</v>
      </c>
      <c r="L655" t="s">
        <v>934</v>
      </c>
      <c r="M655" t="s">
        <v>987</v>
      </c>
      <c r="N655" t="s">
        <v>2251</v>
      </c>
      <c r="O655" t="s">
        <v>1008</v>
      </c>
      <c r="P655" t="s">
        <v>923</v>
      </c>
      <c r="Q655" t="s">
        <v>1696</v>
      </c>
      <c r="R655" t="s">
        <v>1131</v>
      </c>
      <c r="S655" t="s">
        <v>1008</v>
      </c>
      <c r="T655" t="s">
        <v>1008</v>
      </c>
      <c r="U655" t="s">
        <v>2146</v>
      </c>
      <c r="V655" t="s">
        <v>1094</v>
      </c>
      <c r="W655" t="s">
        <v>945</v>
      </c>
      <c r="X655" t="s">
        <v>1310</v>
      </c>
      <c r="Y655" t="s">
        <v>934</v>
      </c>
      <c r="Z655" t="s">
        <v>934</v>
      </c>
      <c r="AA655" t="s">
        <v>1600</v>
      </c>
      <c r="AB655" t="s">
        <v>934</v>
      </c>
      <c r="AC655" t="s">
        <v>1094</v>
      </c>
      <c r="AD655" t="s">
        <v>993</v>
      </c>
      <c r="AE655" t="s">
        <v>927</v>
      </c>
      <c r="AF655">
        <f t="shared" si="20"/>
        <v>2.5</v>
      </c>
      <c r="AG655">
        <f t="shared" si="21"/>
        <v>2.5140000000000002</v>
      </c>
    </row>
    <row r="656" spans="1:33" x14ac:dyDescent="0.25">
      <c r="A656" t="s">
        <v>2706</v>
      </c>
      <c r="B656" t="s">
        <v>2707</v>
      </c>
      <c r="C656" t="s">
        <v>1238</v>
      </c>
      <c r="D656" t="s">
        <v>1014</v>
      </c>
      <c r="E656" t="s">
        <v>63</v>
      </c>
      <c r="F656" t="s">
        <v>1293</v>
      </c>
      <c r="G656" t="s">
        <v>901</v>
      </c>
      <c r="H656" t="s">
        <v>1112</v>
      </c>
      <c r="I656" t="s">
        <v>987</v>
      </c>
      <c r="J656" t="s">
        <v>993</v>
      </c>
      <c r="K656" t="s">
        <v>1449</v>
      </c>
      <c r="L656" t="s">
        <v>1094</v>
      </c>
      <c r="M656" t="s">
        <v>945</v>
      </c>
      <c r="N656" t="s">
        <v>1662</v>
      </c>
      <c r="O656" t="s">
        <v>991</v>
      </c>
      <c r="P656" t="s">
        <v>1195</v>
      </c>
      <c r="Q656" t="s">
        <v>1056</v>
      </c>
      <c r="R656" t="s">
        <v>1679</v>
      </c>
      <c r="S656" t="s">
        <v>991</v>
      </c>
      <c r="T656" t="s">
        <v>1065</v>
      </c>
      <c r="U656" t="s">
        <v>2280</v>
      </c>
      <c r="V656" t="s">
        <v>1119</v>
      </c>
      <c r="W656" t="s">
        <v>1065</v>
      </c>
      <c r="X656" t="s">
        <v>1008</v>
      </c>
      <c r="Y656" t="s">
        <v>987</v>
      </c>
      <c r="Z656" t="s">
        <v>1094</v>
      </c>
      <c r="AA656" t="s">
        <v>1119</v>
      </c>
      <c r="AB656" t="s">
        <v>1065</v>
      </c>
      <c r="AC656" t="s">
        <v>1065</v>
      </c>
      <c r="AD656" t="s">
        <v>947</v>
      </c>
      <c r="AE656" t="s">
        <v>927</v>
      </c>
      <c r="AF656">
        <f t="shared" si="20"/>
        <v>2.2999999999999998</v>
      </c>
      <c r="AG656">
        <f t="shared" si="21"/>
        <v>2.2964000000000002</v>
      </c>
    </row>
    <row r="657" spans="1:33" x14ac:dyDescent="0.25">
      <c r="A657" t="s">
        <v>2708</v>
      </c>
      <c r="B657" t="s">
        <v>2709</v>
      </c>
      <c r="C657" t="s">
        <v>902</v>
      </c>
      <c r="D657" t="s">
        <v>121</v>
      </c>
      <c r="E657" t="s">
        <v>63</v>
      </c>
      <c r="F657" t="s">
        <v>1106</v>
      </c>
      <c r="G657" t="s">
        <v>1717</v>
      </c>
      <c r="H657" t="s">
        <v>1047</v>
      </c>
      <c r="I657" t="s">
        <v>918</v>
      </c>
      <c r="J657" t="s">
        <v>968</v>
      </c>
      <c r="K657" t="s">
        <v>1131</v>
      </c>
      <c r="L657" t="s">
        <v>1119</v>
      </c>
      <c r="M657" t="s">
        <v>987</v>
      </c>
      <c r="N657" t="s">
        <v>2480</v>
      </c>
      <c r="O657" t="s">
        <v>987</v>
      </c>
      <c r="P657" t="s">
        <v>923</v>
      </c>
      <c r="Q657" t="s">
        <v>963</v>
      </c>
      <c r="R657" t="s">
        <v>1171</v>
      </c>
      <c r="S657" t="s">
        <v>991</v>
      </c>
      <c r="T657" t="s">
        <v>1065</v>
      </c>
      <c r="U657" t="s">
        <v>963</v>
      </c>
      <c r="V657" t="s">
        <v>934</v>
      </c>
      <c r="W657" t="s">
        <v>1008</v>
      </c>
      <c r="X657" t="s">
        <v>918</v>
      </c>
      <c r="Y657" t="s">
        <v>1064</v>
      </c>
      <c r="Z657" t="s">
        <v>1600</v>
      </c>
      <c r="AA657" t="s">
        <v>1119</v>
      </c>
      <c r="AB657" t="s">
        <v>1119</v>
      </c>
      <c r="AC657" t="s">
        <v>1094</v>
      </c>
      <c r="AD657" t="s">
        <v>947</v>
      </c>
      <c r="AE657" t="s">
        <v>927</v>
      </c>
      <c r="AF657">
        <f t="shared" si="20"/>
        <v>2.3000000000000003</v>
      </c>
      <c r="AG657">
        <f t="shared" si="21"/>
        <v>2.3000000000000003</v>
      </c>
    </row>
    <row r="658" spans="1:33" x14ac:dyDescent="0.25">
      <c r="A658" t="s">
        <v>2710</v>
      </c>
      <c r="B658" t="s">
        <v>2711</v>
      </c>
      <c r="C658" t="s">
        <v>1084</v>
      </c>
      <c r="D658" t="s">
        <v>113</v>
      </c>
      <c r="E658" t="s">
        <v>93</v>
      </c>
      <c r="F658" t="s">
        <v>949</v>
      </c>
      <c r="G658" t="s">
        <v>1717</v>
      </c>
      <c r="H658" t="s">
        <v>1207</v>
      </c>
      <c r="I658" t="s">
        <v>1008</v>
      </c>
      <c r="J658" t="s">
        <v>1135</v>
      </c>
      <c r="K658" t="s">
        <v>935</v>
      </c>
      <c r="L658" t="s">
        <v>1008</v>
      </c>
      <c r="M658" t="s">
        <v>947</v>
      </c>
      <c r="N658" t="s">
        <v>1785</v>
      </c>
      <c r="O658" t="s">
        <v>1600</v>
      </c>
      <c r="P658" t="s">
        <v>1008</v>
      </c>
      <c r="Q658" t="s">
        <v>1646</v>
      </c>
      <c r="R658" t="s">
        <v>1666</v>
      </c>
      <c r="S658" t="s">
        <v>1094</v>
      </c>
      <c r="T658" t="s">
        <v>1008</v>
      </c>
      <c r="U658" t="s">
        <v>1131</v>
      </c>
      <c r="V658" t="s">
        <v>1008</v>
      </c>
      <c r="W658" t="s">
        <v>947</v>
      </c>
      <c r="X658" t="s">
        <v>1135</v>
      </c>
      <c r="Y658" t="s">
        <v>1600</v>
      </c>
      <c r="Z658" t="s">
        <v>1008</v>
      </c>
      <c r="AA658" t="s">
        <v>1094</v>
      </c>
      <c r="AB658" t="s">
        <v>1600</v>
      </c>
      <c r="AC658" t="s">
        <v>1600</v>
      </c>
      <c r="AD658" t="s">
        <v>947</v>
      </c>
      <c r="AE658" t="s">
        <v>927</v>
      </c>
      <c r="AF658">
        <f t="shared" si="20"/>
        <v>2.3999999999999995</v>
      </c>
      <c r="AG658">
        <f t="shared" si="21"/>
        <v>2.3233999999999999</v>
      </c>
    </row>
    <row r="659" spans="1:33" x14ac:dyDescent="0.25">
      <c r="A659" t="s">
        <v>2712</v>
      </c>
      <c r="B659" t="s">
        <v>2713</v>
      </c>
      <c r="C659" t="s">
        <v>995</v>
      </c>
      <c r="D659" t="s">
        <v>974</v>
      </c>
      <c r="E659" t="s">
        <v>47</v>
      </c>
      <c r="F659" t="s">
        <v>1084</v>
      </c>
      <c r="G659" t="s">
        <v>1717</v>
      </c>
      <c r="H659" t="s">
        <v>1047</v>
      </c>
      <c r="I659" t="s">
        <v>987</v>
      </c>
      <c r="J659" t="s">
        <v>1310</v>
      </c>
      <c r="K659" t="s">
        <v>1396</v>
      </c>
      <c r="L659" t="s">
        <v>1065</v>
      </c>
      <c r="M659" t="s">
        <v>923</v>
      </c>
      <c r="N659" t="s">
        <v>1288</v>
      </c>
      <c r="O659" t="s">
        <v>1094</v>
      </c>
      <c r="P659" t="s">
        <v>1065</v>
      </c>
      <c r="Q659" t="s">
        <v>1131</v>
      </c>
      <c r="R659" t="s">
        <v>2714</v>
      </c>
      <c r="S659" t="s">
        <v>1119</v>
      </c>
      <c r="T659" t="s">
        <v>934</v>
      </c>
      <c r="U659" t="s">
        <v>1131</v>
      </c>
      <c r="V659" t="s">
        <v>934</v>
      </c>
      <c r="W659" t="s">
        <v>987</v>
      </c>
      <c r="X659" t="s">
        <v>923</v>
      </c>
      <c r="Y659" t="s">
        <v>1119</v>
      </c>
      <c r="Z659" t="s">
        <v>1119</v>
      </c>
      <c r="AA659" t="s">
        <v>1119</v>
      </c>
      <c r="AB659" t="s">
        <v>934</v>
      </c>
      <c r="AC659" t="s">
        <v>1094</v>
      </c>
      <c r="AD659" t="s">
        <v>925</v>
      </c>
      <c r="AE659" t="s">
        <v>927</v>
      </c>
      <c r="AF659">
        <f t="shared" si="20"/>
        <v>2.2000000000000002</v>
      </c>
      <c r="AG659">
        <f t="shared" si="21"/>
        <v>2.2949999999999999</v>
      </c>
    </row>
    <row r="660" spans="1:33" x14ac:dyDescent="0.25">
      <c r="A660" t="s">
        <v>2712</v>
      </c>
      <c r="B660" t="s">
        <v>2713</v>
      </c>
      <c r="C660" t="s">
        <v>995</v>
      </c>
      <c r="D660" t="s">
        <v>77</v>
      </c>
      <c r="E660" t="s">
        <v>47</v>
      </c>
      <c r="F660" t="s">
        <v>995</v>
      </c>
      <c r="G660" t="s">
        <v>1717</v>
      </c>
      <c r="H660" t="s">
        <v>1211</v>
      </c>
      <c r="I660" t="s">
        <v>987</v>
      </c>
      <c r="J660" t="s">
        <v>1310</v>
      </c>
      <c r="K660" t="s">
        <v>1090</v>
      </c>
      <c r="L660" t="s">
        <v>1065</v>
      </c>
      <c r="M660" t="s">
        <v>923</v>
      </c>
      <c r="N660" t="s">
        <v>1551</v>
      </c>
      <c r="O660" t="s">
        <v>1094</v>
      </c>
      <c r="P660" t="s">
        <v>1065</v>
      </c>
      <c r="Q660" t="s">
        <v>1131</v>
      </c>
      <c r="R660" t="s">
        <v>2121</v>
      </c>
      <c r="S660" t="s">
        <v>1119</v>
      </c>
      <c r="T660" t="s">
        <v>934</v>
      </c>
      <c r="U660" t="s">
        <v>1131</v>
      </c>
      <c r="V660" t="s">
        <v>934</v>
      </c>
      <c r="W660" t="s">
        <v>987</v>
      </c>
      <c r="X660" t="s">
        <v>923</v>
      </c>
      <c r="Y660" t="s">
        <v>1119</v>
      </c>
      <c r="Z660" t="s">
        <v>1119</v>
      </c>
      <c r="AA660" t="s">
        <v>1119</v>
      </c>
      <c r="AB660" t="s">
        <v>934</v>
      </c>
      <c r="AC660" t="s">
        <v>934</v>
      </c>
      <c r="AD660" t="s">
        <v>908</v>
      </c>
      <c r="AE660" t="s">
        <v>927</v>
      </c>
      <c r="AF660">
        <f t="shared" si="20"/>
        <v>2.2000000000000002</v>
      </c>
      <c r="AG660">
        <f t="shared" si="21"/>
        <v>2.1720000000000002</v>
      </c>
    </row>
    <row r="661" spans="1:33" x14ac:dyDescent="0.25">
      <c r="A661" t="s">
        <v>2712</v>
      </c>
      <c r="B661" t="s">
        <v>2713</v>
      </c>
      <c r="C661" t="s">
        <v>995</v>
      </c>
      <c r="D661" t="s">
        <v>79</v>
      </c>
      <c r="E661" t="s">
        <v>47</v>
      </c>
      <c r="F661" t="s">
        <v>928</v>
      </c>
      <c r="G661" t="s">
        <v>1717</v>
      </c>
      <c r="H661" t="s">
        <v>1135</v>
      </c>
      <c r="I661" t="s">
        <v>923</v>
      </c>
      <c r="J661" t="s">
        <v>923</v>
      </c>
      <c r="K661" t="s">
        <v>2146</v>
      </c>
      <c r="L661" t="s">
        <v>923</v>
      </c>
      <c r="M661" t="s">
        <v>923</v>
      </c>
      <c r="N661" t="s">
        <v>2146</v>
      </c>
      <c r="O661" t="s">
        <v>1600</v>
      </c>
      <c r="P661" t="s">
        <v>1600</v>
      </c>
      <c r="Q661" t="s">
        <v>927</v>
      </c>
      <c r="R661" t="s">
        <v>2715</v>
      </c>
      <c r="S661" t="s">
        <v>1600</v>
      </c>
      <c r="T661" t="s">
        <v>1600</v>
      </c>
      <c r="U661" t="s">
        <v>927</v>
      </c>
      <c r="V661" t="s">
        <v>1600</v>
      </c>
      <c r="W661" t="s">
        <v>1310</v>
      </c>
      <c r="X661" t="s">
        <v>1310</v>
      </c>
      <c r="Y661" t="s">
        <v>1065</v>
      </c>
      <c r="Z661" t="s">
        <v>1600</v>
      </c>
      <c r="AA661" t="s">
        <v>1600</v>
      </c>
      <c r="AB661" t="s">
        <v>1600</v>
      </c>
      <c r="AC661" t="s">
        <v>923</v>
      </c>
      <c r="AD661" t="s">
        <v>1135</v>
      </c>
      <c r="AE661" t="s">
        <v>927</v>
      </c>
      <c r="AF661">
        <f t="shared" si="20"/>
        <v>3</v>
      </c>
      <c r="AG661" t="e">
        <f t="shared" si="21"/>
        <v>#VALUE!</v>
      </c>
    </row>
    <row r="662" spans="1:33" x14ac:dyDescent="0.25">
      <c r="A662" t="s">
        <v>2716</v>
      </c>
      <c r="B662" t="s">
        <v>2717</v>
      </c>
      <c r="C662" t="s">
        <v>973</v>
      </c>
      <c r="D662" t="s">
        <v>113</v>
      </c>
      <c r="E662" t="s">
        <v>93</v>
      </c>
      <c r="F662" t="s">
        <v>973</v>
      </c>
      <c r="G662" t="s">
        <v>901</v>
      </c>
      <c r="H662" t="s">
        <v>988</v>
      </c>
      <c r="I662" t="s">
        <v>1008</v>
      </c>
      <c r="J662" t="s">
        <v>1029</v>
      </c>
      <c r="K662" t="s">
        <v>1797</v>
      </c>
      <c r="L662" t="s">
        <v>1065</v>
      </c>
      <c r="M662" t="s">
        <v>1195</v>
      </c>
      <c r="N662" t="s">
        <v>1775</v>
      </c>
      <c r="O662" t="s">
        <v>934</v>
      </c>
      <c r="P662" t="s">
        <v>1094</v>
      </c>
      <c r="Q662" t="s">
        <v>1131</v>
      </c>
      <c r="R662" t="s">
        <v>1585</v>
      </c>
      <c r="S662" t="s">
        <v>1094</v>
      </c>
      <c r="T662" t="s">
        <v>991</v>
      </c>
      <c r="U662" t="s">
        <v>1864</v>
      </c>
      <c r="V662" t="s">
        <v>991</v>
      </c>
      <c r="W662" t="s">
        <v>945</v>
      </c>
      <c r="X662" t="s">
        <v>1029</v>
      </c>
      <c r="Y662" t="s">
        <v>1065</v>
      </c>
      <c r="Z662" t="s">
        <v>934</v>
      </c>
      <c r="AA662" t="s">
        <v>1119</v>
      </c>
      <c r="AB662" t="s">
        <v>1094</v>
      </c>
      <c r="AC662" t="s">
        <v>1008</v>
      </c>
      <c r="AD662" t="s">
        <v>925</v>
      </c>
      <c r="AE662" t="s">
        <v>927</v>
      </c>
      <c r="AF662">
        <f t="shared" si="20"/>
        <v>2.1999999999999997</v>
      </c>
      <c r="AG662">
        <f t="shared" si="21"/>
        <v>2.1478000000000002</v>
      </c>
    </row>
    <row r="663" spans="1:33" x14ac:dyDescent="0.25">
      <c r="A663" t="s">
        <v>2718</v>
      </c>
      <c r="B663" t="s">
        <v>2719</v>
      </c>
      <c r="C663" t="s">
        <v>1032</v>
      </c>
      <c r="D663" t="s">
        <v>1069</v>
      </c>
      <c r="E663" t="s">
        <v>56</v>
      </c>
      <c r="F663" t="s">
        <v>1202</v>
      </c>
      <c r="G663" t="s">
        <v>1717</v>
      </c>
      <c r="H663" t="s">
        <v>988</v>
      </c>
      <c r="I663" t="s">
        <v>918</v>
      </c>
      <c r="J663" t="s">
        <v>1104</v>
      </c>
      <c r="K663" t="s">
        <v>1528</v>
      </c>
      <c r="L663" t="s">
        <v>1094</v>
      </c>
      <c r="M663" t="s">
        <v>1195</v>
      </c>
      <c r="N663" t="s">
        <v>2720</v>
      </c>
      <c r="O663" t="s">
        <v>969</v>
      </c>
      <c r="P663" t="s">
        <v>1310</v>
      </c>
      <c r="Q663" t="s">
        <v>958</v>
      </c>
      <c r="R663" t="s">
        <v>1100</v>
      </c>
      <c r="S663" t="s">
        <v>934</v>
      </c>
      <c r="T663" t="s">
        <v>991</v>
      </c>
      <c r="U663" t="s">
        <v>1131</v>
      </c>
      <c r="V663" t="s">
        <v>1094</v>
      </c>
      <c r="W663" t="s">
        <v>969</v>
      </c>
      <c r="X663" t="s">
        <v>987</v>
      </c>
      <c r="Y663" t="s">
        <v>923</v>
      </c>
      <c r="Z663" t="s">
        <v>934</v>
      </c>
      <c r="AA663" t="s">
        <v>1600</v>
      </c>
      <c r="AB663" t="s">
        <v>934</v>
      </c>
      <c r="AC663" t="s">
        <v>1094</v>
      </c>
      <c r="AD663" t="s">
        <v>925</v>
      </c>
      <c r="AE663" t="s">
        <v>927</v>
      </c>
      <c r="AF663">
        <f t="shared" si="20"/>
        <v>2.3000000000000003</v>
      </c>
      <c r="AG663">
        <f t="shared" si="21"/>
        <v>2.1919999999999997</v>
      </c>
    </row>
    <row r="664" spans="1:33" x14ac:dyDescent="0.25">
      <c r="A664" t="s">
        <v>2721</v>
      </c>
      <c r="B664" t="s">
        <v>2722</v>
      </c>
      <c r="C664" t="s">
        <v>1015</v>
      </c>
      <c r="D664" t="s">
        <v>974</v>
      </c>
      <c r="E664" t="s">
        <v>56</v>
      </c>
      <c r="F664" t="s">
        <v>1123</v>
      </c>
      <c r="G664" t="s">
        <v>1717</v>
      </c>
      <c r="H664" t="s">
        <v>1172</v>
      </c>
      <c r="I664" t="s">
        <v>1008</v>
      </c>
      <c r="J664" t="s">
        <v>1029</v>
      </c>
      <c r="K664" t="s">
        <v>1448</v>
      </c>
      <c r="L664" t="s">
        <v>991</v>
      </c>
      <c r="M664" t="s">
        <v>923</v>
      </c>
      <c r="N664" t="s">
        <v>1767</v>
      </c>
      <c r="O664" t="s">
        <v>1094</v>
      </c>
      <c r="P664" t="s">
        <v>969</v>
      </c>
      <c r="Q664" t="s">
        <v>1709</v>
      </c>
      <c r="R664" t="s">
        <v>1289</v>
      </c>
      <c r="S664" t="s">
        <v>991</v>
      </c>
      <c r="T664" t="s">
        <v>1065</v>
      </c>
      <c r="U664" t="s">
        <v>1634</v>
      </c>
      <c r="V664" t="s">
        <v>1119</v>
      </c>
      <c r="W664" t="s">
        <v>1065</v>
      </c>
      <c r="X664" t="s">
        <v>1008</v>
      </c>
      <c r="Y664" t="s">
        <v>1064</v>
      </c>
      <c r="Z664" t="s">
        <v>1094</v>
      </c>
      <c r="AA664" t="s">
        <v>1600</v>
      </c>
      <c r="AB664" t="s">
        <v>1094</v>
      </c>
      <c r="AC664" t="s">
        <v>991</v>
      </c>
      <c r="AD664" t="s">
        <v>908</v>
      </c>
      <c r="AE664" t="s">
        <v>927</v>
      </c>
      <c r="AF664">
        <f t="shared" si="20"/>
        <v>2.2000000000000002</v>
      </c>
      <c r="AG664">
        <f t="shared" si="21"/>
        <v>2.1798999999999999</v>
      </c>
    </row>
    <row r="665" spans="1:33" x14ac:dyDescent="0.25">
      <c r="A665" t="s">
        <v>2721</v>
      </c>
      <c r="B665" t="s">
        <v>2722</v>
      </c>
      <c r="C665" t="s">
        <v>1015</v>
      </c>
      <c r="D665" t="s">
        <v>121</v>
      </c>
      <c r="E665" t="s">
        <v>56</v>
      </c>
      <c r="F665" t="s">
        <v>1015</v>
      </c>
      <c r="G665" t="s">
        <v>1717</v>
      </c>
      <c r="H665" t="s">
        <v>1172</v>
      </c>
      <c r="I665" t="s">
        <v>969</v>
      </c>
      <c r="J665" t="s">
        <v>1029</v>
      </c>
      <c r="K665" t="s">
        <v>1870</v>
      </c>
      <c r="L665" t="s">
        <v>991</v>
      </c>
      <c r="M665" t="s">
        <v>918</v>
      </c>
      <c r="N665" t="s">
        <v>1683</v>
      </c>
      <c r="O665" t="s">
        <v>934</v>
      </c>
      <c r="P665" t="s">
        <v>969</v>
      </c>
      <c r="Q665" t="s">
        <v>1666</v>
      </c>
      <c r="R665" t="s">
        <v>1358</v>
      </c>
      <c r="S665" t="s">
        <v>991</v>
      </c>
      <c r="T665" t="s">
        <v>969</v>
      </c>
      <c r="U665" t="s">
        <v>1201</v>
      </c>
      <c r="V665" t="s">
        <v>1119</v>
      </c>
      <c r="W665" t="s">
        <v>969</v>
      </c>
      <c r="X665" t="s">
        <v>987</v>
      </c>
      <c r="Y665" t="s">
        <v>918</v>
      </c>
      <c r="Z665" t="s">
        <v>991</v>
      </c>
      <c r="AA665" t="s">
        <v>1600</v>
      </c>
      <c r="AB665" t="s">
        <v>991</v>
      </c>
      <c r="AC665" t="s">
        <v>1065</v>
      </c>
      <c r="AD665" t="s">
        <v>1049</v>
      </c>
      <c r="AE665" t="s">
        <v>927</v>
      </c>
      <c r="AF665">
        <f t="shared" si="20"/>
        <v>2</v>
      </c>
      <c r="AG665">
        <f t="shared" si="21"/>
        <v>1.9184999999999999</v>
      </c>
    </row>
    <row r="666" spans="1:33" x14ac:dyDescent="0.25">
      <c r="A666" t="s">
        <v>2721</v>
      </c>
      <c r="B666" t="s">
        <v>2722</v>
      </c>
      <c r="C666" t="s">
        <v>1015</v>
      </c>
      <c r="D666" t="s">
        <v>70</v>
      </c>
      <c r="E666" t="s">
        <v>56</v>
      </c>
      <c r="F666" t="s">
        <v>1222</v>
      </c>
      <c r="G666" t="s">
        <v>1717</v>
      </c>
      <c r="H666" t="s">
        <v>1116</v>
      </c>
      <c r="I666" t="s">
        <v>987</v>
      </c>
      <c r="J666" t="s">
        <v>1029</v>
      </c>
      <c r="K666" t="s">
        <v>984</v>
      </c>
      <c r="L666" t="s">
        <v>1065</v>
      </c>
      <c r="M666" t="s">
        <v>1064</v>
      </c>
      <c r="N666" t="s">
        <v>978</v>
      </c>
      <c r="O666" t="s">
        <v>1094</v>
      </c>
      <c r="P666" t="s">
        <v>991</v>
      </c>
      <c r="Q666" t="s">
        <v>2049</v>
      </c>
      <c r="R666" t="s">
        <v>1875</v>
      </c>
      <c r="S666" t="s">
        <v>1094</v>
      </c>
      <c r="T666" t="s">
        <v>1094</v>
      </c>
      <c r="U666" t="s">
        <v>2146</v>
      </c>
      <c r="V666" t="s">
        <v>1119</v>
      </c>
      <c r="W666" t="s">
        <v>991</v>
      </c>
      <c r="X666" t="s">
        <v>1065</v>
      </c>
      <c r="Y666" t="s">
        <v>1310</v>
      </c>
      <c r="Z666" t="s">
        <v>1094</v>
      </c>
      <c r="AA666" t="s">
        <v>1119</v>
      </c>
      <c r="AB666" t="s">
        <v>1094</v>
      </c>
      <c r="AC666" t="s">
        <v>1094</v>
      </c>
      <c r="AD666" t="s">
        <v>993</v>
      </c>
      <c r="AE666" t="s">
        <v>927</v>
      </c>
      <c r="AF666">
        <f t="shared" si="20"/>
        <v>2.4</v>
      </c>
      <c r="AG666">
        <f t="shared" si="21"/>
        <v>2.5350000000000001</v>
      </c>
    </row>
    <row r="667" spans="1:33" x14ac:dyDescent="0.25">
      <c r="A667" t="s">
        <v>2723</v>
      </c>
      <c r="B667" t="s">
        <v>2724</v>
      </c>
      <c r="C667" t="s">
        <v>995</v>
      </c>
      <c r="D667" t="s">
        <v>113</v>
      </c>
      <c r="E667" t="s">
        <v>56</v>
      </c>
      <c r="F667" t="s">
        <v>1202</v>
      </c>
      <c r="G667" t="s">
        <v>1717</v>
      </c>
      <c r="H667" t="s">
        <v>1079</v>
      </c>
      <c r="I667" t="s">
        <v>987</v>
      </c>
      <c r="J667" t="s">
        <v>908</v>
      </c>
      <c r="K667" t="s">
        <v>1886</v>
      </c>
      <c r="L667" t="s">
        <v>1094</v>
      </c>
      <c r="M667" t="s">
        <v>1064</v>
      </c>
      <c r="N667" t="s">
        <v>935</v>
      </c>
      <c r="O667" t="s">
        <v>1065</v>
      </c>
      <c r="P667" t="s">
        <v>923</v>
      </c>
      <c r="Q667" t="s">
        <v>1131</v>
      </c>
      <c r="R667" t="s">
        <v>1467</v>
      </c>
      <c r="S667" t="s">
        <v>1094</v>
      </c>
      <c r="T667" t="s">
        <v>991</v>
      </c>
      <c r="U667" t="s">
        <v>1999</v>
      </c>
      <c r="V667" t="s">
        <v>1119</v>
      </c>
      <c r="W667" t="s">
        <v>1008</v>
      </c>
      <c r="X667" t="s">
        <v>987</v>
      </c>
      <c r="Y667" t="s">
        <v>987</v>
      </c>
      <c r="Z667" t="s">
        <v>1094</v>
      </c>
      <c r="AA667" t="s">
        <v>1119</v>
      </c>
      <c r="AB667" t="s">
        <v>987</v>
      </c>
      <c r="AC667" t="s">
        <v>1119</v>
      </c>
      <c r="AD667" t="s">
        <v>908</v>
      </c>
      <c r="AE667" t="s">
        <v>927</v>
      </c>
      <c r="AF667">
        <f t="shared" si="20"/>
        <v>2.1999999999999997</v>
      </c>
      <c r="AG667">
        <f t="shared" si="21"/>
        <v>2.0182000000000002</v>
      </c>
    </row>
    <row r="668" spans="1:33" x14ac:dyDescent="0.25">
      <c r="A668" t="s">
        <v>2725</v>
      </c>
      <c r="B668" t="s">
        <v>2726</v>
      </c>
      <c r="C668" t="s">
        <v>1293</v>
      </c>
      <c r="D668" t="s">
        <v>131</v>
      </c>
      <c r="E668" t="s">
        <v>63</v>
      </c>
      <c r="F668" t="s">
        <v>1212</v>
      </c>
      <c r="G668" t="s">
        <v>1717</v>
      </c>
      <c r="H668" t="s">
        <v>1103</v>
      </c>
      <c r="I668" t="s">
        <v>1008</v>
      </c>
      <c r="J668" t="s">
        <v>1310</v>
      </c>
      <c r="K668" t="s">
        <v>1709</v>
      </c>
      <c r="L668" t="s">
        <v>991</v>
      </c>
      <c r="M668" t="s">
        <v>918</v>
      </c>
      <c r="N668" t="s">
        <v>1719</v>
      </c>
      <c r="O668" t="s">
        <v>991</v>
      </c>
      <c r="P668" t="s">
        <v>969</v>
      </c>
      <c r="Q668" t="s">
        <v>1713</v>
      </c>
      <c r="R668" t="s">
        <v>1493</v>
      </c>
      <c r="S668" t="s">
        <v>991</v>
      </c>
      <c r="T668" t="s">
        <v>1065</v>
      </c>
      <c r="U668" t="s">
        <v>2049</v>
      </c>
      <c r="V668" t="s">
        <v>1094</v>
      </c>
      <c r="W668" t="s">
        <v>918</v>
      </c>
      <c r="X668" t="s">
        <v>945</v>
      </c>
      <c r="Y668" t="s">
        <v>1065</v>
      </c>
      <c r="Z668" t="s">
        <v>1600</v>
      </c>
      <c r="AA668" t="s">
        <v>1600</v>
      </c>
      <c r="AB668" t="s">
        <v>1119</v>
      </c>
      <c r="AC668" t="s">
        <v>991</v>
      </c>
      <c r="AD668" t="s">
        <v>908</v>
      </c>
      <c r="AE668" t="s">
        <v>927</v>
      </c>
      <c r="AF668">
        <f t="shared" si="20"/>
        <v>2.2000000000000002</v>
      </c>
      <c r="AG668">
        <f t="shared" si="21"/>
        <v>2.109</v>
      </c>
    </row>
    <row r="669" spans="1:33" x14ac:dyDescent="0.25">
      <c r="A669" t="s">
        <v>2727</v>
      </c>
      <c r="B669" t="s">
        <v>2728</v>
      </c>
      <c r="C669" t="s">
        <v>1084</v>
      </c>
      <c r="D669" t="s">
        <v>170</v>
      </c>
      <c r="E669" t="s">
        <v>93</v>
      </c>
      <c r="F669" t="s">
        <v>995</v>
      </c>
      <c r="G669" t="s">
        <v>901</v>
      </c>
      <c r="H669" t="s">
        <v>989</v>
      </c>
      <c r="I669" t="s">
        <v>1008</v>
      </c>
      <c r="J669" t="s">
        <v>922</v>
      </c>
      <c r="K669" t="s">
        <v>1434</v>
      </c>
      <c r="L669" t="s">
        <v>1600</v>
      </c>
      <c r="M669" t="s">
        <v>1065</v>
      </c>
      <c r="N669" t="s">
        <v>1936</v>
      </c>
      <c r="O669" t="s">
        <v>1008</v>
      </c>
      <c r="P669" t="s">
        <v>945</v>
      </c>
      <c r="Q669" t="s">
        <v>1401</v>
      </c>
      <c r="R669" t="s">
        <v>1319</v>
      </c>
      <c r="S669" t="s">
        <v>969</v>
      </c>
      <c r="T669" t="s">
        <v>918</v>
      </c>
      <c r="U669" t="s">
        <v>1724</v>
      </c>
      <c r="V669" t="s">
        <v>1065</v>
      </c>
      <c r="W669" t="s">
        <v>918</v>
      </c>
      <c r="X669" t="s">
        <v>1230</v>
      </c>
      <c r="Y669" t="s">
        <v>991</v>
      </c>
      <c r="Z669" t="s">
        <v>1119</v>
      </c>
      <c r="AA669" t="s">
        <v>1119</v>
      </c>
      <c r="AB669" t="s">
        <v>1094</v>
      </c>
      <c r="AC669" t="s">
        <v>923</v>
      </c>
      <c r="AD669" t="s">
        <v>908</v>
      </c>
      <c r="AE669" t="s">
        <v>927</v>
      </c>
      <c r="AF669">
        <f t="shared" si="20"/>
        <v>2</v>
      </c>
      <c r="AG669">
        <f t="shared" si="21"/>
        <v>2.1</v>
      </c>
    </row>
    <row r="670" spans="1:33" x14ac:dyDescent="0.25">
      <c r="A670" t="s">
        <v>2729</v>
      </c>
      <c r="B670" t="s">
        <v>2730</v>
      </c>
      <c r="C670" t="s">
        <v>1238</v>
      </c>
      <c r="D670" t="s">
        <v>170</v>
      </c>
      <c r="E670" t="s">
        <v>63</v>
      </c>
      <c r="F670" t="s">
        <v>975</v>
      </c>
      <c r="G670" t="s">
        <v>1717</v>
      </c>
      <c r="H670" t="s">
        <v>1009</v>
      </c>
      <c r="I670" t="s">
        <v>1008</v>
      </c>
      <c r="J670" t="s">
        <v>968</v>
      </c>
      <c r="K670" t="s">
        <v>1902</v>
      </c>
      <c r="L670" t="s">
        <v>1094</v>
      </c>
      <c r="M670" t="s">
        <v>923</v>
      </c>
      <c r="N670" t="s">
        <v>2341</v>
      </c>
      <c r="O670" t="s">
        <v>991</v>
      </c>
      <c r="P670" t="s">
        <v>987</v>
      </c>
      <c r="Q670" t="s">
        <v>1249</v>
      </c>
      <c r="R670" t="s">
        <v>1709</v>
      </c>
      <c r="S670" t="s">
        <v>991</v>
      </c>
      <c r="T670" t="s">
        <v>991</v>
      </c>
      <c r="U670" t="s">
        <v>1597</v>
      </c>
      <c r="V670" t="s">
        <v>1065</v>
      </c>
      <c r="W670" t="s">
        <v>923</v>
      </c>
      <c r="X670" t="s">
        <v>1230</v>
      </c>
      <c r="Y670" t="s">
        <v>991</v>
      </c>
      <c r="Z670" t="s">
        <v>991</v>
      </c>
      <c r="AA670" t="s">
        <v>934</v>
      </c>
      <c r="AB670" t="s">
        <v>934</v>
      </c>
      <c r="AC670" t="s">
        <v>987</v>
      </c>
      <c r="AD670" t="s">
        <v>908</v>
      </c>
      <c r="AE670" t="s">
        <v>927</v>
      </c>
      <c r="AF670">
        <f t="shared" si="20"/>
        <v>2.0999999999999996</v>
      </c>
      <c r="AG670">
        <f t="shared" si="21"/>
        <v>1.9887999999999999</v>
      </c>
    </row>
    <row r="671" spans="1:33" x14ac:dyDescent="0.25">
      <c r="A671" t="s">
        <v>2731</v>
      </c>
      <c r="B671" t="s">
        <v>2732</v>
      </c>
      <c r="C671" t="s">
        <v>1355</v>
      </c>
      <c r="D671" t="s">
        <v>151</v>
      </c>
      <c r="E671" t="s">
        <v>72</v>
      </c>
      <c r="F671" t="s">
        <v>1480</v>
      </c>
      <c r="G671" t="s">
        <v>949</v>
      </c>
      <c r="H671" t="s">
        <v>1450</v>
      </c>
      <c r="I671" t="s">
        <v>987</v>
      </c>
      <c r="J671" t="s">
        <v>1064</v>
      </c>
      <c r="K671" t="s">
        <v>1826</v>
      </c>
      <c r="L671" t="s">
        <v>1600</v>
      </c>
      <c r="M671" t="s">
        <v>1119</v>
      </c>
      <c r="N671" t="s">
        <v>1719</v>
      </c>
      <c r="O671" t="s">
        <v>1008</v>
      </c>
      <c r="P671" t="s">
        <v>923</v>
      </c>
      <c r="Q671" t="s">
        <v>1999</v>
      </c>
      <c r="R671" t="s">
        <v>2288</v>
      </c>
      <c r="S671" t="s">
        <v>1065</v>
      </c>
      <c r="T671" t="s">
        <v>987</v>
      </c>
      <c r="U671" t="s">
        <v>2245</v>
      </c>
      <c r="V671" t="s">
        <v>918</v>
      </c>
      <c r="W671" t="s">
        <v>1195</v>
      </c>
      <c r="X671" t="s">
        <v>908</v>
      </c>
      <c r="Y671" t="s">
        <v>923</v>
      </c>
      <c r="Z671" t="s">
        <v>1094</v>
      </c>
      <c r="AA671" t="s">
        <v>991</v>
      </c>
      <c r="AB671" t="s">
        <v>1094</v>
      </c>
      <c r="AC671" t="s">
        <v>1230</v>
      </c>
      <c r="AD671" t="s">
        <v>908</v>
      </c>
      <c r="AE671" t="s">
        <v>927</v>
      </c>
      <c r="AF671">
        <f t="shared" si="20"/>
        <v>2.1</v>
      </c>
      <c r="AG671">
        <f t="shared" si="21"/>
        <v>2.0688</v>
      </c>
    </row>
    <row r="672" spans="1:33" x14ac:dyDescent="0.25">
      <c r="A672" t="s">
        <v>2733</v>
      </c>
      <c r="B672" t="s">
        <v>2734</v>
      </c>
      <c r="C672" t="s">
        <v>1032</v>
      </c>
      <c r="D672" t="s">
        <v>133</v>
      </c>
      <c r="E672" t="s">
        <v>63</v>
      </c>
      <c r="F672" t="s">
        <v>1162</v>
      </c>
      <c r="G672" t="s">
        <v>1717</v>
      </c>
      <c r="H672" t="s">
        <v>1046</v>
      </c>
      <c r="I672" t="s">
        <v>987</v>
      </c>
      <c r="J672" t="s">
        <v>925</v>
      </c>
      <c r="K672" t="s">
        <v>1425</v>
      </c>
      <c r="L672" t="s">
        <v>1119</v>
      </c>
      <c r="M672" t="s">
        <v>987</v>
      </c>
      <c r="N672" t="s">
        <v>2485</v>
      </c>
      <c r="O672" t="s">
        <v>969</v>
      </c>
      <c r="P672" t="s">
        <v>1230</v>
      </c>
      <c r="Q672" t="s">
        <v>978</v>
      </c>
      <c r="R672" t="s">
        <v>1758</v>
      </c>
      <c r="S672" t="s">
        <v>1094</v>
      </c>
      <c r="T672" t="s">
        <v>991</v>
      </c>
      <c r="U672" t="s">
        <v>1696</v>
      </c>
      <c r="V672" t="s">
        <v>1600</v>
      </c>
      <c r="W672" t="s">
        <v>969</v>
      </c>
      <c r="X672" t="s">
        <v>969</v>
      </c>
      <c r="Y672" t="s">
        <v>969</v>
      </c>
      <c r="Z672" t="s">
        <v>991</v>
      </c>
      <c r="AA672" t="s">
        <v>934</v>
      </c>
      <c r="AB672" t="s">
        <v>991</v>
      </c>
      <c r="AC672" t="s">
        <v>1119</v>
      </c>
      <c r="AD672" t="s">
        <v>956</v>
      </c>
      <c r="AE672" t="s">
        <v>927</v>
      </c>
      <c r="AF672">
        <f t="shared" si="20"/>
        <v>2</v>
      </c>
      <c r="AG672">
        <f t="shared" si="21"/>
        <v>1.9636000000000005</v>
      </c>
    </row>
    <row r="673" spans="1:33" x14ac:dyDescent="0.25">
      <c r="A673" t="s">
        <v>2735</v>
      </c>
      <c r="B673" t="s">
        <v>420</v>
      </c>
      <c r="C673" t="s">
        <v>1032</v>
      </c>
      <c r="D673" t="s">
        <v>129</v>
      </c>
      <c r="E673" t="s">
        <v>56</v>
      </c>
      <c r="F673" t="s">
        <v>1403</v>
      </c>
      <c r="G673" t="s">
        <v>1717</v>
      </c>
      <c r="H673" t="s">
        <v>1026</v>
      </c>
      <c r="I673" t="s">
        <v>1008</v>
      </c>
      <c r="J673" t="s">
        <v>956</v>
      </c>
      <c r="K673" t="s">
        <v>2432</v>
      </c>
      <c r="L673" t="s">
        <v>1094</v>
      </c>
      <c r="M673" t="s">
        <v>1064</v>
      </c>
      <c r="N673" t="s">
        <v>1190</v>
      </c>
      <c r="O673" t="s">
        <v>1094</v>
      </c>
      <c r="P673" t="s">
        <v>918</v>
      </c>
      <c r="Q673" t="s">
        <v>1909</v>
      </c>
      <c r="R673" t="s">
        <v>1797</v>
      </c>
      <c r="S673" t="s">
        <v>1094</v>
      </c>
      <c r="T673" t="s">
        <v>991</v>
      </c>
      <c r="U673" t="s">
        <v>1547</v>
      </c>
      <c r="V673" t="s">
        <v>934</v>
      </c>
      <c r="W673" t="s">
        <v>1065</v>
      </c>
      <c r="X673" t="s">
        <v>1008</v>
      </c>
      <c r="Y673" t="s">
        <v>922</v>
      </c>
      <c r="Z673" t="s">
        <v>1094</v>
      </c>
      <c r="AA673" t="s">
        <v>1119</v>
      </c>
      <c r="AB673" t="s">
        <v>991</v>
      </c>
      <c r="AC673" t="s">
        <v>969</v>
      </c>
      <c r="AD673" t="s">
        <v>956</v>
      </c>
      <c r="AE673" t="s">
        <v>927</v>
      </c>
      <c r="AF673">
        <f t="shared" si="20"/>
        <v>1.9999999999999998</v>
      </c>
      <c r="AG673">
        <f t="shared" si="21"/>
        <v>1.9572000000000001</v>
      </c>
    </row>
    <row r="674" spans="1:33" x14ac:dyDescent="0.25">
      <c r="A674" t="s">
        <v>874</v>
      </c>
      <c r="B674" t="s">
        <v>171</v>
      </c>
      <c r="C674" t="s">
        <v>875</v>
      </c>
      <c r="D674" t="s">
        <v>172</v>
      </c>
      <c r="E674" t="s">
        <v>876</v>
      </c>
      <c r="F674" t="s">
        <v>392</v>
      </c>
      <c r="G674" t="s">
        <v>877</v>
      </c>
      <c r="H674" t="s">
        <v>878</v>
      </c>
      <c r="I674" t="s">
        <v>879</v>
      </c>
      <c r="J674" t="s">
        <v>880</v>
      </c>
      <c r="K674" t="s">
        <v>881</v>
      </c>
      <c r="L674" t="s">
        <v>882</v>
      </c>
      <c r="M674" t="s">
        <v>883</v>
      </c>
      <c r="N674" t="s">
        <v>884</v>
      </c>
      <c r="O674" t="s">
        <v>885</v>
      </c>
      <c r="P674" t="s">
        <v>886</v>
      </c>
      <c r="Q674" t="s">
        <v>887</v>
      </c>
      <c r="R674" t="s">
        <v>888</v>
      </c>
      <c r="S674" t="s">
        <v>889</v>
      </c>
      <c r="T674" t="s">
        <v>890</v>
      </c>
      <c r="U674" t="s">
        <v>891</v>
      </c>
      <c r="V674" t="s">
        <v>892</v>
      </c>
      <c r="W674" t="s">
        <v>893</v>
      </c>
      <c r="X674" t="s">
        <v>894</v>
      </c>
      <c r="Y674" t="s">
        <v>895</v>
      </c>
      <c r="Z674" t="s">
        <v>896</v>
      </c>
      <c r="AA674" t="s">
        <v>897</v>
      </c>
      <c r="AB674" t="s">
        <v>898</v>
      </c>
      <c r="AC674" t="s">
        <v>93</v>
      </c>
      <c r="AD674" t="s">
        <v>899</v>
      </c>
      <c r="AE674" t="s">
        <v>900</v>
      </c>
      <c r="AF674" t="e">
        <f t="shared" si="20"/>
        <v>#VALUE!</v>
      </c>
      <c r="AG674" t="e">
        <f t="shared" si="21"/>
        <v>#VALUE!</v>
      </c>
    </row>
    <row r="675" spans="1:33" x14ac:dyDescent="0.25">
      <c r="A675" t="s">
        <v>2736</v>
      </c>
      <c r="B675" t="s">
        <v>2737</v>
      </c>
      <c r="C675" t="s">
        <v>995</v>
      </c>
      <c r="D675" t="s">
        <v>131</v>
      </c>
      <c r="E675" t="s">
        <v>72</v>
      </c>
      <c r="F675" t="s">
        <v>972</v>
      </c>
      <c r="G675" t="s">
        <v>1717</v>
      </c>
      <c r="H675" t="s">
        <v>1043</v>
      </c>
      <c r="I675" t="s">
        <v>923</v>
      </c>
      <c r="J675" t="s">
        <v>968</v>
      </c>
      <c r="K675" t="s">
        <v>913</v>
      </c>
      <c r="L675" t="s">
        <v>1600</v>
      </c>
      <c r="M675" t="s">
        <v>1600</v>
      </c>
      <c r="N675" t="s">
        <v>927</v>
      </c>
      <c r="O675" t="s">
        <v>923</v>
      </c>
      <c r="P675" t="s">
        <v>968</v>
      </c>
      <c r="Q675" t="s">
        <v>913</v>
      </c>
      <c r="R675" t="s">
        <v>913</v>
      </c>
      <c r="S675" t="s">
        <v>1600</v>
      </c>
      <c r="T675" t="s">
        <v>1600</v>
      </c>
      <c r="U675" t="s">
        <v>927</v>
      </c>
      <c r="V675" t="s">
        <v>1195</v>
      </c>
      <c r="W675" t="s">
        <v>1094</v>
      </c>
      <c r="X675" t="s">
        <v>1310</v>
      </c>
      <c r="Y675" t="s">
        <v>1094</v>
      </c>
      <c r="Z675" t="s">
        <v>1600</v>
      </c>
      <c r="AA675" t="s">
        <v>1600</v>
      </c>
      <c r="AB675" t="s">
        <v>1094</v>
      </c>
      <c r="AC675" t="s">
        <v>1094</v>
      </c>
      <c r="AD675" t="s">
        <v>956</v>
      </c>
      <c r="AE675" t="s">
        <v>927</v>
      </c>
      <c r="AF675">
        <f t="shared" si="20"/>
        <v>2</v>
      </c>
      <c r="AG675" t="e">
        <f t="shared" si="21"/>
        <v>#VALUE!</v>
      </c>
    </row>
    <row r="676" spans="1:33" x14ac:dyDescent="0.25">
      <c r="A676" t="s">
        <v>2738</v>
      </c>
      <c r="B676" t="s">
        <v>2739</v>
      </c>
      <c r="C676" t="s">
        <v>973</v>
      </c>
      <c r="D676" t="s">
        <v>79</v>
      </c>
      <c r="E676" t="s">
        <v>93</v>
      </c>
      <c r="F676" t="s">
        <v>1233</v>
      </c>
      <c r="G676" t="s">
        <v>1717</v>
      </c>
      <c r="H676" t="s">
        <v>1172</v>
      </c>
      <c r="I676" t="s">
        <v>987</v>
      </c>
      <c r="J676" t="s">
        <v>968</v>
      </c>
      <c r="K676" t="s">
        <v>1555</v>
      </c>
      <c r="L676" t="s">
        <v>934</v>
      </c>
      <c r="M676" t="s">
        <v>1008</v>
      </c>
      <c r="N676" t="s">
        <v>1216</v>
      </c>
      <c r="O676" t="s">
        <v>1008</v>
      </c>
      <c r="P676" t="s">
        <v>945</v>
      </c>
      <c r="Q676" t="s">
        <v>1532</v>
      </c>
      <c r="R676" t="s">
        <v>1131</v>
      </c>
      <c r="S676" t="s">
        <v>1119</v>
      </c>
      <c r="T676" t="s">
        <v>934</v>
      </c>
      <c r="U676" t="s">
        <v>1999</v>
      </c>
      <c r="V676" t="s">
        <v>1065</v>
      </c>
      <c r="W676" t="s">
        <v>945</v>
      </c>
      <c r="X676" t="s">
        <v>1029</v>
      </c>
      <c r="Y676" t="s">
        <v>969</v>
      </c>
      <c r="Z676" t="s">
        <v>934</v>
      </c>
      <c r="AA676" t="s">
        <v>1119</v>
      </c>
      <c r="AB676" t="s">
        <v>1094</v>
      </c>
      <c r="AC676" t="s">
        <v>969</v>
      </c>
      <c r="AD676" t="s">
        <v>1049</v>
      </c>
      <c r="AE676" t="s">
        <v>927</v>
      </c>
      <c r="AF676">
        <f t="shared" si="20"/>
        <v>1.9000000000000004</v>
      </c>
      <c r="AG676">
        <f t="shared" si="21"/>
        <v>1.9193000000000002</v>
      </c>
    </row>
    <row r="677" spans="1:33" x14ac:dyDescent="0.25">
      <c r="A677" t="s">
        <v>2740</v>
      </c>
      <c r="B677" t="s">
        <v>2741</v>
      </c>
      <c r="C677" t="s">
        <v>995</v>
      </c>
      <c r="D677" t="s">
        <v>129</v>
      </c>
      <c r="E677" t="s">
        <v>72</v>
      </c>
      <c r="F677" t="s">
        <v>973</v>
      </c>
      <c r="G677" t="s">
        <v>901</v>
      </c>
      <c r="H677" t="s">
        <v>1062</v>
      </c>
      <c r="I677" t="s">
        <v>987</v>
      </c>
      <c r="J677" t="s">
        <v>945</v>
      </c>
      <c r="K677" t="s">
        <v>2593</v>
      </c>
      <c r="L677" t="s">
        <v>1600</v>
      </c>
      <c r="M677" t="s">
        <v>1600</v>
      </c>
      <c r="N677" t="s">
        <v>927</v>
      </c>
      <c r="O677" t="s">
        <v>987</v>
      </c>
      <c r="P677" t="s">
        <v>945</v>
      </c>
      <c r="Q677" t="s">
        <v>2593</v>
      </c>
      <c r="R677" t="s">
        <v>2593</v>
      </c>
      <c r="S677" t="s">
        <v>934</v>
      </c>
      <c r="T677" t="s">
        <v>1065</v>
      </c>
      <c r="U677" t="s">
        <v>1709</v>
      </c>
      <c r="V677" t="s">
        <v>969</v>
      </c>
      <c r="W677" t="s">
        <v>1310</v>
      </c>
      <c r="X677" t="s">
        <v>956</v>
      </c>
      <c r="Y677" t="s">
        <v>991</v>
      </c>
      <c r="Z677" t="s">
        <v>1600</v>
      </c>
      <c r="AA677" t="s">
        <v>969</v>
      </c>
      <c r="AB677" t="s">
        <v>987</v>
      </c>
      <c r="AC677" t="s">
        <v>1195</v>
      </c>
      <c r="AD677" t="s">
        <v>1049</v>
      </c>
      <c r="AE677" t="s">
        <v>927</v>
      </c>
      <c r="AF677">
        <f t="shared" si="20"/>
        <v>1.8</v>
      </c>
      <c r="AG677" t="e">
        <f t="shared" si="21"/>
        <v>#VALUE!</v>
      </c>
    </row>
    <row r="678" spans="1:33" x14ac:dyDescent="0.25">
      <c r="A678" t="s">
        <v>2742</v>
      </c>
      <c r="B678" t="s">
        <v>2743</v>
      </c>
      <c r="C678" t="s">
        <v>1245</v>
      </c>
      <c r="D678" t="s">
        <v>97</v>
      </c>
      <c r="E678" t="s">
        <v>47</v>
      </c>
      <c r="F678" t="s">
        <v>1083</v>
      </c>
      <c r="G678" t="s">
        <v>1717</v>
      </c>
      <c r="H678" t="s">
        <v>1043</v>
      </c>
      <c r="I678" t="s">
        <v>987</v>
      </c>
      <c r="J678" t="s">
        <v>1195</v>
      </c>
      <c r="K678" t="s">
        <v>1836</v>
      </c>
      <c r="L678" t="s">
        <v>1094</v>
      </c>
      <c r="M678" t="s">
        <v>969</v>
      </c>
      <c r="N678" t="s">
        <v>1719</v>
      </c>
      <c r="O678" t="s">
        <v>1065</v>
      </c>
      <c r="P678" t="s">
        <v>969</v>
      </c>
      <c r="Q678" t="s">
        <v>963</v>
      </c>
      <c r="R678" t="s">
        <v>2333</v>
      </c>
      <c r="S678" t="s">
        <v>1119</v>
      </c>
      <c r="T678" t="s">
        <v>1094</v>
      </c>
      <c r="U678" t="s">
        <v>1131</v>
      </c>
      <c r="V678" t="s">
        <v>1119</v>
      </c>
      <c r="W678" t="s">
        <v>987</v>
      </c>
      <c r="X678" t="s">
        <v>918</v>
      </c>
      <c r="Y678" t="s">
        <v>918</v>
      </c>
      <c r="Z678" t="s">
        <v>1094</v>
      </c>
      <c r="AA678" t="s">
        <v>1119</v>
      </c>
      <c r="AB678" t="s">
        <v>1119</v>
      </c>
      <c r="AC678" t="s">
        <v>923</v>
      </c>
      <c r="AD678" t="s">
        <v>1049</v>
      </c>
      <c r="AE678" t="s">
        <v>927</v>
      </c>
      <c r="AF678">
        <f t="shared" si="20"/>
        <v>2</v>
      </c>
      <c r="AG678">
        <f t="shared" si="21"/>
        <v>1.99</v>
      </c>
    </row>
    <row r="679" spans="1:33" x14ac:dyDescent="0.25">
      <c r="A679" t="s">
        <v>2744</v>
      </c>
      <c r="B679" t="s">
        <v>2745</v>
      </c>
      <c r="C679" t="s">
        <v>1384</v>
      </c>
      <c r="D679" t="s">
        <v>163</v>
      </c>
      <c r="E679" t="s">
        <v>63</v>
      </c>
      <c r="F679" t="s">
        <v>1015</v>
      </c>
      <c r="G679" t="s">
        <v>1717</v>
      </c>
      <c r="H679" t="s">
        <v>1027</v>
      </c>
      <c r="I679" t="s">
        <v>969</v>
      </c>
      <c r="J679" t="s">
        <v>908</v>
      </c>
      <c r="K679" t="s">
        <v>2341</v>
      </c>
      <c r="L679" t="s">
        <v>934</v>
      </c>
      <c r="M679" t="s">
        <v>923</v>
      </c>
      <c r="N679" t="s">
        <v>2222</v>
      </c>
      <c r="O679" t="s">
        <v>991</v>
      </c>
      <c r="P679" t="s">
        <v>1064</v>
      </c>
      <c r="Q679" t="s">
        <v>910</v>
      </c>
      <c r="R679" t="s">
        <v>1406</v>
      </c>
      <c r="S679" t="s">
        <v>991</v>
      </c>
      <c r="T679" t="s">
        <v>991</v>
      </c>
      <c r="U679" t="s">
        <v>2746</v>
      </c>
      <c r="V679" t="s">
        <v>1094</v>
      </c>
      <c r="W679" t="s">
        <v>1008</v>
      </c>
      <c r="X679" t="s">
        <v>923</v>
      </c>
      <c r="Y679" t="s">
        <v>1064</v>
      </c>
      <c r="Z679" t="s">
        <v>969</v>
      </c>
      <c r="AA679" t="s">
        <v>1119</v>
      </c>
      <c r="AB679" t="s">
        <v>991</v>
      </c>
      <c r="AC679" t="s">
        <v>987</v>
      </c>
      <c r="AD679" t="s">
        <v>1049</v>
      </c>
      <c r="AE679" t="s">
        <v>927</v>
      </c>
      <c r="AF679">
        <f t="shared" si="20"/>
        <v>1.7999999999999998</v>
      </c>
      <c r="AG679">
        <f t="shared" si="21"/>
        <v>1.8338000000000001</v>
      </c>
    </row>
    <row r="680" spans="1:33" x14ac:dyDescent="0.25">
      <c r="A680" t="s">
        <v>2747</v>
      </c>
      <c r="B680" t="s">
        <v>2748</v>
      </c>
      <c r="C680" t="s">
        <v>902</v>
      </c>
      <c r="D680" t="s">
        <v>974</v>
      </c>
      <c r="E680" t="s">
        <v>72</v>
      </c>
      <c r="F680" t="s">
        <v>1399</v>
      </c>
      <c r="G680" t="s">
        <v>1031</v>
      </c>
      <c r="H680" t="s">
        <v>944</v>
      </c>
      <c r="I680" t="s">
        <v>987</v>
      </c>
      <c r="J680" t="s">
        <v>1195</v>
      </c>
      <c r="K680" t="s">
        <v>1638</v>
      </c>
      <c r="L680" t="s">
        <v>1600</v>
      </c>
      <c r="M680" t="s">
        <v>1600</v>
      </c>
      <c r="N680" t="s">
        <v>927</v>
      </c>
      <c r="O680" t="s">
        <v>987</v>
      </c>
      <c r="P680" t="s">
        <v>1195</v>
      </c>
      <c r="Q680" t="s">
        <v>1638</v>
      </c>
      <c r="R680" t="s">
        <v>1638</v>
      </c>
      <c r="S680" t="s">
        <v>934</v>
      </c>
      <c r="T680" t="s">
        <v>934</v>
      </c>
      <c r="U680" t="s">
        <v>2169</v>
      </c>
      <c r="V680" t="s">
        <v>1195</v>
      </c>
      <c r="W680" t="s">
        <v>924</v>
      </c>
      <c r="X680" t="s">
        <v>1030</v>
      </c>
      <c r="Y680" t="s">
        <v>969</v>
      </c>
      <c r="Z680" t="s">
        <v>934</v>
      </c>
      <c r="AA680" t="s">
        <v>991</v>
      </c>
      <c r="AB680" t="s">
        <v>969</v>
      </c>
      <c r="AC680" t="s">
        <v>945</v>
      </c>
      <c r="AD680" t="s">
        <v>968</v>
      </c>
      <c r="AE680" t="s">
        <v>927</v>
      </c>
      <c r="AF680">
        <f t="shared" si="20"/>
        <v>1.8</v>
      </c>
      <c r="AG680" t="e">
        <f t="shared" si="21"/>
        <v>#VALUE!</v>
      </c>
    </row>
    <row r="681" spans="1:33" x14ac:dyDescent="0.25">
      <c r="A681" t="s">
        <v>2747</v>
      </c>
      <c r="B681" t="s">
        <v>2748</v>
      </c>
      <c r="C681" t="s">
        <v>902</v>
      </c>
      <c r="D681" t="s">
        <v>129</v>
      </c>
      <c r="E681" t="s">
        <v>72</v>
      </c>
      <c r="F681" t="s">
        <v>1390</v>
      </c>
      <c r="G681" t="s">
        <v>1031</v>
      </c>
      <c r="H681" t="s">
        <v>1394</v>
      </c>
      <c r="I681" t="s">
        <v>1008</v>
      </c>
      <c r="J681" t="s">
        <v>945</v>
      </c>
      <c r="K681" t="s">
        <v>1325</v>
      </c>
      <c r="L681" t="s">
        <v>1600</v>
      </c>
      <c r="M681" t="s">
        <v>1600</v>
      </c>
      <c r="N681" t="s">
        <v>927</v>
      </c>
      <c r="O681" t="s">
        <v>1008</v>
      </c>
      <c r="P681" t="s">
        <v>945</v>
      </c>
      <c r="Q681" t="s">
        <v>1325</v>
      </c>
      <c r="R681" t="s">
        <v>1325</v>
      </c>
      <c r="S681" t="s">
        <v>934</v>
      </c>
      <c r="T681" t="s">
        <v>1094</v>
      </c>
      <c r="U681" t="s">
        <v>2169</v>
      </c>
      <c r="V681" t="s">
        <v>1195</v>
      </c>
      <c r="W681" t="s">
        <v>956</v>
      </c>
      <c r="X681" t="s">
        <v>970</v>
      </c>
      <c r="Y681" t="s">
        <v>969</v>
      </c>
      <c r="Z681" t="s">
        <v>934</v>
      </c>
      <c r="AA681" t="s">
        <v>1094</v>
      </c>
      <c r="AB681" t="s">
        <v>1065</v>
      </c>
      <c r="AC681" t="s">
        <v>945</v>
      </c>
      <c r="AD681" t="s">
        <v>1029</v>
      </c>
      <c r="AE681" t="s">
        <v>927</v>
      </c>
      <c r="AF681">
        <f t="shared" si="20"/>
        <v>1.5999999999999999</v>
      </c>
      <c r="AG681" t="e">
        <f t="shared" si="21"/>
        <v>#VALUE!</v>
      </c>
    </row>
    <row r="682" spans="1:33" x14ac:dyDescent="0.25">
      <c r="A682" t="s">
        <v>2747</v>
      </c>
      <c r="B682" t="s">
        <v>2748</v>
      </c>
      <c r="C682" t="s">
        <v>902</v>
      </c>
      <c r="D682" t="s">
        <v>105</v>
      </c>
      <c r="E682" t="s">
        <v>72</v>
      </c>
      <c r="F682" t="s">
        <v>1162</v>
      </c>
      <c r="G682" t="s">
        <v>1717</v>
      </c>
      <c r="H682" t="s">
        <v>1487</v>
      </c>
      <c r="I682" t="s">
        <v>945</v>
      </c>
      <c r="J682" t="s">
        <v>968</v>
      </c>
      <c r="K682" t="s">
        <v>2438</v>
      </c>
      <c r="L682" t="s">
        <v>1600</v>
      </c>
      <c r="M682" t="s">
        <v>1600</v>
      </c>
      <c r="N682" t="s">
        <v>927</v>
      </c>
      <c r="O682" t="s">
        <v>945</v>
      </c>
      <c r="P682" t="s">
        <v>968</v>
      </c>
      <c r="Q682" t="s">
        <v>2438</v>
      </c>
      <c r="R682" t="s">
        <v>2438</v>
      </c>
      <c r="S682" t="s">
        <v>1600</v>
      </c>
      <c r="T682" t="s">
        <v>1600</v>
      </c>
      <c r="U682" t="s">
        <v>927</v>
      </c>
      <c r="V682" t="s">
        <v>1230</v>
      </c>
      <c r="W682" t="s">
        <v>1000</v>
      </c>
      <c r="X682" t="s">
        <v>1046</v>
      </c>
      <c r="Y682" t="s">
        <v>987</v>
      </c>
      <c r="Z682" t="s">
        <v>1119</v>
      </c>
      <c r="AA682" t="s">
        <v>969</v>
      </c>
      <c r="AB682" t="s">
        <v>918</v>
      </c>
      <c r="AC682" t="s">
        <v>1230</v>
      </c>
      <c r="AD682" t="s">
        <v>924</v>
      </c>
      <c r="AE682" t="s">
        <v>927</v>
      </c>
      <c r="AF682">
        <f t="shared" si="20"/>
        <v>2.4</v>
      </c>
      <c r="AG682" t="e">
        <f t="shared" si="21"/>
        <v>#VALUE!</v>
      </c>
    </row>
    <row r="683" spans="1:33" x14ac:dyDescent="0.25">
      <c r="A683" t="s">
        <v>2749</v>
      </c>
      <c r="B683" t="s">
        <v>2750</v>
      </c>
      <c r="C683" t="s">
        <v>1293</v>
      </c>
      <c r="D683" t="s">
        <v>148</v>
      </c>
      <c r="E683" t="s">
        <v>93</v>
      </c>
      <c r="F683" t="s">
        <v>1147</v>
      </c>
      <c r="G683" t="s">
        <v>1717</v>
      </c>
      <c r="H683" t="s">
        <v>1483</v>
      </c>
      <c r="I683" t="s">
        <v>987</v>
      </c>
      <c r="J683" t="s">
        <v>956</v>
      </c>
      <c r="K683" t="s">
        <v>1683</v>
      </c>
      <c r="L683" t="s">
        <v>1094</v>
      </c>
      <c r="M683" t="s">
        <v>945</v>
      </c>
      <c r="N683" t="s">
        <v>2205</v>
      </c>
      <c r="O683" t="s">
        <v>1065</v>
      </c>
      <c r="P683" t="s">
        <v>987</v>
      </c>
      <c r="Q683" t="s">
        <v>1713</v>
      </c>
      <c r="R683" t="s">
        <v>1709</v>
      </c>
      <c r="S683" t="s">
        <v>1600</v>
      </c>
      <c r="T683" t="s">
        <v>1600</v>
      </c>
      <c r="U683" t="s">
        <v>927</v>
      </c>
      <c r="V683" t="s">
        <v>1065</v>
      </c>
      <c r="W683" t="s">
        <v>956</v>
      </c>
      <c r="X683" t="s">
        <v>993</v>
      </c>
      <c r="Y683" t="s">
        <v>1008</v>
      </c>
      <c r="Z683" t="s">
        <v>934</v>
      </c>
      <c r="AA683" t="s">
        <v>934</v>
      </c>
      <c r="AB683" t="s">
        <v>987</v>
      </c>
      <c r="AC683" t="s">
        <v>987</v>
      </c>
      <c r="AD683" t="s">
        <v>968</v>
      </c>
      <c r="AE683" t="s">
        <v>927</v>
      </c>
      <c r="AF683">
        <f t="shared" si="20"/>
        <v>1.9</v>
      </c>
      <c r="AG683" t="e">
        <f t="shared" si="21"/>
        <v>#VALUE!</v>
      </c>
    </row>
    <row r="684" spans="1:33" x14ac:dyDescent="0.25">
      <c r="A684" t="s">
        <v>2751</v>
      </c>
      <c r="B684" t="s">
        <v>2752</v>
      </c>
      <c r="C684" t="s">
        <v>973</v>
      </c>
      <c r="D684" t="s">
        <v>48</v>
      </c>
      <c r="E684" t="s">
        <v>63</v>
      </c>
      <c r="F684" t="s">
        <v>1376</v>
      </c>
      <c r="G684" t="s">
        <v>1717</v>
      </c>
      <c r="H684" t="s">
        <v>1291</v>
      </c>
      <c r="I684" t="s">
        <v>1008</v>
      </c>
      <c r="J684" t="s">
        <v>1012</v>
      </c>
      <c r="K684" t="s">
        <v>2753</v>
      </c>
      <c r="L684" t="s">
        <v>991</v>
      </c>
      <c r="M684" t="s">
        <v>1049</v>
      </c>
      <c r="N684" t="s">
        <v>2754</v>
      </c>
      <c r="O684" t="s">
        <v>1094</v>
      </c>
      <c r="P684" t="s">
        <v>969</v>
      </c>
      <c r="Q684" t="s">
        <v>1555</v>
      </c>
      <c r="R684" t="s">
        <v>1666</v>
      </c>
      <c r="S684" t="s">
        <v>1600</v>
      </c>
      <c r="T684" t="s">
        <v>1119</v>
      </c>
      <c r="U684" t="s">
        <v>1131</v>
      </c>
      <c r="V684" t="s">
        <v>934</v>
      </c>
      <c r="W684" t="s">
        <v>1065</v>
      </c>
      <c r="X684" t="s">
        <v>1008</v>
      </c>
      <c r="Y684" t="s">
        <v>1094</v>
      </c>
      <c r="Z684" t="s">
        <v>934</v>
      </c>
      <c r="AA684" t="s">
        <v>1119</v>
      </c>
      <c r="AB684" t="s">
        <v>1119</v>
      </c>
      <c r="AC684" t="s">
        <v>991</v>
      </c>
      <c r="AD684" t="s">
        <v>968</v>
      </c>
      <c r="AE684" t="s">
        <v>927</v>
      </c>
      <c r="AF684">
        <f t="shared" si="20"/>
        <v>1.8</v>
      </c>
      <c r="AG684">
        <f t="shared" si="21"/>
        <v>1.7970000000000002</v>
      </c>
    </row>
    <row r="685" spans="1:33" x14ac:dyDescent="0.25">
      <c r="A685" t="s">
        <v>2755</v>
      </c>
      <c r="B685" t="s">
        <v>2756</v>
      </c>
      <c r="C685" t="s">
        <v>1232</v>
      </c>
      <c r="D685" t="s">
        <v>79</v>
      </c>
      <c r="E685" t="s">
        <v>47</v>
      </c>
      <c r="F685" t="s">
        <v>1051</v>
      </c>
      <c r="G685" t="s">
        <v>1717</v>
      </c>
      <c r="H685" t="s">
        <v>1047</v>
      </c>
      <c r="I685" t="s">
        <v>1008</v>
      </c>
      <c r="J685" t="s">
        <v>968</v>
      </c>
      <c r="K685" t="s">
        <v>1870</v>
      </c>
      <c r="L685" t="s">
        <v>1600</v>
      </c>
      <c r="M685" t="s">
        <v>1094</v>
      </c>
      <c r="N685" t="s">
        <v>1646</v>
      </c>
      <c r="O685" t="s">
        <v>1008</v>
      </c>
      <c r="P685" t="s">
        <v>1310</v>
      </c>
      <c r="Q685" t="s">
        <v>1297</v>
      </c>
      <c r="R685" t="s">
        <v>1870</v>
      </c>
      <c r="S685" t="s">
        <v>1065</v>
      </c>
      <c r="T685" t="s">
        <v>1065</v>
      </c>
      <c r="U685" t="s">
        <v>2146</v>
      </c>
      <c r="V685" t="s">
        <v>934</v>
      </c>
      <c r="W685" t="s">
        <v>1065</v>
      </c>
      <c r="X685" t="s">
        <v>1008</v>
      </c>
      <c r="Y685" t="s">
        <v>1600</v>
      </c>
      <c r="Z685" t="s">
        <v>1600</v>
      </c>
      <c r="AA685" t="s">
        <v>1600</v>
      </c>
      <c r="AB685" t="s">
        <v>934</v>
      </c>
      <c r="AC685" t="s">
        <v>1008</v>
      </c>
      <c r="AD685" t="s">
        <v>968</v>
      </c>
      <c r="AE685" t="s">
        <v>927</v>
      </c>
      <c r="AF685">
        <f t="shared" si="20"/>
        <v>1.9</v>
      </c>
      <c r="AG685">
        <f t="shared" si="21"/>
        <v>1.8320000000000001</v>
      </c>
    </row>
    <row r="686" spans="1:33" x14ac:dyDescent="0.25">
      <c r="A686" t="s">
        <v>2757</v>
      </c>
      <c r="B686" t="s">
        <v>2758</v>
      </c>
      <c r="C686" t="s">
        <v>1084</v>
      </c>
      <c r="D686" t="s">
        <v>131</v>
      </c>
      <c r="E686" t="s">
        <v>93</v>
      </c>
      <c r="F686" t="s">
        <v>1137</v>
      </c>
      <c r="G686" t="s">
        <v>1717</v>
      </c>
      <c r="H686" t="s">
        <v>1103</v>
      </c>
      <c r="I686" t="s">
        <v>1008</v>
      </c>
      <c r="J686" t="s">
        <v>1195</v>
      </c>
      <c r="K686" t="s">
        <v>1381</v>
      </c>
      <c r="L686" t="s">
        <v>1094</v>
      </c>
      <c r="M686" t="s">
        <v>987</v>
      </c>
      <c r="N686" t="s">
        <v>2341</v>
      </c>
      <c r="O686" t="s">
        <v>991</v>
      </c>
      <c r="P686" t="s">
        <v>991</v>
      </c>
      <c r="Q686" t="s">
        <v>2146</v>
      </c>
      <c r="R686" t="s">
        <v>1990</v>
      </c>
      <c r="S686" t="s">
        <v>934</v>
      </c>
      <c r="T686" t="s">
        <v>934</v>
      </c>
      <c r="U686" t="s">
        <v>2146</v>
      </c>
      <c r="V686" t="s">
        <v>1094</v>
      </c>
      <c r="W686" t="s">
        <v>1065</v>
      </c>
      <c r="X686" t="s">
        <v>987</v>
      </c>
      <c r="Y686" t="s">
        <v>1094</v>
      </c>
      <c r="Z686" t="s">
        <v>1119</v>
      </c>
      <c r="AA686" t="s">
        <v>1119</v>
      </c>
      <c r="AB686" t="s">
        <v>934</v>
      </c>
      <c r="AC686" t="s">
        <v>918</v>
      </c>
      <c r="AD686" t="s">
        <v>968</v>
      </c>
      <c r="AE686" t="s">
        <v>927</v>
      </c>
      <c r="AF686">
        <f t="shared" si="20"/>
        <v>1.8999999999999997</v>
      </c>
      <c r="AG686">
        <f t="shared" si="21"/>
        <v>1.92</v>
      </c>
    </row>
    <row r="687" spans="1:33" x14ac:dyDescent="0.25">
      <c r="A687" t="s">
        <v>2759</v>
      </c>
      <c r="B687" t="s">
        <v>2760</v>
      </c>
      <c r="C687" t="s">
        <v>1084</v>
      </c>
      <c r="D687" t="s">
        <v>131</v>
      </c>
      <c r="E687" t="s">
        <v>56</v>
      </c>
      <c r="F687" t="s">
        <v>1051</v>
      </c>
      <c r="G687" t="s">
        <v>1717</v>
      </c>
      <c r="H687" t="s">
        <v>920</v>
      </c>
      <c r="I687" t="s">
        <v>1008</v>
      </c>
      <c r="J687" t="s">
        <v>987</v>
      </c>
      <c r="K687" t="s">
        <v>963</v>
      </c>
      <c r="L687" t="s">
        <v>934</v>
      </c>
      <c r="M687" t="s">
        <v>1094</v>
      </c>
      <c r="N687" t="s">
        <v>1131</v>
      </c>
      <c r="O687" t="s">
        <v>1065</v>
      </c>
      <c r="P687" t="s">
        <v>1065</v>
      </c>
      <c r="Q687" t="s">
        <v>2146</v>
      </c>
      <c r="R687" t="s">
        <v>2176</v>
      </c>
      <c r="S687" t="s">
        <v>1094</v>
      </c>
      <c r="T687" t="s">
        <v>1094</v>
      </c>
      <c r="U687" t="s">
        <v>2146</v>
      </c>
      <c r="V687" t="s">
        <v>934</v>
      </c>
      <c r="W687" t="s">
        <v>1094</v>
      </c>
      <c r="X687" t="s">
        <v>1065</v>
      </c>
      <c r="Y687" t="s">
        <v>923</v>
      </c>
      <c r="Z687" t="s">
        <v>1600</v>
      </c>
      <c r="AA687" t="s">
        <v>1600</v>
      </c>
      <c r="AB687" t="s">
        <v>934</v>
      </c>
      <c r="AC687" t="s">
        <v>1094</v>
      </c>
      <c r="AD687" t="s">
        <v>968</v>
      </c>
      <c r="AE687" t="s">
        <v>927</v>
      </c>
      <c r="AF687">
        <f t="shared" si="20"/>
        <v>1.9000000000000001</v>
      </c>
      <c r="AG687">
        <f t="shared" si="21"/>
        <v>1.75</v>
      </c>
    </row>
    <row r="688" spans="1:33" x14ac:dyDescent="0.25">
      <c r="A688" t="s">
        <v>2761</v>
      </c>
      <c r="B688" t="s">
        <v>2762</v>
      </c>
      <c r="C688" t="s">
        <v>1232</v>
      </c>
      <c r="D688" t="s">
        <v>129</v>
      </c>
      <c r="E688" t="s">
        <v>63</v>
      </c>
      <c r="F688" t="s">
        <v>1222</v>
      </c>
      <c r="G688" t="s">
        <v>1717</v>
      </c>
      <c r="H688" t="s">
        <v>985</v>
      </c>
      <c r="I688" t="s">
        <v>969</v>
      </c>
      <c r="J688" t="s">
        <v>922</v>
      </c>
      <c r="K688" t="s">
        <v>1750</v>
      </c>
      <c r="L688" t="s">
        <v>1094</v>
      </c>
      <c r="M688" t="s">
        <v>1064</v>
      </c>
      <c r="N688" t="s">
        <v>2530</v>
      </c>
      <c r="O688" t="s">
        <v>934</v>
      </c>
      <c r="P688" t="s">
        <v>1008</v>
      </c>
      <c r="Q688" t="s">
        <v>1666</v>
      </c>
      <c r="R688" t="s">
        <v>1761</v>
      </c>
      <c r="S688" t="s">
        <v>934</v>
      </c>
      <c r="T688" t="s">
        <v>1094</v>
      </c>
      <c r="U688" t="s">
        <v>1696</v>
      </c>
      <c r="V688" t="s">
        <v>934</v>
      </c>
      <c r="W688" t="s">
        <v>987</v>
      </c>
      <c r="X688" t="s">
        <v>923</v>
      </c>
      <c r="Y688" t="s">
        <v>1094</v>
      </c>
      <c r="Z688" t="s">
        <v>934</v>
      </c>
      <c r="AA688" t="s">
        <v>1119</v>
      </c>
      <c r="AB688" t="s">
        <v>934</v>
      </c>
      <c r="AC688" t="s">
        <v>991</v>
      </c>
      <c r="AD688" t="s">
        <v>922</v>
      </c>
      <c r="AE688" t="s">
        <v>927</v>
      </c>
      <c r="AF688">
        <f t="shared" si="20"/>
        <v>1.7</v>
      </c>
      <c r="AG688">
        <f t="shared" si="21"/>
        <v>1.6425000000000001</v>
      </c>
    </row>
    <row r="689" spans="1:33" x14ac:dyDescent="0.25">
      <c r="A689" t="s">
        <v>2763</v>
      </c>
      <c r="B689" t="s">
        <v>2764</v>
      </c>
      <c r="C689" t="s">
        <v>1084</v>
      </c>
      <c r="D689" t="s">
        <v>48</v>
      </c>
      <c r="E689" t="s">
        <v>63</v>
      </c>
      <c r="F689" t="s">
        <v>1245</v>
      </c>
      <c r="G689" t="s">
        <v>1717</v>
      </c>
      <c r="H689" t="s">
        <v>1063</v>
      </c>
      <c r="I689" t="s">
        <v>969</v>
      </c>
      <c r="J689" t="s">
        <v>1230</v>
      </c>
      <c r="K689" t="s">
        <v>1719</v>
      </c>
      <c r="L689" t="s">
        <v>1065</v>
      </c>
      <c r="M689" t="s">
        <v>923</v>
      </c>
      <c r="N689" t="s">
        <v>1249</v>
      </c>
      <c r="O689" t="s">
        <v>1119</v>
      </c>
      <c r="P689" t="s">
        <v>991</v>
      </c>
      <c r="Q689" t="s">
        <v>935</v>
      </c>
      <c r="R689" t="s">
        <v>1215</v>
      </c>
      <c r="S689" t="s">
        <v>1119</v>
      </c>
      <c r="T689" t="s">
        <v>1119</v>
      </c>
      <c r="U689" t="s">
        <v>2146</v>
      </c>
      <c r="V689" t="s">
        <v>991</v>
      </c>
      <c r="W689" t="s">
        <v>987</v>
      </c>
      <c r="X689" t="s">
        <v>945</v>
      </c>
      <c r="Y689" t="s">
        <v>934</v>
      </c>
      <c r="Z689" t="s">
        <v>934</v>
      </c>
      <c r="AA689" t="s">
        <v>1600</v>
      </c>
      <c r="AB689" t="s">
        <v>934</v>
      </c>
      <c r="AC689" t="s">
        <v>969</v>
      </c>
      <c r="AD689" t="s">
        <v>922</v>
      </c>
      <c r="AE689" t="s">
        <v>927</v>
      </c>
      <c r="AF689">
        <f t="shared" si="20"/>
        <v>1.8</v>
      </c>
      <c r="AG689">
        <f t="shared" si="21"/>
        <v>1.7056</v>
      </c>
    </row>
    <row r="690" spans="1:33" x14ac:dyDescent="0.25">
      <c r="A690" t="s">
        <v>2765</v>
      </c>
      <c r="B690" t="s">
        <v>2766</v>
      </c>
      <c r="C690" t="s">
        <v>995</v>
      </c>
      <c r="D690" t="s">
        <v>148</v>
      </c>
      <c r="E690" t="s">
        <v>72</v>
      </c>
      <c r="F690" t="s">
        <v>1232</v>
      </c>
      <c r="G690" t="s">
        <v>1717</v>
      </c>
      <c r="H690" t="s">
        <v>979</v>
      </c>
      <c r="I690" t="s">
        <v>1008</v>
      </c>
      <c r="J690" t="s">
        <v>1195</v>
      </c>
      <c r="K690" t="s">
        <v>1494</v>
      </c>
      <c r="L690" t="s">
        <v>1119</v>
      </c>
      <c r="M690" t="s">
        <v>991</v>
      </c>
      <c r="N690" t="s">
        <v>2152</v>
      </c>
      <c r="O690" t="s">
        <v>969</v>
      </c>
      <c r="P690" t="s">
        <v>987</v>
      </c>
      <c r="Q690" t="s">
        <v>2049</v>
      </c>
      <c r="R690" t="s">
        <v>1842</v>
      </c>
      <c r="S690" t="s">
        <v>934</v>
      </c>
      <c r="T690" t="s">
        <v>934</v>
      </c>
      <c r="U690" t="s">
        <v>2049</v>
      </c>
      <c r="V690" t="s">
        <v>1094</v>
      </c>
      <c r="W690" t="s">
        <v>987</v>
      </c>
      <c r="X690" t="s">
        <v>945</v>
      </c>
      <c r="Y690" t="s">
        <v>934</v>
      </c>
      <c r="Z690" t="s">
        <v>1600</v>
      </c>
      <c r="AA690" t="s">
        <v>934</v>
      </c>
      <c r="AB690" t="s">
        <v>1119</v>
      </c>
      <c r="AC690" t="s">
        <v>969</v>
      </c>
      <c r="AD690" t="s">
        <v>922</v>
      </c>
      <c r="AE690" t="s">
        <v>927</v>
      </c>
      <c r="AF690">
        <f t="shared" si="20"/>
        <v>1.7</v>
      </c>
      <c r="AG690">
        <f t="shared" si="21"/>
        <v>1.8000000000000003</v>
      </c>
    </row>
    <row r="691" spans="1:33" x14ac:dyDescent="0.25">
      <c r="A691" t="s">
        <v>2767</v>
      </c>
      <c r="B691" t="s">
        <v>2768</v>
      </c>
      <c r="C691" t="s">
        <v>1084</v>
      </c>
      <c r="D691" t="s">
        <v>131</v>
      </c>
      <c r="E691" t="s">
        <v>93</v>
      </c>
      <c r="F691" t="s">
        <v>1051</v>
      </c>
      <c r="G691" t="s">
        <v>1717</v>
      </c>
      <c r="H691" t="s">
        <v>1081</v>
      </c>
      <c r="I691" t="s">
        <v>1008</v>
      </c>
      <c r="J691" t="s">
        <v>1195</v>
      </c>
      <c r="K691" t="s">
        <v>1131</v>
      </c>
      <c r="L691" t="s">
        <v>1600</v>
      </c>
      <c r="M691" t="s">
        <v>934</v>
      </c>
      <c r="N691" t="s">
        <v>1646</v>
      </c>
      <c r="O691" t="s">
        <v>1008</v>
      </c>
      <c r="P691" t="s">
        <v>945</v>
      </c>
      <c r="Q691" t="s">
        <v>913</v>
      </c>
      <c r="R691" t="s">
        <v>1131</v>
      </c>
      <c r="S691" t="s">
        <v>1094</v>
      </c>
      <c r="T691" t="s">
        <v>1094</v>
      </c>
      <c r="U691" t="s">
        <v>2146</v>
      </c>
      <c r="V691" t="s">
        <v>1008</v>
      </c>
      <c r="W691" t="s">
        <v>1008</v>
      </c>
      <c r="X691" t="s">
        <v>1195</v>
      </c>
      <c r="Y691" t="s">
        <v>1094</v>
      </c>
      <c r="Z691" t="s">
        <v>934</v>
      </c>
      <c r="AA691" t="s">
        <v>1600</v>
      </c>
      <c r="AB691" t="s">
        <v>1600</v>
      </c>
      <c r="AC691" t="s">
        <v>1065</v>
      </c>
      <c r="AD691" t="s">
        <v>922</v>
      </c>
      <c r="AE691" t="s">
        <v>927</v>
      </c>
      <c r="AF691">
        <f t="shared" si="20"/>
        <v>1.7</v>
      </c>
      <c r="AG691">
        <f t="shared" si="21"/>
        <v>1.5562</v>
      </c>
    </row>
    <row r="692" spans="1:33" x14ac:dyDescent="0.25">
      <c r="A692" t="s">
        <v>2769</v>
      </c>
      <c r="B692" t="s">
        <v>489</v>
      </c>
      <c r="C692" t="s">
        <v>1355</v>
      </c>
      <c r="D692" t="s">
        <v>85</v>
      </c>
      <c r="E692" t="s">
        <v>72</v>
      </c>
      <c r="F692" t="s">
        <v>1233</v>
      </c>
      <c r="G692" t="s">
        <v>1717</v>
      </c>
      <c r="H692" t="s">
        <v>989</v>
      </c>
      <c r="I692" t="s">
        <v>987</v>
      </c>
      <c r="J692" t="s">
        <v>968</v>
      </c>
      <c r="K692" t="s">
        <v>1088</v>
      </c>
      <c r="L692" t="s">
        <v>1600</v>
      </c>
      <c r="M692" t="s">
        <v>1119</v>
      </c>
      <c r="N692" t="s">
        <v>1646</v>
      </c>
      <c r="O692" t="s">
        <v>987</v>
      </c>
      <c r="P692" t="s">
        <v>922</v>
      </c>
      <c r="Q692" t="s">
        <v>1923</v>
      </c>
      <c r="R692" t="s">
        <v>1088</v>
      </c>
      <c r="S692" t="s">
        <v>934</v>
      </c>
      <c r="T692" t="s">
        <v>987</v>
      </c>
      <c r="U692" t="s">
        <v>1198</v>
      </c>
      <c r="V692" t="s">
        <v>987</v>
      </c>
      <c r="W692" t="s">
        <v>1012</v>
      </c>
      <c r="X692" t="s">
        <v>1000</v>
      </c>
      <c r="Y692" t="s">
        <v>969</v>
      </c>
      <c r="Z692" t="s">
        <v>1119</v>
      </c>
      <c r="AA692" t="s">
        <v>1094</v>
      </c>
      <c r="AB692" t="s">
        <v>991</v>
      </c>
      <c r="AC692" t="s">
        <v>918</v>
      </c>
      <c r="AD692" t="s">
        <v>922</v>
      </c>
      <c r="AE692" t="s">
        <v>927</v>
      </c>
      <c r="AF692">
        <f t="shared" si="20"/>
        <v>1.8</v>
      </c>
      <c r="AG692">
        <f t="shared" si="21"/>
        <v>1.7368000000000001</v>
      </c>
    </row>
    <row r="693" spans="1:33" x14ac:dyDescent="0.25">
      <c r="A693" t="s">
        <v>2770</v>
      </c>
      <c r="B693" t="s">
        <v>2771</v>
      </c>
      <c r="C693" t="s">
        <v>1176</v>
      </c>
      <c r="D693" t="s">
        <v>974</v>
      </c>
      <c r="E693" t="s">
        <v>72</v>
      </c>
      <c r="F693" t="s">
        <v>1123</v>
      </c>
      <c r="G693" t="s">
        <v>1067</v>
      </c>
      <c r="H693" t="s">
        <v>1010</v>
      </c>
      <c r="I693" t="s">
        <v>1008</v>
      </c>
      <c r="J693" t="s">
        <v>1230</v>
      </c>
      <c r="K693" t="s">
        <v>1471</v>
      </c>
      <c r="L693" t="s">
        <v>1600</v>
      </c>
      <c r="M693" t="s">
        <v>934</v>
      </c>
      <c r="N693" t="s">
        <v>935</v>
      </c>
      <c r="O693" t="s">
        <v>1008</v>
      </c>
      <c r="P693" t="s">
        <v>945</v>
      </c>
      <c r="Q693" t="s">
        <v>1401</v>
      </c>
      <c r="R693" t="s">
        <v>1551</v>
      </c>
      <c r="S693" t="s">
        <v>934</v>
      </c>
      <c r="T693" t="s">
        <v>991</v>
      </c>
      <c r="U693" t="s">
        <v>1916</v>
      </c>
      <c r="V693" t="s">
        <v>987</v>
      </c>
      <c r="W693" t="s">
        <v>945</v>
      </c>
      <c r="X693" t="s">
        <v>908</v>
      </c>
      <c r="Y693" t="s">
        <v>987</v>
      </c>
      <c r="Z693" t="s">
        <v>934</v>
      </c>
      <c r="AA693" t="s">
        <v>1065</v>
      </c>
      <c r="AB693" t="s">
        <v>991</v>
      </c>
      <c r="AC693" t="s">
        <v>945</v>
      </c>
      <c r="AD693" t="s">
        <v>1029</v>
      </c>
      <c r="AE693" t="s">
        <v>927</v>
      </c>
      <c r="AF693">
        <f t="shared" si="20"/>
        <v>1.5999999999999999</v>
      </c>
      <c r="AG693">
        <f t="shared" si="21"/>
        <v>1.6560000000000001</v>
      </c>
    </row>
    <row r="694" spans="1:33" x14ac:dyDescent="0.25">
      <c r="A694" t="s">
        <v>2770</v>
      </c>
      <c r="B694" t="s">
        <v>2771</v>
      </c>
      <c r="C694" t="s">
        <v>1176</v>
      </c>
      <c r="D694" t="s">
        <v>121</v>
      </c>
      <c r="E694" t="s">
        <v>72</v>
      </c>
      <c r="F694" t="s">
        <v>1068</v>
      </c>
      <c r="G694" t="s">
        <v>949</v>
      </c>
      <c r="H694" t="s">
        <v>1026</v>
      </c>
      <c r="I694" t="s">
        <v>969</v>
      </c>
      <c r="J694" t="s">
        <v>1064</v>
      </c>
      <c r="K694" t="s">
        <v>1058</v>
      </c>
      <c r="L694" t="s">
        <v>1600</v>
      </c>
      <c r="M694" t="s">
        <v>934</v>
      </c>
      <c r="N694" t="s">
        <v>2388</v>
      </c>
      <c r="O694" t="s">
        <v>969</v>
      </c>
      <c r="P694" t="s">
        <v>923</v>
      </c>
      <c r="Q694" t="s">
        <v>1836</v>
      </c>
      <c r="R694" t="s">
        <v>1209</v>
      </c>
      <c r="S694" t="s">
        <v>934</v>
      </c>
      <c r="T694" t="s">
        <v>991</v>
      </c>
      <c r="U694" t="s">
        <v>1307</v>
      </c>
      <c r="V694" t="s">
        <v>1008</v>
      </c>
      <c r="W694" t="s">
        <v>1064</v>
      </c>
      <c r="X694" t="s">
        <v>968</v>
      </c>
      <c r="Y694" t="s">
        <v>987</v>
      </c>
      <c r="Z694" t="s">
        <v>934</v>
      </c>
      <c r="AA694" t="s">
        <v>1065</v>
      </c>
      <c r="AB694" t="s">
        <v>1094</v>
      </c>
      <c r="AC694" t="s">
        <v>923</v>
      </c>
      <c r="AD694" t="s">
        <v>1230</v>
      </c>
      <c r="AE694" t="s">
        <v>927</v>
      </c>
      <c r="AF694">
        <f t="shared" si="20"/>
        <v>1.4</v>
      </c>
      <c r="AG694">
        <f t="shared" si="21"/>
        <v>1.3954000000000002</v>
      </c>
    </row>
    <row r="695" spans="1:33" x14ac:dyDescent="0.25">
      <c r="A695" t="s">
        <v>2770</v>
      </c>
      <c r="B695" t="s">
        <v>2771</v>
      </c>
      <c r="C695" t="s">
        <v>1176</v>
      </c>
      <c r="D695" t="s">
        <v>1014</v>
      </c>
      <c r="E695" t="s">
        <v>72</v>
      </c>
      <c r="F695" t="s">
        <v>1106</v>
      </c>
      <c r="G695" t="s">
        <v>972</v>
      </c>
      <c r="H695" t="s">
        <v>1241</v>
      </c>
      <c r="I695" t="s">
        <v>923</v>
      </c>
      <c r="J695" t="s">
        <v>925</v>
      </c>
      <c r="K695" t="s">
        <v>1665</v>
      </c>
      <c r="L695" t="s">
        <v>1119</v>
      </c>
      <c r="M695" t="s">
        <v>1094</v>
      </c>
      <c r="N695" t="s">
        <v>1666</v>
      </c>
      <c r="O695" t="s">
        <v>918</v>
      </c>
      <c r="P695" t="s">
        <v>1049</v>
      </c>
      <c r="Q695" t="s">
        <v>1268</v>
      </c>
      <c r="R695" t="s">
        <v>1358</v>
      </c>
      <c r="S695" t="s">
        <v>1119</v>
      </c>
      <c r="T695" t="s">
        <v>991</v>
      </c>
      <c r="U695" t="s">
        <v>2152</v>
      </c>
      <c r="V695" t="s">
        <v>1195</v>
      </c>
      <c r="W695" t="s">
        <v>968</v>
      </c>
      <c r="X695" t="s">
        <v>946</v>
      </c>
      <c r="Y695" t="s">
        <v>987</v>
      </c>
      <c r="Z695" t="s">
        <v>1119</v>
      </c>
      <c r="AA695" t="s">
        <v>1094</v>
      </c>
      <c r="AB695" t="s">
        <v>918</v>
      </c>
      <c r="AC695" t="s">
        <v>908</v>
      </c>
      <c r="AD695" t="s">
        <v>925</v>
      </c>
      <c r="AE695" t="s">
        <v>927</v>
      </c>
      <c r="AF695">
        <f t="shared" si="20"/>
        <v>2.2000000000000002</v>
      </c>
      <c r="AG695">
        <f t="shared" si="21"/>
        <v>2.2009000000000003</v>
      </c>
    </row>
    <row r="696" spans="1:33" x14ac:dyDescent="0.25">
      <c r="A696" t="s">
        <v>2772</v>
      </c>
      <c r="B696" t="s">
        <v>2773</v>
      </c>
      <c r="C696" t="s">
        <v>1032</v>
      </c>
      <c r="D696" t="s">
        <v>156</v>
      </c>
      <c r="E696" t="s">
        <v>56</v>
      </c>
      <c r="F696" t="s">
        <v>995</v>
      </c>
      <c r="G696" t="s">
        <v>1717</v>
      </c>
      <c r="H696" t="s">
        <v>1081</v>
      </c>
      <c r="I696" t="s">
        <v>1065</v>
      </c>
      <c r="J696" t="s">
        <v>1230</v>
      </c>
      <c r="K696" t="s">
        <v>1798</v>
      </c>
      <c r="L696" t="s">
        <v>1094</v>
      </c>
      <c r="M696" t="s">
        <v>923</v>
      </c>
      <c r="N696" t="s">
        <v>2259</v>
      </c>
      <c r="O696" t="s">
        <v>934</v>
      </c>
      <c r="P696" t="s">
        <v>1094</v>
      </c>
      <c r="Q696" t="s">
        <v>913</v>
      </c>
      <c r="R696" t="s">
        <v>1466</v>
      </c>
      <c r="S696" t="s">
        <v>1094</v>
      </c>
      <c r="T696" t="s">
        <v>991</v>
      </c>
      <c r="U696" t="s">
        <v>1864</v>
      </c>
      <c r="V696" t="s">
        <v>1600</v>
      </c>
      <c r="W696" t="s">
        <v>1065</v>
      </c>
      <c r="X696" t="s">
        <v>1065</v>
      </c>
      <c r="Y696" t="s">
        <v>918</v>
      </c>
      <c r="Z696" t="s">
        <v>1119</v>
      </c>
      <c r="AA696" t="s">
        <v>1600</v>
      </c>
      <c r="AB696" t="s">
        <v>934</v>
      </c>
      <c r="AC696" t="s">
        <v>991</v>
      </c>
      <c r="AD696" t="s">
        <v>1029</v>
      </c>
      <c r="AE696" t="s">
        <v>927</v>
      </c>
      <c r="AF696">
        <f t="shared" si="20"/>
        <v>1.5999999999999999</v>
      </c>
      <c r="AG696">
        <f t="shared" si="21"/>
        <v>1.6799999999999997</v>
      </c>
    </row>
    <row r="697" spans="1:33" x14ac:dyDescent="0.25">
      <c r="A697" t="s">
        <v>2774</v>
      </c>
      <c r="B697" t="s">
        <v>2775</v>
      </c>
      <c r="C697" t="s">
        <v>1015</v>
      </c>
      <c r="D697" t="s">
        <v>65</v>
      </c>
      <c r="E697" t="s">
        <v>93</v>
      </c>
      <c r="F697" t="s">
        <v>1096</v>
      </c>
      <c r="G697" t="s">
        <v>1717</v>
      </c>
      <c r="H697" t="s">
        <v>1134</v>
      </c>
      <c r="I697" t="s">
        <v>969</v>
      </c>
      <c r="J697" t="s">
        <v>1049</v>
      </c>
      <c r="K697" t="s">
        <v>2420</v>
      </c>
      <c r="L697" t="s">
        <v>991</v>
      </c>
      <c r="M697" t="s">
        <v>1230</v>
      </c>
      <c r="N697" t="s">
        <v>1567</v>
      </c>
      <c r="O697" t="s">
        <v>1119</v>
      </c>
      <c r="P697" t="s">
        <v>991</v>
      </c>
      <c r="Q697" t="s">
        <v>2152</v>
      </c>
      <c r="R697" t="s">
        <v>1467</v>
      </c>
      <c r="S697" t="s">
        <v>1600</v>
      </c>
      <c r="T697" t="s">
        <v>1600</v>
      </c>
      <c r="U697" t="s">
        <v>927</v>
      </c>
      <c r="V697" t="s">
        <v>934</v>
      </c>
      <c r="W697" t="s">
        <v>1094</v>
      </c>
      <c r="X697" t="s">
        <v>969</v>
      </c>
      <c r="Y697" t="s">
        <v>1119</v>
      </c>
      <c r="Z697" t="s">
        <v>1600</v>
      </c>
      <c r="AA697" t="s">
        <v>934</v>
      </c>
      <c r="AB697" t="s">
        <v>934</v>
      </c>
      <c r="AC697" t="s">
        <v>1094</v>
      </c>
      <c r="AD697" t="s">
        <v>1029</v>
      </c>
      <c r="AE697" t="s">
        <v>927</v>
      </c>
      <c r="AF697">
        <f t="shared" si="20"/>
        <v>1.6</v>
      </c>
      <c r="AG697" t="e">
        <f t="shared" si="21"/>
        <v>#VALUE!</v>
      </c>
    </row>
    <row r="698" spans="1:33" x14ac:dyDescent="0.25">
      <c r="A698" t="s">
        <v>2776</v>
      </c>
      <c r="B698" t="s">
        <v>2777</v>
      </c>
      <c r="C698" t="s">
        <v>995</v>
      </c>
      <c r="D698" t="s">
        <v>1014</v>
      </c>
      <c r="E698" t="s">
        <v>47</v>
      </c>
      <c r="F698" t="s">
        <v>1096</v>
      </c>
      <c r="G698" t="s">
        <v>1717</v>
      </c>
      <c r="H698" t="s">
        <v>988</v>
      </c>
      <c r="I698" t="s">
        <v>1008</v>
      </c>
      <c r="J698" t="s">
        <v>908</v>
      </c>
      <c r="K698" t="s">
        <v>2530</v>
      </c>
      <c r="L698" t="s">
        <v>1600</v>
      </c>
      <c r="M698" t="s">
        <v>987</v>
      </c>
      <c r="N698" t="s">
        <v>1646</v>
      </c>
      <c r="O698" t="s">
        <v>1008</v>
      </c>
      <c r="P698" t="s">
        <v>1195</v>
      </c>
      <c r="Q698" t="s">
        <v>1131</v>
      </c>
      <c r="R698" t="s">
        <v>2530</v>
      </c>
      <c r="S698" t="s">
        <v>934</v>
      </c>
      <c r="T698" t="s">
        <v>987</v>
      </c>
      <c r="U698" t="s">
        <v>1785</v>
      </c>
      <c r="V698" t="s">
        <v>934</v>
      </c>
      <c r="W698" t="s">
        <v>1230</v>
      </c>
      <c r="X698" t="s">
        <v>922</v>
      </c>
      <c r="Y698" t="s">
        <v>1119</v>
      </c>
      <c r="Z698" t="s">
        <v>991</v>
      </c>
      <c r="AA698" t="s">
        <v>934</v>
      </c>
      <c r="AB698" t="s">
        <v>1094</v>
      </c>
      <c r="AC698" t="s">
        <v>1008</v>
      </c>
      <c r="AD698" t="s">
        <v>1029</v>
      </c>
      <c r="AE698" t="s">
        <v>927</v>
      </c>
      <c r="AF698">
        <f t="shared" si="20"/>
        <v>1.5999999999999999</v>
      </c>
      <c r="AG698">
        <f t="shared" si="21"/>
        <v>1.5287999999999999</v>
      </c>
    </row>
    <row r="699" spans="1:33" x14ac:dyDescent="0.25">
      <c r="A699" t="s">
        <v>2778</v>
      </c>
      <c r="B699" t="s">
        <v>2779</v>
      </c>
      <c r="C699" t="s">
        <v>1238</v>
      </c>
      <c r="D699" t="s">
        <v>113</v>
      </c>
      <c r="E699" t="s">
        <v>93</v>
      </c>
      <c r="F699" t="s">
        <v>1085</v>
      </c>
      <c r="G699" t="s">
        <v>901</v>
      </c>
      <c r="H699" t="s">
        <v>1011</v>
      </c>
      <c r="I699" t="s">
        <v>969</v>
      </c>
      <c r="J699" t="s">
        <v>1029</v>
      </c>
      <c r="K699" t="s">
        <v>1400</v>
      </c>
      <c r="L699" t="s">
        <v>1094</v>
      </c>
      <c r="M699" t="s">
        <v>1064</v>
      </c>
      <c r="N699" t="s">
        <v>2414</v>
      </c>
      <c r="O699" t="s">
        <v>1094</v>
      </c>
      <c r="P699" t="s">
        <v>1065</v>
      </c>
      <c r="Q699" t="s">
        <v>984</v>
      </c>
      <c r="R699" t="s">
        <v>1055</v>
      </c>
      <c r="S699" t="s">
        <v>1119</v>
      </c>
      <c r="T699" t="s">
        <v>934</v>
      </c>
      <c r="U699" t="s">
        <v>1494</v>
      </c>
      <c r="V699" t="s">
        <v>991</v>
      </c>
      <c r="W699" t="s">
        <v>918</v>
      </c>
      <c r="X699" t="s">
        <v>1195</v>
      </c>
      <c r="Y699" t="s">
        <v>991</v>
      </c>
      <c r="Z699" t="s">
        <v>934</v>
      </c>
      <c r="AA699" t="s">
        <v>934</v>
      </c>
      <c r="AB699" t="s">
        <v>1094</v>
      </c>
      <c r="AC699" t="s">
        <v>969</v>
      </c>
      <c r="AD699" t="s">
        <v>1029</v>
      </c>
      <c r="AE699" t="s">
        <v>927</v>
      </c>
      <c r="AF699">
        <f t="shared" si="20"/>
        <v>1.6</v>
      </c>
      <c r="AG699">
        <f t="shared" si="21"/>
        <v>1.5535000000000003</v>
      </c>
    </row>
    <row r="700" spans="1:33" x14ac:dyDescent="0.25">
      <c r="A700" t="s">
        <v>2780</v>
      </c>
      <c r="B700" t="s">
        <v>2781</v>
      </c>
      <c r="C700" t="s">
        <v>995</v>
      </c>
      <c r="D700" t="s">
        <v>108</v>
      </c>
      <c r="E700" t="s">
        <v>93</v>
      </c>
      <c r="F700" t="s">
        <v>1031</v>
      </c>
      <c r="G700" t="s">
        <v>1717</v>
      </c>
      <c r="H700" t="s">
        <v>916</v>
      </c>
      <c r="I700" t="s">
        <v>969</v>
      </c>
      <c r="J700" t="s">
        <v>1081</v>
      </c>
      <c r="K700" t="s">
        <v>2486</v>
      </c>
      <c r="L700" t="s">
        <v>1600</v>
      </c>
      <c r="M700" t="s">
        <v>956</v>
      </c>
      <c r="N700" t="s">
        <v>1646</v>
      </c>
      <c r="O700" t="s">
        <v>969</v>
      </c>
      <c r="P700" t="s">
        <v>925</v>
      </c>
      <c r="Q700" t="s">
        <v>2414</v>
      </c>
      <c r="R700" t="s">
        <v>2486</v>
      </c>
      <c r="S700" t="s">
        <v>991</v>
      </c>
      <c r="T700" t="s">
        <v>991</v>
      </c>
      <c r="U700" t="s">
        <v>2146</v>
      </c>
      <c r="V700" t="s">
        <v>991</v>
      </c>
      <c r="W700" t="s">
        <v>945</v>
      </c>
      <c r="X700" t="s">
        <v>1029</v>
      </c>
      <c r="Y700" t="s">
        <v>991</v>
      </c>
      <c r="Z700" t="s">
        <v>934</v>
      </c>
      <c r="AA700" t="s">
        <v>991</v>
      </c>
      <c r="AB700" t="s">
        <v>934</v>
      </c>
      <c r="AC700" t="s">
        <v>934</v>
      </c>
      <c r="AD700" t="s">
        <v>1029</v>
      </c>
      <c r="AE700" t="s">
        <v>927</v>
      </c>
      <c r="AF700">
        <f t="shared" si="20"/>
        <v>1.6</v>
      </c>
      <c r="AG700">
        <f t="shared" si="21"/>
        <v>1.6012000000000004</v>
      </c>
    </row>
    <row r="701" spans="1:33" x14ac:dyDescent="0.25">
      <c r="A701" t="s">
        <v>2782</v>
      </c>
      <c r="B701" t="s">
        <v>2783</v>
      </c>
      <c r="C701" t="s">
        <v>1238</v>
      </c>
      <c r="D701" t="s">
        <v>974</v>
      </c>
      <c r="E701" t="s">
        <v>47</v>
      </c>
      <c r="F701" t="s">
        <v>995</v>
      </c>
      <c r="G701" t="s">
        <v>1717</v>
      </c>
      <c r="H701" t="s">
        <v>962</v>
      </c>
      <c r="I701" t="s">
        <v>969</v>
      </c>
      <c r="J701" t="s">
        <v>1230</v>
      </c>
      <c r="K701" t="s">
        <v>1784</v>
      </c>
      <c r="L701" t="s">
        <v>1119</v>
      </c>
      <c r="M701" t="s">
        <v>969</v>
      </c>
      <c r="N701" t="s">
        <v>1216</v>
      </c>
      <c r="O701" t="s">
        <v>1065</v>
      </c>
      <c r="P701" t="s">
        <v>987</v>
      </c>
      <c r="Q701" t="s">
        <v>1911</v>
      </c>
      <c r="R701" t="s">
        <v>1466</v>
      </c>
      <c r="S701" t="s">
        <v>1119</v>
      </c>
      <c r="T701" t="s">
        <v>991</v>
      </c>
      <c r="U701" t="s">
        <v>1666</v>
      </c>
      <c r="V701" t="s">
        <v>991</v>
      </c>
      <c r="W701" t="s">
        <v>969</v>
      </c>
      <c r="X701" t="s">
        <v>923</v>
      </c>
      <c r="Y701" t="s">
        <v>1008</v>
      </c>
      <c r="Z701" t="s">
        <v>1119</v>
      </c>
      <c r="AA701" t="s">
        <v>1600</v>
      </c>
      <c r="AB701" t="s">
        <v>1065</v>
      </c>
      <c r="AC701" t="s">
        <v>1065</v>
      </c>
      <c r="AD701" t="s">
        <v>1310</v>
      </c>
      <c r="AE701" t="s">
        <v>927</v>
      </c>
      <c r="AF701">
        <f t="shared" si="20"/>
        <v>1.4000000000000001</v>
      </c>
      <c r="AG701">
        <f t="shared" si="21"/>
        <v>1.4897999999999998</v>
      </c>
    </row>
    <row r="702" spans="1:33" x14ac:dyDescent="0.25">
      <c r="A702" t="s">
        <v>2782</v>
      </c>
      <c r="B702" t="s">
        <v>2783</v>
      </c>
      <c r="C702" t="s">
        <v>1238</v>
      </c>
      <c r="D702" t="s">
        <v>70</v>
      </c>
      <c r="E702" t="s">
        <v>47</v>
      </c>
      <c r="F702" t="s">
        <v>1212</v>
      </c>
      <c r="G702" t="s">
        <v>1717</v>
      </c>
      <c r="H702" t="s">
        <v>1048</v>
      </c>
      <c r="I702" t="s">
        <v>1065</v>
      </c>
      <c r="J702" t="s">
        <v>1064</v>
      </c>
      <c r="K702" t="s">
        <v>1131</v>
      </c>
      <c r="L702" t="s">
        <v>934</v>
      </c>
      <c r="M702" t="s">
        <v>991</v>
      </c>
      <c r="N702" t="s">
        <v>1729</v>
      </c>
      <c r="O702" t="s">
        <v>991</v>
      </c>
      <c r="P702" t="s">
        <v>969</v>
      </c>
      <c r="Q702" t="s">
        <v>1713</v>
      </c>
      <c r="R702" t="s">
        <v>1494</v>
      </c>
      <c r="S702" t="s">
        <v>1119</v>
      </c>
      <c r="T702" t="s">
        <v>991</v>
      </c>
      <c r="U702" t="s">
        <v>2388</v>
      </c>
      <c r="V702" t="s">
        <v>934</v>
      </c>
      <c r="W702" t="s">
        <v>991</v>
      </c>
      <c r="X702" t="s">
        <v>969</v>
      </c>
      <c r="Y702" t="s">
        <v>991</v>
      </c>
      <c r="Z702" t="s">
        <v>1119</v>
      </c>
      <c r="AA702" t="s">
        <v>1600</v>
      </c>
      <c r="AB702" t="s">
        <v>1119</v>
      </c>
      <c r="AC702" t="s">
        <v>991</v>
      </c>
      <c r="AD702" t="s">
        <v>1195</v>
      </c>
      <c r="AE702" t="s">
        <v>927</v>
      </c>
      <c r="AF702">
        <f t="shared" si="20"/>
        <v>1.3000000000000003</v>
      </c>
      <c r="AG702">
        <f t="shared" si="21"/>
        <v>1.3446</v>
      </c>
    </row>
    <row r="703" spans="1:33" x14ac:dyDescent="0.25">
      <c r="A703" t="s">
        <v>2782</v>
      </c>
      <c r="B703" t="s">
        <v>2783</v>
      </c>
      <c r="C703" t="s">
        <v>1238</v>
      </c>
      <c r="D703" t="s">
        <v>95</v>
      </c>
      <c r="E703" t="s">
        <v>47</v>
      </c>
      <c r="F703" t="s">
        <v>1031</v>
      </c>
      <c r="G703" t="s">
        <v>1717</v>
      </c>
      <c r="H703" t="s">
        <v>1380</v>
      </c>
      <c r="I703" t="s">
        <v>987</v>
      </c>
      <c r="J703" t="s">
        <v>924</v>
      </c>
      <c r="K703" t="s">
        <v>1666</v>
      </c>
      <c r="L703" t="s">
        <v>1600</v>
      </c>
      <c r="M703" t="s">
        <v>945</v>
      </c>
      <c r="N703" t="s">
        <v>1646</v>
      </c>
      <c r="O703" t="s">
        <v>987</v>
      </c>
      <c r="P703" t="s">
        <v>945</v>
      </c>
      <c r="Q703" t="s">
        <v>1696</v>
      </c>
      <c r="R703" t="s">
        <v>1666</v>
      </c>
      <c r="S703" t="s">
        <v>991</v>
      </c>
      <c r="T703" t="s">
        <v>969</v>
      </c>
      <c r="U703" t="s">
        <v>1696</v>
      </c>
      <c r="V703" t="s">
        <v>923</v>
      </c>
      <c r="W703" t="s">
        <v>945</v>
      </c>
      <c r="X703" t="s">
        <v>925</v>
      </c>
      <c r="Y703" t="s">
        <v>968</v>
      </c>
      <c r="Z703" t="s">
        <v>934</v>
      </c>
      <c r="AA703" t="s">
        <v>934</v>
      </c>
      <c r="AB703" t="s">
        <v>968</v>
      </c>
      <c r="AC703" t="s">
        <v>987</v>
      </c>
      <c r="AD703" t="s">
        <v>956</v>
      </c>
      <c r="AE703" t="s">
        <v>927</v>
      </c>
      <c r="AF703">
        <f t="shared" si="20"/>
        <v>2</v>
      </c>
      <c r="AG703">
        <f t="shared" si="21"/>
        <v>2.0009999999999999</v>
      </c>
    </row>
    <row r="704" spans="1:33" x14ac:dyDescent="0.25">
      <c r="A704" t="s">
        <v>2784</v>
      </c>
      <c r="B704" t="s">
        <v>2785</v>
      </c>
      <c r="C704" t="s">
        <v>1245</v>
      </c>
      <c r="D704" t="s">
        <v>151</v>
      </c>
      <c r="E704" t="s">
        <v>56</v>
      </c>
      <c r="F704" t="s">
        <v>1202</v>
      </c>
      <c r="G704" t="s">
        <v>1717</v>
      </c>
      <c r="H704" t="s">
        <v>992</v>
      </c>
      <c r="I704" t="s">
        <v>969</v>
      </c>
      <c r="J704" t="s">
        <v>1230</v>
      </c>
      <c r="K704" t="s">
        <v>1595</v>
      </c>
      <c r="L704" t="s">
        <v>1094</v>
      </c>
      <c r="M704" t="s">
        <v>1008</v>
      </c>
      <c r="N704" t="s">
        <v>1870</v>
      </c>
      <c r="O704" t="s">
        <v>1094</v>
      </c>
      <c r="P704" t="s">
        <v>987</v>
      </c>
      <c r="Q704" t="s">
        <v>958</v>
      </c>
      <c r="R704" t="s">
        <v>1157</v>
      </c>
      <c r="S704" t="s">
        <v>1119</v>
      </c>
      <c r="T704" t="s">
        <v>1094</v>
      </c>
      <c r="U704" t="s">
        <v>1131</v>
      </c>
      <c r="V704" t="s">
        <v>1119</v>
      </c>
      <c r="W704" t="s">
        <v>1094</v>
      </c>
      <c r="X704" t="s">
        <v>1094</v>
      </c>
      <c r="Y704" t="s">
        <v>991</v>
      </c>
      <c r="Z704" t="s">
        <v>1119</v>
      </c>
      <c r="AA704" t="s">
        <v>1119</v>
      </c>
      <c r="AB704" t="s">
        <v>1094</v>
      </c>
      <c r="AC704" t="s">
        <v>969</v>
      </c>
      <c r="AD704" t="s">
        <v>1310</v>
      </c>
      <c r="AE704" t="s">
        <v>927</v>
      </c>
      <c r="AF704">
        <f t="shared" si="20"/>
        <v>1.6</v>
      </c>
      <c r="AG704">
        <f t="shared" si="21"/>
        <v>1.4981999999999998</v>
      </c>
    </row>
    <row r="705" spans="1:33" x14ac:dyDescent="0.25">
      <c r="A705" t="s">
        <v>2786</v>
      </c>
      <c r="B705" t="s">
        <v>2787</v>
      </c>
      <c r="C705" t="s">
        <v>1032</v>
      </c>
      <c r="D705" t="s">
        <v>129</v>
      </c>
      <c r="E705" t="s">
        <v>47</v>
      </c>
      <c r="F705" t="s">
        <v>972</v>
      </c>
      <c r="G705" t="s">
        <v>1717</v>
      </c>
      <c r="H705" t="s">
        <v>1118</v>
      </c>
      <c r="I705" t="s">
        <v>1065</v>
      </c>
      <c r="J705" t="s">
        <v>968</v>
      </c>
      <c r="K705" t="s">
        <v>1785</v>
      </c>
      <c r="L705" t="s">
        <v>1600</v>
      </c>
      <c r="M705" t="s">
        <v>1094</v>
      </c>
      <c r="N705" t="s">
        <v>1646</v>
      </c>
      <c r="O705" t="s">
        <v>1065</v>
      </c>
      <c r="P705" t="s">
        <v>1310</v>
      </c>
      <c r="Q705" t="s">
        <v>1666</v>
      </c>
      <c r="R705" t="s">
        <v>1785</v>
      </c>
      <c r="S705" t="s">
        <v>1065</v>
      </c>
      <c r="T705" t="s">
        <v>1065</v>
      </c>
      <c r="U705" t="s">
        <v>2146</v>
      </c>
      <c r="V705" t="s">
        <v>1600</v>
      </c>
      <c r="W705" t="s">
        <v>956</v>
      </c>
      <c r="X705" t="s">
        <v>956</v>
      </c>
      <c r="Y705" t="s">
        <v>1065</v>
      </c>
      <c r="Z705" t="s">
        <v>1094</v>
      </c>
      <c r="AA705" t="s">
        <v>1094</v>
      </c>
      <c r="AB705" t="s">
        <v>1600</v>
      </c>
      <c r="AC705" t="s">
        <v>1310</v>
      </c>
      <c r="AD705" t="s">
        <v>1310</v>
      </c>
      <c r="AE705" t="s">
        <v>927</v>
      </c>
      <c r="AF705">
        <f t="shared" si="20"/>
        <v>1.5</v>
      </c>
      <c r="AG705">
        <f t="shared" si="21"/>
        <v>1.4990000000000001</v>
      </c>
    </row>
    <row r="706" spans="1:33" x14ac:dyDescent="0.25">
      <c r="A706" t="s">
        <v>2788</v>
      </c>
      <c r="B706" t="s">
        <v>2789</v>
      </c>
      <c r="C706" t="s">
        <v>1245</v>
      </c>
      <c r="D706" t="s">
        <v>102</v>
      </c>
      <c r="E706" t="s">
        <v>47</v>
      </c>
      <c r="F706" t="s">
        <v>1147</v>
      </c>
      <c r="G706" t="s">
        <v>1717</v>
      </c>
      <c r="H706" t="s">
        <v>993</v>
      </c>
      <c r="I706" t="s">
        <v>1065</v>
      </c>
      <c r="J706" t="s">
        <v>945</v>
      </c>
      <c r="K706" t="s">
        <v>1719</v>
      </c>
      <c r="L706" t="s">
        <v>1600</v>
      </c>
      <c r="M706" t="s">
        <v>991</v>
      </c>
      <c r="N706" t="s">
        <v>1646</v>
      </c>
      <c r="O706" t="s">
        <v>1065</v>
      </c>
      <c r="P706" t="s">
        <v>987</v>
      </c>
      <c r="Q706" t="s">
        <v>1836</v>
      </c>
      <c r="R706" t="s">
        <v>1719</v>
      </c>
      <c r="S706" t="s">
        <v>969</v>
      </c>
      <c r="T706" t="s">
        <v>969</v>
      </c>
      <c r="U706" t="s">
        <v>2146</v>
      </c>
      <c r="V706" t="s">
        <v>934</v>
      </c>
      <c r="W706" t="s">
        <v>969</v>
      </c>
      <c r="X706" t="s">
        <v>987</v>
      </c>
      <c r="Y706" t="s">
        <v>1600</v>
      </c>
      <c r="Z706" t="s">
        <v>934</v>
      </c>
      <c r="AA706" t="s">
        <v>1119</v>
      </c>
      <c r="AB706" t="s">
        <v>934</v>
      </c>
      <c r="AC706" t="s">
        <v>934</v>
      </c>
      <c r="AD706" t="s">
        <v>1310</v>
      </c>
      <c r="AE706" t="s">
        <v>927</v>
      </c>
      <c r="AF706">
        <f t="shared" si="20"/>
        <v>1.6</v>
      </c>
      <c r="AG706">
        <f t="shared" si="21"/>
        <v>1.5599999999999998</v>
      </c>
    </row>
    <row r="707" spans="1:33" x14ac:dyDescent="0.25">
      <c r="A707" t="s">
        <v>2790</v>
      </c>
      <c r="B707" t="s">
        <v>2791</v>
      </c>
      <c r="C707" t="s">
        <v>1032</v>
      </c>
      <c r="D707" t="s">
        <v>1014</v>
      </c>
      <c r="E707" t="s">
        <v>56</v>
      </c>
      <c r="F707" t="s">
        <v>928</v>
      </c>
      <c r="G707" t="s">
        <v>1717</v>
      </c>
      <c r="H707" t="s">
        <v>920</v>
      </c>
      <c r="I707" t="s">
        <v>1065</v>
      </c>
      <c r="J707" t="s">
        <v>993</v>
      </c>
      <c r="K707" t="s">
        <v>2251</v>
      </c>
      <c r="L707" t="s">
        <v>1065</v>
      </c>
      <c r="M707" t="s">
        <v>993</v>
      </c>
      <c r="N707" t="s">
        <v>2251</v>
      </c>
      <c r="O707" t="s">
        <v>1600</v>
      </c>
      <c r="P707" t="s">
        <v>1600</v>
      </c>
      <c r="Q707" t="s">
        <v>927</v>
      </c>
      <c r="R707" t="s">
        <v>2341</v>
      </c>
      <c r="S707" t="s">
        <v>1600</v>
      </c>
      <c r="T707" t="s">
        <v>1600</v>
      </c>
      <c r="U707" t="s">
        <v>927</v>
      </c>
      <c r="V707" t="s">
        <v>1600</v>
      </c>
      <c r="W707" t="s">
        <v>1600</v>
      </c>
      <c r="X707" t="s">
        <v>1600</v>
      </c>
      <c r="Y707" t="s">
        <v>1065</v>
      </c>
      <c r="Z707" t="s">
        <v>1600</v>
      </c>
      <c r="AA707" t="s">
        <v>1600</v>
      </c>
      <c r="AB707" t="s">
        <v>1065</v>
      </c>
      <c r="AC707" t="s">
        <v>1600</v>
      </c>
      <c r="AD707" t="s">
        <v>1310</v>
      </c>
      <c r="AE707" t="s">
        <v>927</v>
      </c>
      <c r="AF707">
        <f t="shared" ref="AF707:AF750" si="22">(L707 * 3) + ((I707 - L707) * 2) + S707</f>
        <v>1.5</v>
      </c>
      <c r="AG707" t="e">
        <f t="shared" ref="AG707:AG750" si="23">(M707 * N707 * 3) + ((J707 - M707) * Q707 * 2) + (T707 * U707)</f>
        <v>#VALUE!</v>
      </c>
    </row>
    <row r="708" spans="1:33" x14ac:dyDescent="0.25">
      <c r="A708" t="s">
        <v>2792</v>
      </c>
      <c r="B708" t="s">
        <v>2793</v>
      </c>
      <c r="C708" t="s">
        <v>1293</v>
      </c>
      <c r="D708" t="s">
        <v>129</v>
      </c>
      <c r="E708" t="s">
        <v>47</v>
      </c>
      <c r="F708" t="s">
        <v>1232</v>
      </c>
      <c r="G708" t="s">
        <v>1717</v>
      </c>
      <c r="H708" t="s">
        <v>992</v>
      </c>
      <c r="I708" t="s">
        <v>1065</v>
      </c>
      <c r="J708" t="s">
        <v>1029</v>
      </c>
      <c r="K708" t="s">
        <v>1750</v>
      </c>
      <c r="L708" t="s">
        <v>1094</v>
      </c>
      <c r="M708" t="s">
        <v>923</v>
      </c>
      <c r="N708" t="s">
        <v>2530</v>
      </c>
      <c r="O708" t="s">
        <v>934</v>
      </c>
      <c r="P708" t="s">
        <v>969</v>
      </c>
      <c r="Q708" t="s">
        <v>1666</v>
      </c>
      <c r="R708" t="s">
        <v>1761</v>
      </c>
      <c r="S708" t="s">
        <v>1119</v>
      </c>
      <c r="T708" t="s">
        <v>1119</v>
      </c>
      <c r="U708" t="s">
        <v>2146</v>
      </c>
      <c r="V708" t="s">
        <v>1600</v>
      </c>
      <c r="W708" t="s">
        <v>991</v>
      </c>
      <c r="X708" t="s">
        <v>991</v>
      </c>
      <c r="Y708" t="s">
        <v>934</v>
      </c>
      <c r="Z708" t="s">
        <v>1119</v>
      </c>
      <c r="AA708" t="s">
        <v>1600</v>
      </c>
      <c r="AB708" t="s">
        <v>934</v>
      </c>
      <c r="AC708" t="s">
        <v>1119</v>
      </c>
      <c r="AD708" t="s">
        <v>1310</v>
      </c>
      <c r="AE708" t="s">
        <v>927</v>
      </c>
      <c r="AF708">
        <f t="shared" si="22"/>
        <v>1.4</v>
      </c>
      <c r="AG708">
        <f t="shared" si="23"/>
        <v>1.4476</v>
      </c>
    </row>
    <row r="709" spans="1:33" x14ac:dyDescent="0.25">
      <c r="A709" t="s">
        <v>2794</v>
      </c>
      <c r="B709" t="s">
        <v>2795</v>
      </c>
      <c r="C709" t="s">
        <v>1084</v>
      </c>
      <c r="D709" t="s">
        <v>974</v>
      </c>
      <c r="E709" t="s">
        <v>47</v>
      </c>
      <c r="F709" t="s">
        <v>1212</v>
      </c>
      <c r="G709" t="s">
        <v>1717</v>
      </c>
      <c r="H709" t="s">
        <v>1047</v>
      </c>
      <c r="I709" t="s">
        <v>1065</v>
      </c>
      <c r="J709" t="s">
        <v>1195</v>
      </c>
      <c r="K709" t="s">
        <v>1564</v>
      </c>
      <c r="L709" t="s">
        <v>1094</v>
      </c>
      <c r="M709" t="s">
        <v>969</v>
      </c>
      <c r="N709" t="s">
        <v>1131</v>
      </c>
      <c r="O709" t="s">
        <v>934</v>
      </c>
      <c r="P709" t="s">
        <v>1008</v>
      </c>
      <c r="Q709" t="s">
        <v>1666</v>
      </c>
      <c r="R709" t="s">
        <v>1339</v>
      </c>
      <c r="S709" t="s">
        <v>1600</v>
      </c>
      <c r="T709" t="s">
        <v>1600</v>
      </c>
      <c r="U709" t="s">
        <v>927</v>
      </c>
      <c r="V709" t="s">
        <v>934</v>
      </c>
      <c r="W709" t="s">
        <v>1008</v>
      </c>
      <c r="X709" t="s">
        <v>918</v>
      </c>
      <c r="Y709" t="s">
        <v>991</v>
      </c>
      <c r="Z709" t="s">
        <v>1119</v>
      </c>
      <c r="AA709" t="s">
        <v>1600</v>
      </c>
      <c r="AB709" t="s">
        <v>934</v>
      </c>
      <c r="AC709" t="s">
        <v>934</v>
      </c>
      <c r="AD709" t="s">
        <v>1230</v>
      </c>
      <c r="AE709" t="s">
        <v>927</v>
      </c>
      <c r="AF709">
        <f t="shared" si="22"/>
        <v>1.2999999999999998</v>
      </c>
      <c r="AG709" t="e">
        <f t="shared" si="23"/>
        <v>#VALUE!</v>
      </c>
    </row>
    <row r="710" spans="1:33" x14ac:dyDescent="0.25">
      <c r="A710" t="s">
        <v>2794</v>
      </c>
      <c r="B710" t="s">
        <v>2795</v>
      </c>
      <c r="C710" t="s">
        <v>1084</v>
      </c>
      <c r="D710" t="s">
        <v>129</v>
      </c>
      <c r="E710" t="s">
        <v>47</v>
      </c>
      <c r="F710" t="s">
        <v>1202</v>
      </c>
      <c r="G710" t="s">
        <v>1717</v>
      </c>
      <c r="H710" t="s">
        <v>946</v>
      </c>
      <c r="I710" t="s">
        <v>934</v>
      </c>
      <c r="J710" t="s">
        <v>969</v>
      </c>
      <c r="K710" t="s">
        <v>2341</v>
      </c>
      <c r="L710" t="s">
        <v>1600</v>
      </c>
      <c r="M710" t="s">
        <v>1119</v>
      </c>
      <c r="N710" t="s">
        <v>1646</v>
      </c>
      <c r="O710" t="s">
        <v>934</v>
      </c>
      <c r="P710" t="s">
        <v>1065</v>
      </c>
      <c r="Q710" t="s">
        <v>910</v>
      </c>
      <c r="R710" t="s">
        <v>2341</v>
      </c>
      <c r="S710" t="s">
        <v>1600</v>
      </c>
      <c r="T710" t="s">
        <v>1600</v>
      </c>
      <c r="U710" t="s">
        <v>927</v>
      </c>
      <c r="V710" t="s">
        <v>1119</v>
      </c>
      <c r="W710" t="s">
        <v>969</v>
      </c>
      <c r="X710" t="s">
        <v>1008</v>
      </c>
      <c r="Y710" t="s">
        <v>1094</v>
      </c>
      <c r="Z710" t="s">
        <v>1119</v>
      </c>
      <c r="AA710" t="s">
        <v>1600</v>
      </c>
      <c r="AB710" t="s">
        <v>1119</v>
      </c>
      <c r="AC710" t="s">
        <v>934</v>
      </c>
      <c r="AD710" t="s">
        <v>991</v>
      </c>
      <c r="AE710" t="s">
        <v>927</v>
      </c>
      <c r="AF710">
        <f t="shared" si="22"/>
        <v>0.4</v>
      </c>
      <c r="AG710" t="e">
        <f t="shared" si="23"/>
        <v>#VALUE!</v>
      </c>
    </row>
    <row r="711" spans="1:33" x14ac:dyDescent="0.25">
      <c r="A711" t="s">
        <v>2794</v>
      </c>
      <c r="B711" t="s">
        <v>2795</v>
      </c>
      <c r="C711" t="s">
        <v>1084</v>
      </c>
      <c r="D711" t="s">
        <v>111</v>
      </c>
      <c r="E711" t="s">
        <v>47</v>
      </c>
      <c r="F711" t="s">
        <v>901</v>
      </c>
      <c r="G711" t="s">
        <v>1717</v>
      </c>
      <c r="H711" t="s">
        <v>1894</v>
      </c>
      <c r="I711" t="s">
        <v>1063</v>
      </c>
      <c r="J711" t="s">
        <v>1380</v>
      </c>
      <c r="K711" t="s">
        <v>1131</v>
      </c>
      <c r="L711" t="s">
        <v>920</v>
      </c>
      <c r="M711" t="s">
        <v>1061</v>
      </c>
      <c r="N711" t="s">
        <v>1842</v>
      </c>
      <c r="O711" t="s">
        <v>923</v>
      </c>
      <c r="P711" t="s">
        <v>1228</v>
      </c>
      <c r="Q711" t="s">
        <v>2152</v>
      </c>
      <c r="R711" t="s">
        <v>1939</v>
      </c>
      <c r="S711" t="s">
        <v>1600</v>
      </c>
      <c r="T711" t="s">
        <v>1600</v>
      </c>
      <c r="U711" t="s">
        <v>927</v>
      </c>
      <c r="V711" t="s">
        <v>923</v>
      </c>
      <c r="W711" t="s">
        <v>1135</v>
      </c>
      <c r="X711" t="s">
        <v>1228</v>
      </c>
      <c r="Y711" t="s">
        <v>956</v>
      </c>
      <c r="Z711" t="s">
        <v>1600</v>
      </c>
      <c r="AA711" t="s">
        <v>1600</v>
      </c>
      <c r="AB711" t="s">
        <v>923</v>
      </c>
      <c r="AC711" t="s">
        <v>1600</v>
      </c>
      <c r="AD711" t="s">
        <v>1357</v>
      </c>
      <c r="AE711" t="s">
        <v>927</v>
      </c>
      <c r="AF711">
        <f t="shared" si="22"/>
        <v>17</v>
      </c>
      <c r="AG711" t="e">
        <f t="shared" si="23"/>
        <v>#VALUE!</v>
      </c>
    </row>
    <row r="712" spans="1:33" x14ac:dyDescent="0.25">
      <c r="A712" t="s">
        <v>2796</v>
      </c>
      <c r="B712" t="s">
        <v>2797</v>
      </c>
      <c r="C712" t="s">
        <v>1232</v>
      </c>
      <c r="D712" t="s">
        <v>79</v>
      </c>
      <c r="E712" t="s">
        <v>63</v>
      </c>
      <c r="F712" t="s">
        <v>1147</v>
      </c>
      <c r="G712" t="s">
        <v>1717</v>
      </c>
      <c r="H712" t="s">
        <v>1047</v>
      </c>
      <c r="I712" t="s">
        <v>1065</v>
      </c>
      <c r="J712" t="s">
        <v>968</v>
      </c>
      <c r="K712" t="s">
        <v>2798</v>
      </c>
      <c r="L712" t="s">
        <v>934</v>
      </c>
      <c r="M712" t="s">
        <v>923</v>
      </c>
      <c r="N712" t="s">
        <v>2601</v>
      </c>
      <c r="O712" t="s">
        <v>991</v>
      </c>
      <c r="P712" t="s">
        <v>987</v>
      </c>
      <c r="Q712" t="s">
        <v>1665</v>
      </c>
      <c r="R712" t="s">
        <v>1666</v>
      </c>
      <c r="S712" t="s">
        <v>934</v>
      </c>
      <c r="T712" t="s">
        <v>1094</v>
      </c>
      <c r="U712" t="s">
        <v>1131</v>
      </c>
      <c r="V712" t="s">
        <v>934</v>
      </c>
      <c r="W712" t="s">
        <v>1008</v>
      </c>
      <c r="X712" t="s">
        <v>918</v>
      </c>
      <c r="Y712" t="s">
        <v>1065</v>
      </c>
      <c r="Z712" t="s">
        <v>991</v>
      </c>
      <c r="AA712" t="s">
        <v>1119</v>
      </c>
      <c r="AB712" t="s">
        <v>934</v>
      </c>
      <c r="AC712" t="s">
        <v>1094</v>
      </c>
      <c r="AD712" t="s">
        <v>1230</v>
      </c>
      <c r="AE712" t="s">
        <v>927</v>
      </c>
      <c r="AF712">
        <f t="shared" si="22"/>
        <v>1.4000000000000001</v>
      </c>
      <c r="AG712">
        <f t="shared" si="23"/>
        <v>1.3399999999999999</v>
      </c>
    </row>
    <row r="713" spans="1:33" x14ac:dyDescent="0.25">
      <c r="A713" t="s">
        <v>2799</v>
      </c>
      <c r="B713" t="s">
        <v>2800</v>
      </c>
      <c r="C713" t="s">
        <v>1245</v>
      </c>
      <c r="D713" t="s">
        <v>105</v>
      </c>
      <c r="E713" t="s">
        <v>47</v>
      </c>
      <c r="F713" t="s">
        <v>1245</v>
      </c>
      <c r="G713" t="s">
        <v>901</v>
      </c>
      <c r="H713" t="s">
        <v>920</v>
      </c>
      <c r="I713" t="s">
        <v>991</v>
      </c>
      <c r="J713" t="s">
        <v>1195</v>
      </c>
      <c r="K713" t="s">
        <v>1666</v>
      </c>
      <c r="L713" t="s">
        <v>1600</v>
      </c>
      <c r="M713" t="s">
        <v>991</v>
      </c>
      <c r="N713" t="s">
        <v>1646</v>
      </c>
      <c r="O713" t="s">
        <v>991</v>
      </c>
      <c r="P713" t="s">
        <v>918</v>
      </c>
      <c r="Q713" t="s">
        <v>1268</v>
      </c>
      <c r="R713" t="s">
        <v>1666</v>
      </c>
      <c r="S713" t="s">
        <v>969</v>
      </c>
      <c r="T713" t="s">
        <v>987</v>
      </c>
      <c r="U713" t="s">
        <v>2049</v>
      </c>
      <c r="V713" t="s">
        <v>1065</v>
      </c>
      <c r="W713" t="s">
        <v>945</v>
      </c>
      <c r="X713" t="s">
        <v>922</v>
      </c>
      <c r="Y713" t="s">
        <v>934</v>
      </c>
      <c r="Z713" t="s">
        <v>934</v>
      </c>
      <c r="AA713" t="s">
        <v>1600</v>
      </c>
      <c r="AB713" t="s">
        <v>1094</v>
      </c>
      <c r="AC713" t="s">
        <v>991</v>
      </c>
      <c r="AD713" t="s">
        <v>1230</v>
      </c>
      <c r="AE713" t="s">
        <v>927</v>
      </c>
      <c r="AF713">
        <f t="shared" si="22"/>
        <v>1.4</v>
      </c>
      <c r="AG713">
        <f t="shared" si="23"/>
        <v>1.4532</v>
      </c>
    </row>
    <row r="714" spans="1:33" x14ac:dyDescent="0.25">
      <c r="A714" t="s">
        <v>2801</v>
      </c>
      <c r="B714" t="s">
        <v>2802</v>
      </c>
      <c r="C714" t="s">
        <v>1245</v>
      </c>
      <c r="D714" t="s">
        <v>148</v>
      </c>
      <c r="E714" t="s">
        <v>63</v>
      </c>
      <c r="F714" t="s">
        <v>1084</v>
      </c>
      <c r="G714" t="s">
        <v>1717</v>
      </c>
      <c r="H714" t="s">
        <v>1046</v>
      </c>
      <c r="I714" t="s">
        <v>1065</v>
      </c>
      <c r="J714" t="s">
        <v>922</v>
      </c>
      <c r="K714" t="s">
        <v>2305</v>
      </c>
      <c r="L714" t="s">
        <v>1119</v>
      </c>
      <c r="M714" t="s">
        <v>1008</v>
      </c>
      <c r="N714" t="s">
        <v>1890</v>
      </c>
      <c r="O714" t="s">
        <v>991</v>
      </c>
      <c r="P714" t="s">
        <v>923</v>
      </c>
      <c r="Q714" t="s">
        <v>958</v>
      </c>
      <c r="R714" t="s">
        <v>1001</v>
      </c>
      <c r="S714" t="s">
        <v>1119</v>
      </c>
      <c r="T714" t="s">
        <v>934</v>
      </c>
      <c r="U714" t="s">
        <v>2049</v>
      </c>
      <c r="V714" t="s">
        <v>1600</v>
      </c>
      <c r="W714" t="s">
        <v>1065</v>
      </c>
      <c r="X714" t="s">
        <v>1065</v>
      </c>
      <c r="Y714" t="s">
        <v>1065</v>
      </c>
      <c r="Z714" t="s">
        <v>1119</v>
      </c>
      <c r="AA714" t="s">
        <v>1600</v>
      </c>
      <c r="AB714" t="s">
        <v>934</v>
      </c>
      <c r="AC714" t="s">
        <v>991</v>
      </c>
      <c r="AD714" t="s">
        <v>1195</v>
      </c>
      <c r="AE714" t="s">
        <v>927</v>
      </c>
      <c r="AF714">
        <f t="shared" si="22"/>
        <v>1.2000000000000002</v>
      </c>
      <c r="AG714">
        <f t="shared" si="23"/>
        <v>1.3536000000000001</v>
      </c>
    </row>
    <row r="715" spans="1:33" x14ac:dyDescent="0.25">
      <c r="A715" t="s">
        <v>2803</v>
      </c>
      <c r="B715" t="s">
        <v>2804</v>
      </c>
      <c r="C715" t="s">
        <v>1032</v>
      </c>
      <c r="D715" t="s">
        <v>148</v>
      </c>
      <c r="E715" t="s">
        <v>47</v>
      </c>
      <c r="F715" t="s">
        <v>1238</v>
      </c>
      <c r="G715" t="s">
        <v>1717</v>
      </c>
      <c r="H715" t="s">
        <v>1044</v>
      </c>
      <c r="I715" t="s">
        <v>969</v>
      </c>
      <c r="J715" t="s">
        <v>922</v>
      </c>
      <c r="K715" t="s">
        <v>1351</v>
      </c>
      <c r="L715" t="s">
        <v>1119</v>
      </c>
      <c r="M715" t="s">
        <v>918</v>
      </c>
      <c r="N715" t="s">
        <v>2165</v>
      </c>
      <c r="O715" t="s">
        <v>1065</v>
      </c>
      <c r="P715" t="s">
        <v>918</v>
      </c>
      <c r="Q715" t="s">
        <v>1911</v>
      </c>
      <c r="R715" t="s">
        <v>1835</v>
      </c>
      <c r="S715" t="s">
        <v>934</v>
      </c>
      <c r="T715" t="s">
        <v>934</v>
      </c>
      <c r="U715" t="s">
        <v>2146</v>
      </c>
      <c r="V715" t="s">
        <v>991</v>
      </c>
      <c r="W715" t="s">
        <v>1065</v>
      </c>
      <c r="X715" t="s">
        <v>918</v>
      </c>
      <c r="Y715" t="s">
        <v>1094</v>
      </c>
      <c r="Z715" t="s">
        <v>1094</v>
      </c>
      <c r="AA715" t="s">
        <v>1094</v>
      </c>
      <c r="AB715" t="s">
        <v>1094</v>
      </c>
      <c r="AC715" t="s">
        <v>918</v>
      </c>
      <c r="AD715" t="s">
        <v>1195</v>
      </c>
      <c r="AE715" t="s">
        <v>927</v>
      </c>
      <c r="AF715">
        <f t="shared" si="22"/>
        <v>1.5</v>
      </c>
      <c r="AG715">
        <f t="shared" si="23"/>
        <v>1.3000999999999998</v>
      </c>
    </row>
    <row r="716" spans="1:33" x14ac:dyDescent="0.25">
      <c r="A716" t="s">
        <v>2805</v>
      </c>
      <c r="B716" t="s">
        <v>2806</v>
      </c>
      <c r="C716" t="s">
        <v>1015</v>
      </c>
      <c r="D716" t="s">
        <v>121</v>
      </c>
      <c r="E716" t="s">
        <v>93</v>
      </c>
      <c r="F716" t="s">
        <v>972</v>
      </c>
      <c r="G716" t="s">
        <v>1717</v>
      </c>
      <c r="H716" t="s">
        <v>1135</v>
      </c>
      <c r="I716" t="s">
        <v>1065</v>
      </c>
      <c r="J716" t="s">
        <v>923</v>
      </c>
      <c r="K716" t="s">
        <v>1131</v>
      </c>
      <c r="L716" t="s">
        <v>1094</v>
      </c>
      <c r="M716" t="s">
        <v>1094</v>
      </c>
      <c r="N716" t="s">
        <v>2146</v>
      </c>
      <c r="O716" t="s">
        <v>1094</v>
      </c>
      <c r="P716" t="s">
        <v>987</v>
      </c>
      <c r="Q716" t="s">
        <v>1666</v>
      </c>
      <c r="R716" t="s">
        <v>1842</v>
      </c>
      <c r="S716" t="s">
        <v>1600</v>
      </c>
      <c r="T716" t="s">
        <v>1600</v>
      </c>
      <c r="U716" t="s">
        <v>927</v>
      </c>
      <c r="V716" t="s">
        <v>1094</v>
      </c>
      <c r="W716" t="s">
        <v>1065</v>
      </c>
      <c r="X716" t="s">
        <v>987</v>
      </c>
      <c r="Y716" t="s">
        <v>1094</v>
      </c>
      <c r="Z716" t="s">
        <v>1600</v>
      </c>
      <c r="AA716" t="s">
        <v>1600</v>
      </c>
      <c r="AB716" t="s">
        <v>1600</v>
      </c>
      <c r="AC716" t="s">
        <v>1094</v>
      </c>
      <c r="AD716" t="s">
        <v>1195</v>
      </c>
      <c r="AE716" t="s">
        <v>927</v>
      </c>
      <c r="AF716">
        <f t="shared" si="22"/>
        <v>1.2999999999999998</v>
      </c>
      <c r="AG716" t="e">
        <f t="shared" si="23"/>
        <v>#VALUE!</v>
      </c>
    </row>
    <row r="717" spans="1:33" x14ac:dyDescent="0.25">
      <c r="A717" t="s">
        <v>2807</v>
      </c>
      <c r="B717" t="s">
        <v>2808</v>
      </c>
      <c r="C717" t="s">
        <v>1032</v>
      </c>
      <c r="D717" t="s">
        <v>1069</v>
      </c>
      <c r="E717" t="s">
        <v>47</v>
      </c>
      <c r="F717" t="s">
        <v>1083</v>
      </c>
      <c r="G717" t="s">
        <v>1717</v>
      </c>
      <c r="H717" t="s">
        <v>1155</v>
      </c>
      <c r="I717" t="s">
        <v>1094</v>
      </c>
      <c r="J717" t="s">
        <v>918</v>
      </c>
      <c r="K717" t="s">
        <v>1785</v>
      </c>
      <c r="L717" t="s">
        <v>1094</v>
      </c>
      <c r="M717" t="s">
        <v>918</v>
      </c>
      <c r="N717" t="s">
        <v>1785</v>
      </c>
      <c r="O717" t="s">
        <v>1600</v>
      </c>
      <c r="P717" t="s">
        <v>1600</v>
      </c>
      <c r="Q717" t="s">
        <v>927</v>
      </c>
      <c r="R717" t="s">
        <v>1729</v>
      </c>
      <c r="S717" t="s">
        <v>991</v>
      </c>
      <c r="T717" t="s">
        <v>1065</v>
      </c>
      <c r="U717" t="s">
        <v>2049</v>
      </c>
      <c r="V717" t="s">
        <v>1600</v>
      </c>
      <c r="W717" t="s">
        <v>1065</v>
      </c>
      <c r="X717" t="s">
        <v>1065</v>
      </c>
      <c r="Y717" t="s">
        <v>1600</v>
      </c>
      <c r="Z717" t="s">
        <v>1600</v>
      </c>
      <c r="AA717" t="s">
        <v>1600</v>
      </c>
      <c r="AB717" t="s">
        <v>1065</v>
      </c>
      <c r="AC717" t="s">
        <v>1600</v>
      </c>
      <c r="AD717" t="s">
        <v>1064</v>
      </c>
      <c r="AE717" t="s">
        <v>927</v>
      </c>
      <c r="AF717">
        <f t="shared" si="22"/>
        <v>1.2999999999999998</v>
      </c>
      <c r="AG717" t="e">
        <f t="shared" si="23"/>
        <v>#VALUE!</v>
      </c>
    </row>
    <row r="718" spans="1:33" x14ac:dyDescent="0.25">
      <c r="A718" t="s">
        <v>2809</v>
      </c>
      <c r="B718" t="s">
        <v>2810</v>
      </c>
      <c r="C718" t="s">
        <v>1032</v>
      </c>
      <c r="D718" t="s">
        <v>1223</v>
      </c>
      <c r="E718" t="s">
        <v>56</v>
      </c>
      <c r="F718" t="s">
        <v>928</v>
      </c>
      <c r="G718" t="s">
        <v>1717</v>
      </c>
      <c r="H718" t="s">
        <v>1061</v>
      </c>
      <c r="I718" t="s">
        <v>1065</v>
      </c>
      <c r="J718" t="s">
        <v>1310</v>
      </c>
      <c r="K718" t="s">
        <v>1666</v>
      </c>
      <c r="L718" t="s">
        <v>1600</v>
      </c>
      <c r="M718" t="s">
        <v>1600</v>
      </c>
      <c r="N718" t="s">
        <v>927</v>
      </c>
      <c r="O718" t="s">
        <v>1065</v>
      </c>
      <c r="P718" t="s">
        <v>1310</v>
      </c>
      <c r="Q718" t="s">
        <v>1666</v>
      </c>
      <c r="R718" t="s">
        <v>1666</v>
      </c>
      <c r="S718" t="s">
        <v>1600</v>
      </c>
      <c r="T718" t="s">
        <v>1600</v>
      </c>
      <c r="U718" t="s">
        <v>927</v>
      </c>
      <c r="V718" t="s">
        <v>923</v>
      </c>
      <c r="W718" t="s">
        <v>1065</v>
      </c>
      <c r="X718" t="s">
        <v>1310</v>
      </c>
      <c r="Y718" t="s">
        <v>956</v>
      </c>
      <c r="Z718" t="s">
        <v>923</v>
      </c>
      <c r="AA718" t="s">
        <v>1600</v>
      </c>
      <c r="AB718" t="s">
        <v>1600</v>
      </c>
      <c r="AC718" t="s">
        <v>993</v>
      </c>
      <c r="AD718" t="s">
        <v>923</v>
      </c>
      <c r="AE718" t="s">
        <v>927</v>
      </c>
      <c r="AF718">
        <f t="shared" si="22"/>
        <v>1</v>
      </c>
      <c r="AG718" t="e">
        <f t="shared" si="23"/>
        <v>#VALUE!</v>
      </c>
    </row>
    <row r="719" spans="1:33" x14ac:dyDescent="0.25">
      <c r="A719" t="s">
        <v>2811</v>
      </c>
      <c r="B719" t="s">
        <v>2812</v>
      </c>
      <c r="C719" t="s">
        <v>1032</v>
      </c>
      <c r="D719" t="s">
        <v>97</v>
      </c>
      <c r="E719" t="s">
        <v>56</v>
      </c>
      <c r="F719" t="s">
        <v>1067</v>
      </c>
      <c r="G719" t="s">
        <v>1717</v>
      </c>
      <c r="H719" t="s">
        <v>970</v>
      </c>
      <c r="I719" t="s">
        <v>991</v>
      </c>
      <c r="J719" t="s">
        <v>1230</v>
      </c>
      <c r="K719" t="s">
        <v>2341</v>
      </c>
      <c r="L719" t="s">
        <v>1119</v>
      </c>
      <c r="M719" t="s">
        <v>923</v>
      </c>
      <c r="N719" t="s">
        <v>2486</v>
      </c>
      <c r="O719" t="s">
        <v>1094</v>
      </c>
      <c r="P719" t="s">
        <v>991</v>
      </c>
      <c r="Q719" t="s">
        <v>1696</v>
      </c>
      <c r="R719" t="s">
        <v>1406</v>
      </c>
      <c r="S719" t="s">
        <v>1600</v>
      </c>
      <c r="T719" t="s">
        <v>1094</v>
      </c>
      <c r="U719" t="s">
        <v>1646</v>
      </c>
      <c r="V719" t="s">
        <v>1600</v>
      </c>
      <c r="W719" t="s">
        <v>1094</v>
      </c>
      <c r="X719" t="s">
        <v>1094</v>
      </c>
      <c r="Y719" t="s">
        <v>991</v>
      </c>
      <c r="Z719" t="s">
        <v>1600</v>
      </c>
      <c r="AA719" t="s">
        <v>1600</v>
      </c>
      <c r="AB719" t="s">
        <v>1119</v>
      </c>
      <c r="AC719" t="s">
        <v>1094</v>
      </c>
      <c r="AD719" t="s">
        <v>923</v>
      </c>
      <c r="AE719" t="s">
        <v>927</v>
      </c>
      <c r="AF719">
        <f t="shared" si="22"/>
        <v>0.90000000000000013</v>
      </c>
      <c r="AG719">
        <f t="shared" si="23"/>
        <v>0.9625999999999999</v>
      </c>
    </row>
    <row r="720" spans="1:33" x14ac:dyDescent="0.25">
      <c r="A720" t="s">
        <v>2813</v>
      </c>
      <c r="B720" t="s">
        <v>2814</v>
      </c>
      <c r="C720" t="s">
        <v>1293</v>
      </c>
      <c r="D720" t="s">
        <v>1223</v>
      </c>
      <c r="E720" t="s">
        <v>47</v>
      </c>
      <c r="F720" t="s">
        <v>949</v>
      </c>
      <c r="G720" t="s">
        <v>1717</v>
      </c>
      <c r="H720" t="s">
        <v>1030</v>
      </c>
      <c r="I720" t="s">
        <v>1600</v>
      </c>
      <c r="J720" t="s">
        <v>1195</v>
      </c>
      <c r="K720" t="s">
        <v>1646</v>
      </c>
      <c r="L720" t="s">
        <v>1600</v>
      </c>
      <c r="M720" t="s">
        <v>1094</v>
      </c>
      <c r="N720" t="s">
        <v>1646</v>
      </c>
      <c r="O720" t="s">
        <v>1600</v>
      </c>
      <c r="P720" t="s">
        <v>923</v>
      </c>
      <c r="Q720" t="s">
        <v>1646</v>
      </c>
      <c r="R720" t="s">
        <v>1646</v>
      </c>
      <c r="S720" t="s">
        <v>923</v>
      </c>
      <c r="T720" t="s">
        <v>956</v>
      </c>
      <c r="U720" t="s">
        <v>1131</v>
      </c>
      <c r="V720" t="s">
        <v>1094</v>
      </c>
      <c r="W720" t="s">
        <v>1094</v>
      </c>
      <c r="X720" t="s">
        <v>1008</v>
      </c>
      <c r="Y720" t="s">
        <v>1600</v>
      </c>
      <c r="Z720" t="s">
        <v>1008</v>
      </c>
      <c r="AA720" t="s">
        <v>1600</v>
      </c>
      <c r="AB720" t="s">
        <v>1094</v>
      </c>
      <c r="AC720" t="s">
        <v>1600</v>
      </c>
      <c r="AD720" t="s">
        <v>923</v>
      </c>
      <c r="AE720" t="s">
        <v>927</v>
      </c>
      <c r="AF720">
        <f t="shared" si="22"/>
        <v>1</v>
      </c>
      <c r="AG720">
        <f t="shared" si="23"/>
        <v>1</v>
      </c>
    </row>
    <row r="721" spans="1:33" x14ac:dyDescent="0.25">
      <c r="A721" t="s">
        <v>2815</v>
      </c>
      <c r="B721" t="s">
        <v>2816</v>
      </c>
      <c r="C721" t="s">
        <v>995</v>
      </c>
      <c r="D721" t="s">
        <v>95</v>
      </c>
      <c r="E721" t="s">
        <v>63</v>
      </c>
      <c r="F721" t="s">
        <v>1147</v>
      </c>
      <c r="G721" t="s">
        <v>1717</v>
      </c>
      <c r="H721" t="s">
        <v>993</v>
      </c>
      <c r="I721" t="s">
        <v>1094</v>
      </c>
      <c r="J721" t="s">
        <v>1064</v>
      </c>
      <c r="K721" t="s">
        <v>1785</v>
      </c>
      <c r="L721" t="s">
        <v>1600</v>
      </c>
      <c r="M721" t="s">
        <v>1094</v>
      </c>
      <c r="N721" t="s">
        <v>1646</v>
      </c>
      <c r="O721" t="s">
        <v>1094</v>
      </c>
      <c r="P721" t="s">
        <v>987</v>
      </c>
      <c r="Q721" t="s">
        <v>1719</v>
      </c>
      <c r="R721" t="s">
        <v>1785</v>
      </c>
      <c r="S721" t="s">
        <v>991</v>
      </c>
      <c r="T721" t="s">
        <v>1065</v>
      </c>
      <c r="U721" t="s">
        <v>1765</v>
      </c>
      <c r="V721" t="s">
        <v>934</v>
      </c>
      <c r="W721" t="s">
        <v>1119</v>
      </c>
      <c r="X721" t="s">
        <v>934</v>
      </c>
      <c r="Y721" t="s">
        <v>934</v>
      </c>
      <c r="Z721" t="s">
        <v>1119</v>
      </c>
      <c r="AA721" t="s">
        <v>1600</v>
      </c>
      <c r="AB721" t="s">
        <v>1094</v>
      </c>
      <c r="AC721" t="s">
        <v>934</v>
      </c>
      <c r="AD721" t="s">
        <v>923</v>
      </c>
      <c r="AE721" t="s">
        <v>927</v>
      </c>
      <c r="AF721">
        <f t="shared" si="22"/>
        <v>1</v>
      </c>
      <c r="AG721">
        <f t="shared" si="23"/>
        <v>1.0565000000000002</v>
      </c>
    </row>
    <row r="722" spans="1:33" x14ac:dyDescent="0.25">
      <c r="A722" t="s">
        <v>2817</v>
      </c>
      <c r="B722" t="s">
        <v>2818</v>
      </c>
      <c r="C722" t="s">
        <v>902</v>
      </c>
      <c r="D722" t="s">
        <v>113</v>
      </c>
      <c r="E722" t="s">
        <v>72</v>
      </c>
      <c r="F722" t="s">
        <v>1355</v>
      </c>
      <c r="G722" t="s">
        <v>928</v>
      </c>
      <c r="H722" t="s">
        <v>1023</v>
      </c>
      <c r="I722" t="s">
        <v>991</v>
      </c>
      <c r="J722" t="s">
        <v>1029</v>
      </c>
      <c r="K722" t="s">
        <v>1948</v>
      </c>
      <c r="L722" t="s">
        <v>934</v>
      </c>
      <c r="M722" t="s">
        <v>923</v>
      </c>
      <c r="N722" t="s">
        <v>2300</v>
      </c>
      <c r="O722" t="s">
        <v>934</v>
      </c>
      <c r="P722" t="s">
        <v>969</v>
      </c>
      <c r="Q722" t="s">
        <v>1679</v>
      </c>
      <c r="R722" t="s">
        <v>2798</v>
      </c>
      <c r="S722" t="s">
        <v>1119</v>
      </c>
      <c r="T722" t="s">
        <v>1119</v>
      </c>
      <c r="U722" t="s">
        <v>2049</v>
      </c>
      <c r="V722" t="s">
        <v>1094</v>
      </c>
      <c r="W722" t="s">
        <v>923</v>
      </c>
      <c r="X722" t="s">
        <v>1195</v>
      </c>
      <c r="Y722" t="s">
        <v>934</v>
      </c>
      <c r="Z722" t="s">
        <v>1094</v>
      </c>
      <c r="AA722" t="s">
        <v>934</v>
      </c>
      <c r="AB722" t="s">
        <v>991</v>
      </c>
      <c r="AC722" t="s">
        <v>1065</v>
      </c>
      <c r="AD722" t="s">
        <v>923</v>
      </c>
      <c r="AE722" t="s">
        <v>927</v>
      </c>
      <c r="AF722">
        <f t="shared" si="22"/>
        <v>1.1000000000000001</v>
      </c>
      <c r="AG722">
        <f t="shared" si="23"/>
        <v>1.0002</v>
      </c>
    </row>
    <row r="723" spans="1:33" x14ac:dyDescent="0.25">
      <c r="A723" t="s">
        <v>2819</v>
      </c>
      <c r="B723" t="s">
        <v>488</v>
      </c>
      <c r="C723" t="s">
        <v>1032</v>
      </c>
      <c r="D723" t="s">
        <v>85</v>
      </c>
      <c r="E723" t="s">
        <v>63</v>
      </c>
      <c r="F723" t="s">
        <v>1137</v>
      </c>
      <c r="G723" t="s">
        <v>1717</v>
      </c>
      <c r="H723" t="s">
        <v>1118</v>
      </c>
      <c r="I723" t="s">
        <v>991</v>
      </c>
      <c r="J723" t="s">
        <v>922</v>
      </c>
      <c r="K723" t="s">
        <v>2152</v>
      </c>
      <c r="L723" t="s">
        <v>1600</v>
      </c>
      <c r="M723" t="s">
        <v>987</v>
      </c>
      <c r="N723" t="s">
        <v>1646</v>
      </c>
      <c r="O723" t="s">
        <v>991</v>
      </c>
      <c r="P723" t="s">
        <v>918</v>
      </c>
      <c r="Q723" t="s">
        <v>1665</v>
      </c>
      <c r="R723" t="s">
        <v>2152</v>
      </c>
      <c r="S723" t="s">
        <v>934</v>
      </c>
      <c r="T723" t="s">
        <v>934</v>
      </c>
      <c r="U723" t="s">
        <v>2146</v>
      </c>
      <c r="V723" t="s">
        <v>1008</v>
      </c>
      <c r="W723" t="s">
        <v>923</v>
      </c>
      <c r="X723" t="s">
        <v>922</v>
      </c>
      <c r="Y723" t="s">
        <v>1008</v>
      </c>
      <c r="Z723" t="s">
        <v>1119</v>
      </c>
      <c r="AA723" t="s">
        <v>1119</v>
      </c>
      <c r="AB723" t="s">
        <v>1008</v>
      </c>
      <c r="AC723" t="s">
        <v>1065</v>
      </c>
      <c r="AD723" t="s">
        <v>923</v>
      </c>
      <c r="AE723" t="s">
        <v>927</v>
      </c>
      <c r="AF723">
        <f t="shared" si="22"/>
        <v>1</v>
      </c>
      <c r="AG723">
        <f t="shared" si="23"/>
        <v>1.0189999999999999</v>
      </c>
    </row>
    <row r="724" spans="1:33" x14ac:dyDescent="0.25">
      <c r="A724" t="s">
        <v>2820</v>
      </c>
      <c r="B724" t="s">
        <v>2821</v>
      </c>
      <c r="C724" t="s">
        <v>1032</v>
      </c>
      <c r="D724" t="s">
        <v>121</v>
      </c>
      <c r="E724" t="s">
        <v>47</v>
      </c>
      <c r="F724" t="s">
        <v>1175</v>
      </c>
      <c r="G724" t="s">
        <v>1717</v>
      </c>
      <c r="H724" t="s">
        <v>946</v>
      </c>
      <c r="I724" t="s">
        <v>1094</v>
      </c>
      <c r="J724" t="s">
        <v>1008</v>
      </c>
      <c r="K724" t="s">
        <v>1665</v>
      </c>
      <c r="L724" t="s">
        <v>1119</v>
      </c>
      <c r="M724" t="s">
        <v>1094</v>
      </c>
      <c r="N724" t="s">
        <v>2251</v>
      </c>
      <c r="O724" t="s">
        <v>1094</v>
      </c>
      <c r="P724" t="s">
        <v>991</v>
      </c>
      <c r="Q724" t="s">
        <v>1696</v>
      </c>
      <c r="R724" t="s">
        <v>1131</v>
      </c>
      <c r="S724" t="s">
        <v>1119</v>
      </c>
      <c r="T724" t="s">
        <v>1094</v>
      </c>
      <c r="U724" t="s">
        <v>1131</v>
      </c>
      <c r="V724" t="s">
        <v>1119</v>
      </c>
      <c r="W724" t="s">
        <v>1065</v>
      </c>
      <c r="X724" t="s">
        <v>1065</v>
      </c>
      <c r="Y724" t="s">
        <v>1119</v>
      </c>
      <c r="Z724" t="s">
        <v>1119</v>
      </c>
      <c r="AA724" t="s">
        <v>1119</v>
      </c>
      <c r="AB724" t="s">
        <v>1119</v>
      </c>
      <c r="AC724" t="s">
        <v>1119</v>
      </c>
      <c r="AD724" t="s">
        <v>918</v>
      </c>
      <c r="AE724" t="s">
        <v>927</v>
      </c>
      <c r="AF724">
        <f t="shared" si="22"/>
        <v>0.79999999999999993</v>
      </c>
      <c r="AG724">
        <f t="shared" si="23"/>
        <v>0.86360000000000003</v>
      </c>
    </row>
    <row r="725" spans="1:33" x14ac:dyDescent="0.25">
      <c r="A725" t="s">
        <v>2822</v>
      </c>
      <c r="B725" t="s">
        <v>2823</v>
      </c>
      <c r="C725" t="s">
        <v>973</v>
      </c>
      <c r="D725" t="s">
        <v>95</v>
      </c>
      <c r="E725" t="s">
        <v>47</v>
      </c>
      <c r="F725" t="s">
        <v>1232</v>
      </c>
      <c r="G725" t="s">
        <v>1717</v>
      </c>
      <c r="H725" t="s">
        <v>1043</v>
      </c>
      <c r="I725" t="s">
        <v>991</v>
      </c>
      <c r="J725" t="s">
        <v>1064</v>
      </c>
      <c r="K725" t="s">
        <v>1679</v>
      </c>
      <c r="L725" t="s">
        <v>1119</v>
      </c>
      <c r="M725" t="s">
        <v>1065</v>
      </c>
      <c r="N725" t="s">
        <v>2251</v>
      </c>
      <c r="O725" t="s">
        <v>1094</v>
      </c>
      <c r="P725" t="s">
        <v>969</v>
      </c>
      <c r="Q725" t="s">
        <v>1713</v>
      </c>
      <c r="R725" t="s">
        <v>1729</v>
      </c>
      <c r="S725" t="s">
        <v>1600</v>
      </c>
      <c r="T725" t="s">
        <v>1119</v>
      </c>
      <c r="U725" t="s">
        <v>1646</v>
      </c>
      <c r="V725" t="s">
        <v>1094</v>
      </c>
      <c r="W725" t="s">
        <v>1094</v>
      </c>
      <c r="X725" t="s">
        <v>1065</v>
      </c>
      <c r="Y725" t="s">
        <v>991</v>
      </c>
      <c r="Z725" t="s">
        <v>1094</v>
      </c>
      <c r="AA725" t="s">
        <v>1119</v>
      </c>
      <c r="AB725" t="s">
        <v>1094</v>
      </c>
      <c r="AC725" t="s">
        <v>969</v>
      </c>
      <c r="AD725" t="s">
        <v>918</v>
      </c>
      <c r="AE725" t="s">
        <v>927</v>
      </c>
      <c r="AF725">
        <f t="shared" si="22"/>
        <v>0.90000000000000013</v>
      </c>
      <c r="AG725">
        <f t="shared" si="23"/>
        <v>0.95400000000000018</v>
      </c>
    </row>
    <row r="726" spans="1:33" x14ac:dyDescent="0.25">
      <c r="A726" t="s">
        <v>2824</v>
      </c>
      <c r="B726" t="s">
        <v>414</v>
      </c>
      <c r="C726" t="s">
        <v>1084</v>
      </c>
      <c r="D726" t="s">
        <v>129</v>
      </c>
      <c r="E726" t="s">
        <v>47</v>
      </c>
      <c r="F726" t="s">
        <v>1096</v>
      </c>
      <c r="G726" t="s">
        <v>1717</v>
      </c>
      <c r="H726" t="s">
        <v>924</v>
      </c>
      <c r="I726" t="s">
        <v>991</v>
      </c>
      <c r="J726" t="s">
        <v>923</v>
      </c>
      <c r="K726" t="s">
        <v>1297</v>
      </c>
      <c r="L726" t="s">
        <v>1600</v>
      </c>
      <c r="M726" t="s">
        <v>1119</v>
      </c>
      <c r="N726" t="s">
        <v>1646</v>
      </c>
      <c r="O726" t="s">
        <v>991</v>
      </c>
      <c r="P726" t="s">
        <v>918</v>
      </c>
      <c r="Q726" t="s">
        <v>1131</v>
      </c>
      <c r="R726" t="s">
        <v>1297</v>
      </c>
      <c r="S726" t="s">
        <v>1600</v>
      </c>
      <c r="T726" t="s">
        <v>1600</v>
      </c>
      <c r="U726" t="s">
        <v>927</v>
      </c>
      <c r="V726" t="s">
        <v>1119</v>
      </c>
      <c r="W726" t="s">
        <v>934</v>
      </c>
      <c r="X726" t="s">
        <v>1094</v>
      </c>
      <c r="Y726" t="s">
        <v>934</v>
      </c>
      <c r="Z726" t="s">
        <v>1119</v>
      </c>
      <c r="AA726" t="s">
        <v>1600</v>
      </c>
      <c r="AB726" t="s">
        <v>934</v>
      </c>
      <c r="AC726" t="s">
        <v>1094</v>
      </c>
      <c r="AD726" t="s">
        <v>918</v>
      </c>
      <c r="AE726" t="s">
        <v>927</v>
      </c>
      <c r="AF726">
        <f t="shared" si="22"/>
        <v>0.8</v>
      </c>
      <c r="AG726" t="e">
        <f t="shared" si="23"/>
        <v>#VALUE!</v>
      </c>
    </row>
    <row r="727" spans="1:33" x14ac:dyDescent="0.25">
      <c r="A727" t="s">
        <v>2825</v>
      </c>
      <c r="B727" t="s">
        <v>2826</v>
      </c>
      <c r="C727" t="s">
        <v>1084</v>
      </c>
      <c r="D727" t="s">
        <v>163</v>
      </c>
      <c r="E727" t="s">
        <v>63</v>
      </c>
      <c r="F727" t="s">
        <v>972</v>
      </c>
      <c r="G727" t="s">
        <v>1717</v>
      </c>
      <c r="H727" t="s">
        <v>1010</v>
      </c>
      <c r="I727" t="s">
        <v>1094</v>
      </c>
      <c r="J727" t="s">
        <v>968</v>
      </c>
      <c r="K727" t="s">
        <v>2486</v>
      </c>
      <c r="L727" t="s">
        <v>1600</v>
      </c>
      <c r="M727" t="s">
        <v>987</v>
      </c>
      <c r="N727" t="s">
        <v>1646</v>
      </c>
      <c r="O727" t="s">
        <v>1094</v>
      </c>
      <c r="P727" t="s">
        <v>923</v>
      </c>
      <c r="Q727" t="s">
        <v>2152</v>
      </c>
      <c r="R727" t="s">
        <v>2486</v>
      </c>
      <c r="S727" t="s">
        <v>1094</v>
      </c>
      <c r="T727" t="s">
        <v>1094</v>
      </c>
      <c r="U727" t="s">
        <v>2146</v>
      </c>
      <c r="V727" t="s">
        <v>1600</v>
      </c>
      <c r="W727" t="s">
        <v>923</v>
      </c>
      <c r="X727" t="s">
        <v>923</v>
      </c>
      <c r="Y727" t="s">
        <v>987</v>
      </c>
      <c r="Z727" t="s">
        <v>1065</v>
      </c>
      <c r="AA727" t="s">
        <v>1600</v>
      </c>
      <c r="AB727" t="s">
        <v>923</v>
      </c>
      <c r="AC727" t="s">
        <v>1094</v>
      </c>
      <c r="AD727" t="s">
        <v>987</v>
      </c>
      <c r="AE727" t="s">
        <v>927</v>
      </c>
      <c r="AF727">
        <f t="shared" si="22"/>
        <v>0.89999999999999991</v>
      </c>
      <c r="AG727">
        <f t="shared" si="23"/>
        <v>0.8</v>
      </c>
    </row>
    <row r="728" spans="1:33" x14ac:dyDescent="0.25">
      <c r="A728" t="s">
        <v>2827</v>
      </c>
      <c r="B728" t="s">
        <v>2828</v>
      </c>
      <c r="C728" t="s">
        <v>1015</v>
      </c>
      <c r="D728" t="s">
        <v>102</v>
      </c>
      <c r="E728" t="s">
        <v>63</v>
      </c>
      <c r="F728" t="s">
        <v>1096</v>
      </c>
      <c r="G728" t="s">
        <v>1717</v>
      </c>
      <c r="H728" t="s">
        <v>1160</v>
      </c>
      <c r="I728" t="s">
        <v>934</v>
      </c>
      <c r="J728" t="s">
        <v>1094</v>
      </c>
      <c r="K728" t="s">
        <v>1696</v>
      </c>
      <c r="L728" t="s">
        <v>934</v>
      </c>
      <c r="M728" t="s">
        <v>1094</v>
      </c>
      <c r="N728" t="s">
        <v>1696</v>
      </c>
      <c r="O728" t="s">
        <v>1600</v>
      </c>
      <c r="P728" t="s">
        <v>1600</v>
      </c>
      <c r="Q728" t="s">
        <v>927</v>
      </c>
      <c r="R728" t="s">
        <v>2146</v>
      </c>
      <c r="S728" t="s">
        <v>1119</v>
      </c>
      <c r="T728" t="s">
        <v>1008</v>
      </c>
      <c r="U728" t="s">
        <v>2388</v>
      </c>
      <c r="V728" t="s">
        <v>1119</v>
      </c>
      <c r="W728" t="s">
        <v>991</v>
      </c>
      <c r="X728" t="s">
        <v>969</v>
      </c>
      <c r="Y728" t="s">
        <v>969</v>
      </c>
      <c r="Z728" t="s">
        <v>1119</v>
      </c>
      <c r="AA728" t="s">
        <v>1600</v>
      </c>
      <c r="AB728" t="s">
        <v>1119</v>
      </c>
      <c r="AC728" t="s">
        <v>1094</v>
      </c>
      <c r="AD728" t="s">
        <v>987</v>
      </c>
      <c r="AE728" t="s">
        <v>927</v>
      </c>
      <c r="AF728">
        <f t="shared" si="22"/>
        <v>0.70000000000000007</v>
      </c>
      <c r="AG728" t="e">
        <f t="shared" si="23"/>
        <v>#VALUE!</v>
      </c>
    </row>
    <row r="729" spans="1:33" x14ac:dyDescent="0.25">
      <c r="A729" t="s">
        <v>2829</v>
      </c>
      <c r="B729" t="s">
        <v>2830</v>
      </c>
      <c r="C729" t="s">
        <v>1376</v>
      </c>
      <c r="D729" t="s">
        <v>102</v>
      </c>
      <c r="E729" t="s">
        <v>47</v>
      </c>
      <c r="F729" t="s">
        <v>1232</v>
      </c>
      <c r="G729" t="s">
        <v>901</v>
      </c>
      <c r="H729" t="s">
        <v>1063</v>
      </c>
      <c r="I729" t="s">
        <v>1094</v>
      </c>
      <c r="J729" t="s">
        <v>945</v>
      </c>
      <c r="K729" t="s">
        <v>2831</v>
      </c>
      <c r="L729" t="s">
        <v>934</v>
      </c>
      <c r="M729" t="s">
        <v>987</v>
      </c>
      <c r="N729" t="s">
        <v>2251</v>
      </c>
      <c r="O729" t="s">
        <v>934</v>
      </c>
      <c r="P729" t="s">
        <v>991</v>
      </c>
      <c r="Q729" t="s">
        <v>910</v>
      </c>
      <c r="R729" t="s">
        <v>1977</v>
      </c>
      <c r="S729" t="s">
        <v>1600</v>
      </c>
      <c r="T729" t="s">
        <v>1600</v>
      </c>
      <c r="U729" t="s">
        <v>927</v>
      </c>
      <c r="V729" t="s">
        <v>1119</v>
      </c>
      <c r="W729" t="s">
        <v>1065</v>
      </c>
      <c r="X729" t="s">
        <v>969</v>
      </c>
      <c r="Y729" t="s">
        <v>945</v>
      </c>
      <c r="Z729" t="s">
        <v>1119</v>
      </c>
      <c r="AA729" t="s">
        <v>1600</v>
      </c>
      <c r="AB729" t="s">
        <v>1065</v>
      </c>
      <c r="AC729" t="s">
        <v>969</v>
      </c>
      <c r="AD729" t="s">
        <v>987</v>
      </c>
      <c r="AE729" t="s">
        <v>927</v>
      </c>
      <c r="AF729">
        <f t="shared" si="22"/>
        <v>0.8</v>
      </c>
      <c r="AG729" t="e">
        <f t="shared" si="23"/>
        <v>#VALUE!</v>
      </c>
    </row>
    <row r="730" spans="1:33" x14ac:dyDescent="0.25">
      <c r="A730" t="s">
        <v>874</v>
      </c>
      <c r="B730" t="s">
        <v>171</v>
      </c>
      <c r="C730" t="s">
        <v>875</v>
      </c>
      <c r="D730" t="s">
        <v>172</v>
      </c>
      <c r="E730" t="s">
        <v>876</v>
      </c>
      <c r="F730" t="s">
        <v>392</v>
      </c>
      <c r="G730" t="s">
        <v>877</v>
      </c>
      <c r="H730" t="s">
        <v>878</v>
      </c>
      <c r="I730" t="s">
        <v>879</v>
      </c>
      <c r="J730" t="s">
        <v>880</v>
      </c>
      <c r="K730" t="s">
        <v>881</v>
      </c>
      <c r="L730" t="s">
        <v>882</v>
      </c>
      <c r="M730" t="s">
        <v>883</v>
      </c>
      <c r="N730" t="s">
        <v>884</v>
      </c>
      <c r="O730" t="s">
        <v>885</v>
      </c>
      <c r="P730" t="s">
        <v>886</v>
      </c>
      <c r="Q730" t="s">
        <v>887</v>
      </c>
      <c r="R730" t="s">
        <v>888</v>
      </c>
      <c r="S730" t="s">
        <v>889</v>
      </c>
      <c r="T730" t="s">
        <v>890</v>
      </c>
      <c r="U730" t="s">
        <v>891</v>
      </c>
      <c r="V730" t="s">
        <v>892</v>
      </c>
      <c r="W730" t="s">
        <v>893</v>
      </c>
      <c r="X730" t="s">
        <v>894</v>
      </c>
      <c r="Y730" t="s">
        <v>895</v>
      </c>
      <c r="Z730" t="s">
        <v>896</v>
      </c>
      <c r="AA730" t="s">
        <v>897</v>
      </c>
      <c r="AB730" t="s">
        <v>898</v>
      </c>
      <c r="AC730" t="s">
        <v>93</v>
      </c>
      <c r="AD730" t="s">
        <v>899</v>
      </c>
      <c r="AE730" t="s">
        <v>900</v>
      </c>
      <c r="AF730" t="e">
        <f t="shared" si="22"/>
        <v>#VALUE!</v>
      </c>
      <c r="AG730" t="e">
        <f t="shared" si="23"/>
        <v>#VALUE!</v>
      </c>
    </row>
    <row r="731" spans="1:33" x14ac:dyDescent="0.25">
      <c r="A731" t="s">
        <v>2832</v>
      </c>
      <c r="B731" t="s">
        <v>2833</v>
      </c>
      <c r="C731" t="s">
        <v>995</v>
      </c>
      <c r="D731" t="s">
        <v>70</v>
      </c>
      <c r="E731" t="s">
        <v>47</v>
      </c>
      <c r="F731" t="s">
        <v>1031</v>
      </c>
      <c r="G731" t="s">
        <v>1717</v>
      </c>
      <c r="H731" t="s">
        <v>1023</v>
      </c>
      <c r="I731" t="s">
        <v>991</v>
      </c>
      <c r="J731" t="s">
        <v>987</v>
      </c>
      <c r="K731" t="s">
        <v>1131</v>
      </c>
      <c r="L731" t="s">
        <v>1600</v>
      </c>
      <c r="M731" t="s">
        <v>934</v>
      </c>
      <c r="N731" t="s">
        <v>1646</v>
      </c>
      <c r="O731" t="s">
        <v>991</v>
      </c>
      <c r="P731" t="s">
        <v>969</v>
      </c>
      <c r="Q731" t="s">
        <v>1696</v>
      </c>
      <c r="R731" t="s">
        <v>1131</v>
      </c>
      <c r="S731" t="s">
        <v>1600</v>
      </c>
      <c r="T731" t="s">
        <v>1600</v>
      </c>
      <c r="U731" t="s">
        <v>927</v>
      </c>
      <c r="V731" t="s">
        <v>991</v>
      </c>
      <c r="W731" t="s">
        <v>1230</v>
      </c>
      <c r="X731" t="s">
        <v>968</v>
      </c>
      <c r="Y731" t="s">
        <v>969</v>
      </c>
      <c r="Z731" t="s">
        <v>969</v>
      </c>
      <c r="AA731" t="s">
        <v>1600</v>
      </c>
      <c r="AB731" t="s">
        <v>934</v>
      </c>
      <c r="AC731" t="s">
        <v>991</v>
      </c>
      <c r="AD731" t="s">
        <v>987</v>
      </c>
      <c r="AE731" t="s">
        <v>927</v>
      </c>
      <c r="AF731">
        <f t="shared" si="22"/>
        <v>0.8</v>
      </c>
      <c r="AG731" t="e">
        <f t="shared" si="23"/>
        <v>#VALUE!</v>
      </c>
    </row>
    <row r="732" spans="1:33" x14ac:dyDescent="0.25">
      <c r="A732" t="s">
        <v>2834</v>
      </c>
      <c r="B732" t="s">
        <v>2835</v>
      </c>
      <c r="C732" t="s">
        <v>1232</v>
      </c>
      <c r="D732" t="s">
        <v>163</v>
      </c>
      <c r="E732" t="s">
        <v>93</v>
      </c>
      <c r="F732" t="s">
        <v>1067</v>
      </c>
      <c r="G732" t="s">
        <v>1717</v>
      </c>
      <c r="H732" t="s">
        <v>1211</v>
      </c>
      <c r="I732" t="s">
        <v>1094</v>
      </c>
      <c r="J732" t="s">
        <v>1008</v>
      </c>
      <c r="K732" t="s">
        <v>1719</v>
      </c>
      <c r="L732" t="s">
        <v>1600</v>
      </c>
      <c r="M732" t="s">
        <v>1600</v>
      </c>
      <c r="N732" t="s">
        <v>927</v>
      </c>
      <c r="O732" t="s">
        <v>1094</v>
      </c>
      <c r="P732" t="s">
        <v>1008</v>
      </c>
      <c r="Q732" t="s">
        <v>1719</v>
      </c>
      <c r="R732" t="s">
        <v>1719</v>
      </c>
      <c r="S732" t="s">
        <v>1119</v>
      </c>
      <c r="T732" t="s">
        <v>1094</v>
      </c>
      <c r="U732" t="s">
        <v>1131</v>
      </c>
      <c r="V732" t="s">
        <v>969</v>
      </c>
      <c r="W732" t="s">
        <v>969</v>
      </c>
      <c r="X732" t="s">
        <v>1064</v>
      </c>
      <c r="Y732" t="s">
        <v>1094</v>
      </c>
      <c r="Z732" t="s">
        <v>1600</v>
      </c>
      <c r="AA732" t="s">
        <v>1119</v>
      </c>
      <c r="AB732" t="s">
        <v>1094</v>
      </c>
      <c r="AC732" t="s">
        <v>1008</v>
      </c>
      <c r="AD732" t="s">
        <v>1008</v>
      </c>
      <c r="AE732" t="s">
        <v>927</v>
      </c>
      <c r="AF732">
        <f t="shared" si="22"/>
        <v>0.7</v>
      </c>
      <c r="AG732" t="e">
        <f t="shared" si="23"/>
        <v>#VALUE!</v>
      </c>
    </row>
    <row r="733" spans="1:33" x14ac:dyDescent="0.25">
      <c r="A733" t="s">
        <v>2836</v>
      </c>
      <c r="B733" t="s">
        <v>2837</v>
      </c>
      <c r="C733" t="s">
        <v>1376</v>
      </c>
      <c r="D733" t="s">
        <v>170</v>
      </c>
      <c r="E733" t="s">
        <v>93</v>
      </c>
      <c r="F733" t="s">
        <v>1137</v>
      </c>
      <c r="G733" t="s">
        <v>1717</v>
      </c>
      <c r="H733" t="s">
        <v>946</v>
      </c>
      <c r="I733" t="s">
        <v>1094</v>
      </c>
      <c r="J733" t="s">
        <v>918</v>
      </c>
      <c r="K733" t="s">
        <v>1870</v>
      </c>
      <c r="L733" t="s">
        <v>1600</v>
      </c>
      <c r="M733" t="s">
        <v>1094</v>
      </c>
      <c r="N733" t="s">
        <v>1646</v>
      </c>
      <c r="O733" t="s">
        <v>1094</v>
      </c>
      <c r="P733" t="s">
        <v>1008</v>
      </c>
      <c r="Q733" t="s">
        <v>1131</v>
      </c>
      <c r="R733" t="s">
        <v>1870</v>
      </c>
      <c r="S733" t="s">
        <v>1600</v>
      </c>
      <c r="T733" t="s">
        <v>1119</v>
      </c>
      <c r="U733" t="s">
        <v>1646</v>
      </c>
      <c r="V733" t="s">
        <v>1600</v>
      </c>
      <c r="W733" t="s">
        <v>1065</v>
      </c>
      <c r="X733" t="s">
        <v>1065</v>
      </c>
      <c r="Y733" t="s">
        <v>1094</v>
      </c>
      <c r="Z733" t="s">
        <v>1600</v>
      </c>
      <c r="AA733" t="s">
        <v>934</v>
      </c>
      <c r="AB733" t="s">
        <v>1094</v>
      </c>
      <c r="AC733" t="s">
        <v>991</v>
      </c>
      <c r="AD733" t="s">
        <v>1008</v>
      </c>
      <c r="AE733" t="s">
        <v>927</v>
      </c>
      <c r="AF733">
        <f t="shared" si="22"/>
        <v>0.6</v>
      </c>
      <c r="AG733">
        <f t="shared" si="23"/>
        <v>0.60000000000000009</v>
      </c>
    </row>
    <row r="734" spans="1:33" x14ac:dyDescent="0.25">
      <c r="A734" t="s">
        <v>2838</v>
      </c>
      <c r="B734" t="s">
        <v>2839</v>
      </c>
      <c r="C734" t="s">
        <v>973</v>
      </c>
      <c r="D734" t="s">
        <v>105</v>
      </c>
      <c r="E734" t="s">
        <v>72</v>
      </c>
      <c r="F734" t="s">
        <v>1147</v>
      </c>
      <c r="G734" t="s">
        <v>1717</v>
      </c>
      <c r="H734" t="s">
        <v>1103</v>
      </c>
      <c r="I734" t="s">
        <v>934</v>
      </c>
      <c r="J734" t="s">
        <v>969</v>
      </c>
      <c r="K734" t="s">
        <v>2152</v>
      </c>
      <c r="L734" t="s">
        <v>1600</v>
      </c>
      <c r="M734" t="s">
        <v>934</v>
      </c>
      <c r="N734" t="s">
        <v>1646</v>
      </c>
      <c r="O734" t="s">
        <v>934</v>
      </c>
      <c r="P734" t="s">
        <v>1065</v>
      </c>
      <c r="Q734" t="s">
        <v>1666</v>
      </c>
      <c r="R734" t="s">
        <v>2152</v>
      </c>
      <c r="S734" t="s">
        <v>991</v>
      </c>
      <c r="T734" t="s">
        <v>987</v>
      </c>
      <c r="U734" t="s">
        <v>1131</v>
      </c>
      <c r="V734" t="s">
        <v>1065</v>
      </c>
      <c r="W734" t="s">
        <v>991</v>
      </c>
      <c r="X734" t="s">
        <v>918</v>
      </c>
      <c r="Y734" t="s">
        <v>934</v>
      </c>
      <c r="Z734" t="s">
        <v>934</v>
      </c>
      <c r="AA734" t="s">
        <v>934</v>
      </c>
      <c r="AB734" t="s">
        <v>1065</v>
      </c>
      <c r="AC734" t="s">
        <v>1008</v>
      </c>
      <c r="AD734" t="s">
        <v>1008</v>
      </c>
      <c r="AE734" t="s">
        <v>927</v>
      </c>
      <c r="AF734">
        <f t="shared" si="22"/>
        <v>0.8</v>
      </c>
      <c r="AG734">
        <f t="shared" si="23"/>
        <v>0.66639999999999999</v>
      </c>
    </row>
    <row r="735" spans="1:33" x14ac:dyDescent="0.25">
      <c r="A735" t="s">
        <v>2840</v>
      </c>
      <c r="B735" t="s">
        <v>2841</v>
      </c>
      <c r="C735" t="s">
        <v>973</v>
      </c>
      <c r="D735" t="s">
        <v>105</v>
      </c>
      <c r="E735" t="s">
        <v>63</v>
      </c>
      <c r="F735" t="s">
        <v>995</v>
      </c>
      <c r="G735" t="s">
        <v>1717</v>
      </c>
      <c r="H735" t="s">
        <v>1160</v>
      </c>
      <c r="I735" t="s">
        <v>934</v>
      </c>
      <c r="J735" t="s">
        <v>945</v>
      </c>
      <c r="K735" t="s">
        <v>2842</v>
      </c>
      <c r="L735" t="s">
        <v>1119</v>
      </c>
      <c r="M735" t="s">
        <v>1008</v>
      </c>
      <c r="N735" t="s">
        <v>2251</v>
      </c>
      <c r="O735" t="s">
        <v>1119</v>
      </c>
      <c r="P735" t="s">
        <v>1065</v>
      </c>
      <c r="Q735" t="s">
        <v>2485</v>
      </c>
      <c r="R735" t="s">
        <v>2152</v>
      </c>
      <c r="S735" t="s">
        <v>1119</v>
      </c>
      <c r="T735" t="s">
        <v>934</v>
      </c>
      <c r="U735" t="s">
        <v>1131</v>
      </c>
      <c r="V735" t="s">
        <v>934</v>
      </c>
      <c r="W735" t="s">
        <v>969</v>
      </c>
      <c r="X735" t="s">
        <v>987</v>
      </c>
      <c r="Y735" t="s">
        <v>934</v>
      </c>
      <c r="Z735" t="s">
        <v>1119</v>
      </c>
      <c r="AA735" t="s">
        <v>1094</v>
      </c>
      <c r="AB735" t="s">
        <v>1119</v>
      </c>
      <c r="AC735" t="s">
        <v>991</v>
      </c>
      <c r="AD735" t="s">
        <v>1008</v>
      </c>
      <c r="AE735" t="s">
        <v>927</v>
      </c>
      <c r="AF735">
        <f t="shared" si="22"/>
        <v>0.6</v>
      </c>
      <c r="AG735">
        <f t="shared" si="23"/>
        <v>0.70199999999999985</v>
      </c>
    </row>
    <row r="736" spans="1:33" x14ac:dyDescent="0.25">
      <c r="A736" t="s">
        <v>2843</v>
      </c>
      <c r="B736" t="s">
        <v>2844</v>
      </c>
      <c r="C736" t="s">
        <v>1245</v>
      </c>
      <c r="D736" t="s">
        <v>1279</v>
      </c>
      <c r="E736" t="s">
        <v>63</v>
      </c>
      <c r="F736" t="s">
        <v>1031</v>
      </c>
      <c r="G736" t="s">
        <v>1717</v>
      </c>
      <c r="H736" t="s">
        <v>956</v>
      </c>
      <c r="I736" t="s">
        <v>934</v>
      </c>
      <c r="J736" t="s">
        <v>1230</v>
      </c>
      <c r="K736" t="s">
        <v>2486</v>
      </c>
      <c r="L736" t="s">
        <v>1600</v>
      </c>
      <c r="M736" t="s">
        <v>969</v>
      </c>
      <c r="N736" t="s">
        <v>1646</v>
      </c>
      <c r="O736" t="s">
        <v>934</v>
      </c>
      <c r="P736" t="s">
        <v>987</v>
      </c>
      <c r="Q736" t="s">
        <v>2152</v>
      </c>
      <c r="R736" t="s">
        <v>2486</v>
      </c>
      <c r="S736" t="s">
        <v>934</v>
      </c>
      <c r="T736" t="s">
        <v>991</v>
      </c>
      <c r="U736" t="s">
        <v>1131</v>
      </c>
      <c r="V736" t="s">
        <v>1600</v>
      </c>
      <c r="W736" t="s">
        <v>991</v>
      </c>
      <c r="X736" t="s">
        <v>991</v>
      </c>
      <c r="Y736" t="s">
        <v>1600</v>
      </c>
      <c r="Z736" t="s">
        <v>1600</v>
      </c>
      <c r="AA736" t="s">
        <v>1600</v>
      </c>
      <c r="AB736" t="s">
        <v>1600</v>
      </c>
      <c r="AC736" t="s">
        <v>1600</v>
      </c>
      <c r="AD736" t="s">
        <v>969</v>
      </c>
      <c r="AE736" t="s">
        <v>927</v>
      </c>
      <c r="AF736">
        <f t="shared" si="22"/>
        <v>0.60000000000000009</v>
      </c>
      <c r="AG736">
        <f t="shared" si="23"/>
        <v>0.6</v>
      </c>
    </row>
    <row r="737" spans="1:33" x14ac:dyDescent="0.25">
      <c r="A737" t="s">
        <v>2845</v>
      </c>
      <c r="B737" t="s">
        <v>2846</v>
      </c>
      <c r="C737" t="s">
        <v>1032</v>
      </c>
      <c r="D737" t="s">
        <v>974</v>
      </c>
      <c r="E737" t="s">
        <v>63</v>
      </c>
      <c r="F737" t="s">
        <v>1083</v>
      </c>
      <c r="G737" t="s">
        <v>1717</v>
      </c>
      <c r="H737" t="s">
        <v>956</v>
      </c>
      <c r="I737" t="s">
        <v>1119</v>
      </c>
      <c r="J737" t="s">
        <v>923</v>
      </c>
      <c r="K737" t="s">
        <v>2480</v>
      </c>
      <c r="L737" t="s">
        <v>1600</v>
      </c>
      <c r="M737" t="s">
        <v>991</v>
      </c>
      <c r="N737" t="s">
        <v>1646</v>
      </c>
      <c r="O737" t="s">
        <v>1119</v>
      </c>
      <c r="P737" t="s">
        <v>969</v>
      </c>
      <c r="Q737" t="s">
        <v>2251</v>
      </c>
      <c r="R737" t="s">
        <v>2480</v>
      </c>
      <c r="S737" t="s">
        <v>1119</v>
      </c>
      <c r="T737" t="s">
        <v>1119</v>
      </c>
      <c r="U737" t="s">
        <v>2146</v>
      </c>
      <c r="V737" t="s">
        <v>1094</v>
      </c>
      <c r="W737" t="s">
        <v>1094</v>
      </c>
      <c r="X737" t="s">
        <v>1065</v>
      </c>
      <c r="Y737" t="s">
        <v>1094</v>
      </c>
      <c r="Z737" t="s">
        <v>1119</v>
      </c>
      <c r="AA737" t="s">
        <v>1600</v>
      </c>
      <c r="AB737" t="s">
        <v>1094</v>
      </c>
      <c r="AC737" t="s">
        <v>1065</v>
      </c>
      <c r="AD737" t="s">
        <v>991</v>
      </c>
      <c r="AE737" t="s">
        <v>927</v>
      </c>
      <c r="AF737">
        <f t="shared" si="22"/>
        <v>0.30000000000000004</v>
      </c>
      <c r="AG737">
        <f t="shared" si="23"/>
        <v>0.33999999999999997</v>
      </c>
    </row>
    <row r="738" spans="1:33" x14ac:dyDescent="0.25">
      <c r="A738" t="s">
        <v>2845</v>
      </c>
      <c r="B738" t="s">
        <v>2846</v>
      </c>
      <c r="C738" t="s">
        <v>1032</v>
      </c>
      <c r="D738" t="s">
        <v>170</v>
      </c>
      <c r="E738" t="s">
        <v>63</v>
      </c>
      <c r="F738" t="s">
        <v>1031</v>
      </c>
      <c r="G738" t="s">
        <v>1717</v>
      </c>
      <c r="H738" t="s">
        <v>1029</v>
      </c>
      <c r="I738" t="s">
        <v>934</v>
      </c>
      <c r="J738" t="s">
        <v>945</v>
      </c>
      <c r="K738" t="s">
        <v>2388</v>
      </c>
      <c r="L738" t="s">
        <v>1600</v>
      </c>
      <c r="M738" t="s">
        <v>969</v>
      </c>
      <c r="N738" t="s">
        <v>1646</v>
      </c>
      <c r="O738" t="s">
        <v>934</v>
      </c>
      <c r="P738" t="s">
        <v>969</v>
      </c>
      <c r="Q738" t="s">
        <v>1666</v>
      </c>
      <c r="R738" t="s">
        <v>2388</v>
      </c>
      <c r="S738" t="s">
        <v>934</v>
      </c>
      <c r="T738" t="s">
        <v>934</v>
      </c>
      <c r="U738" t="s">
        <v>2146</v>
      </c>
      <c r="V738" t="s">
        <v>1600</v>
      </c>
      <c r="W738" t="s">
        <v>1600</v>
      </c>
      <c r="X738" t="s">
        <v>1600</v>
      </c>
      <c r="Y738" t="s">
        <v>934</v>
      </c>
      <c r="Z738" t="s">
        <v>1600</v>
      </c>
      <c r="AA738" t="s">
        <v>1600</v>
      </c>
      <c r="AB738" t="s">
        <v>934</v>
      </c>
      <c r="AC738" t="s">
        <v>991</v>
      </c>
      <c r="AD738" t="s">
        <v>969</v>
      </c>
      <c r="AE738" t="s">
        <v>927</v>
      </c>
      <c r="AF738">
        <f t="shared" si="22"/>
        <v>0.60000000000000009</v>
      </c>
      <c r="AG738">
        <f t="shared" si="23"/>
        <v>0.59960000000000002</v>
      </c>
    </row>
    <row r="739" spans="1:33" x14ac:dyDescent="0.25">
      <c r="A739" t="s">
        <v>2845</v>
      </c>
      <c r="B739" t="s">
        <v>2846</v>
      </c>
      <c r="C739" t="s">
        <v>1032</v>
      </c>
      <c r="D739" t="s">
        <v>102</v>
      </c>
      <c r="E739" t="s">
        <v>63</v>
      </c>
      <c r="F739" t="s">
        <v>949</v>
      </c>
      <c r="G739" t="s">
        <v>1717</v>
      </c>
      <c r="H739" t="s">
        <v>1220</v>
      </c>
      <c r="I739" t="s">
        <v>1600</v>
      </c>
      <c r="J739" t="s">
        <v>1008</v>
      </c>
      <c r="K739" t="s">
        <v>1646</v>
      </c>
      <c r="L739" t="s">
        <v>1600</v>
      </c>
      <c r="M739" t="s">
        <v>1600</v>
      </c>
      <c r="N739" t="s">
        <v>927</v>
      </c>
      <c r="O739" t="s">
        <v>1600</v>
      </c>
      <c r="P739" t="s">
        <v>1008</v>
      </c>
      <c r="Q739" t="s">
        <v>1646</v>
      </c>
      <c r="R739" t="s">
        <v>1646</v>
      </c>
      <c r="S739" t="s">
        <v>1600</v>
      </c>
      <c r="T739" t="s">
        <v>1600</v>
      </c>
      <c r="U739" t="s">
        <v>927</v>
      </c>
      <c r="V739" t="s">
        <v>1008</v>
      </c>
      <c r="W739" t="s">
        <v>1008</v>
      </c>
      <c r="X739" t="s">
        <v>1195</v>
      </c>
      <c r="Y739" t="s">
        <v>1094</v>
      </c>
      <c r="Z739" t="s">
        <v>1094</v>
      </c>
      <c r="AA739" t="s">
        <v>1600</v>
      </c>
      <c r="AB739" t="s">
        <v>1094</v>
      </c>
      <c r="AC739" t="s">
        <v>1008</v>
      </c>
      <c r="AD739" t="s">
        <v>1600</v>
      </c>
      <c r="AE739" t="s">
        <v>927</v>
      </c>
      <c r="AF739">
        <f t="shared" si="22"/>
        <v>0</v>
      </c>
      <c r="AG739" t="e">
        <f t="shared" si="23"/>
        <v>#VALUE!</v>
      </c>
    </row>
    <row r="740" spans="1:33" x14ac:dyDescent="0.25">
      <c r="A740" t="s">
        <v>2847</v>
      </c>
      <c r="B740" t="s">
        <v>2848</v>
      </c>
      <c r="C740" t="s">
        <v>973</v>
      </c>
      <c r="D740" t="s">
        <v>48</v>
      </c>
      <c r="E740" t="s">
        <v>47</v>
      </c>
      <c r="F740" t="s">
        <v>1051</v>
      </c>
      <c r="G740" t="s">
        <v>1717</v>
      </c>
      <c r="H740" t="s">
        <v>979</v>
      </c>
      <c r="I740" t="s">
        <v>1600</v>
      </c>
      <c r="J740" t="s">
        <v>1094</v>
      </c>
      <c r="K740" t="s">
        <v>1646</v>
      </c>
      <c r="L740" t="s">
        <v>1600</v>
      </c>
      <c r="M740" t="s">
        <v>934</v>
      </c>
      <c r="N740" t="s">
        <v>1646</v>
      </c>
      <c r="O740" t="s">
        <v>1600</v>
      </c>
      <c r="P740" t="s">
        <v>934</v>
      </c>
      <c r="Q740" t="s">
        <v>1646</v>
      </c>
      <c r="R740" t="s">
        <v>1646</v>
      </c>
      <c r="S740" t="s">
        <v>1094</v>
      </c>
      <c r="T740" t="s">
        <v>1008</v>
      </c>
      <c r="U740" t="s">
        <v>1131</v>
      </c>
      <c r="V740" t="s">
        <v>934</v>
      </c>
      <c r="W740" t="s">
        <v>1094</v>
      </c>
      <c r="X740" t="s">
        <v>1065</v>
      </c>
      <c r="Y740" t="s">
        <v>934</v>
      </c>
      <c r="Z740" t="s">
        <v>1600</v>
      </c>
      <c r="AA740" t="s">
        <v>1600</v>
      </c>
      <c r="AB740" t="s">
        <v>934</v>
      </c>
      <c r="AC740" t="s">
        <v>1008</v>
      </c>
      <c r="AD740" t="s">
        <v>1094</v>
      </c>
      <c r="AE740" t="s">
        <v>927</v>
      </c>
      <c r="AF740">
        <f t="shared" si="22"/>
        <v>0.3</v>
      </c>
      <c r="AG740">
        <f t="shared" si="23"/>
        <v>0.35</v>
      </c>
    </row>
    <row r="741" spans="1:33" x14ac:dyDescent="0.25">
      <c r="A741" t="s">
        <v>2849</v>
      </c>
      <c r="B741" t="s">
        <v>2850</v>
      </c>
      <c r="C741" t="s">
        <v>995</v>
      </c>
      <c r="D741" t="s">
        <v>102</v>
      </c>
      <c r="E741" t="s">
        <v>56</v>
      </c>
      <c r="F741" t="s">
        <v>949</v>
      </c>
      <c r="G741" t="s">
        <v>1717</v>
      </c>
      <c r="H741" t="s">
        <v>1170</v>
      </c>
      <c r="I741" t="s">
        <v>1600</v>
      </c>
      <c r="J741" t="s">
        <v>1094</v>
      </c>
      <c r="K741" t="s">
        <v>1646</v>
      </c>
      <c r="L741" t="s">
        <v>1600</v>
      </c>
      <c r="M741" t="s">
        <v>1094</v>
      </c>
      <c r="N741" t="s">
        <v>1646</v>
      </c>
      <c r="O741" t="s">
        <v>1600</v>
      </c>
      <c r="P741" t="s">
        <v>1600</v>
      </c>
      <c r="Q741" t="s">
        <v>927</v>
      </c>
      <c r="R741" t="s">
        <v>1646</v>
      </c>
      <c r="S741" t="s">
        <v>1094</v>
      </c>
      <c r="T741" t="s">
        <v>1008</v>
      </c>
      <c r="U741" t="s">
        <v>1131</v>
      </c>
      <c r="V741" t="s">
        <v>1600</v>
      </c>
      <c r="W741" t="s">
        <v>1195</v>
      </c>
      <c r="X741" t="s">
        <v>1195</v>
      </c>
      <c r="Y741" t="s">
        <v>923</v>
      </c>
      <c r="Z741" t="s">
        <v>1600</v>
      </c>
      <c r="AA741" t="s">
        <v>1600</v>
      </c>
      <c r="AB741" t="s">
        <v>1195</v>
      </c>
      <c r="AC741" t="s">
        <v>1094</v>
      </c>
      <c r="AD741" t="s">
        <v>1094</v>
      </c>
      <c r="AE741" t="s">
        <v>927</v>
      </c>
      <c r="AF741">
        <f t="shared" si="22"/>
        <v>0.3</v>
      </c>
      <c r="AG741" t="e">
        <f t="shared" si="23"/>
        <v>#VALUE!</v>
      </c>
    </row>
    <row r="742" spans="1:33" x14ac:dyDescent="0.25">
      <c r="A742" t="s">
        <v>2851</v>
      </c>
      <c r="B742" t="s">
        <v>2852</v>
      </c>
      <c r="C742" t="s">
        <v>1293</v>
      </c>
      <c r="D742" t="s">
        <v>121</v>
      </c>
      <c r="E742" t="s">
        <v>63</v>
      </c>
      <c r="F742" t="s">
        <v>901</v>
      </c>
      <c r="G742" t="s">
        <v>1717</v>
      </c>
      <c r="H742" t="s">
        <v>1061</v>
      </c>
      <c r="I742" t="s">
        <v>1600</v>
      </c>
      <c r="J742" t="s">
        <v>956</v>
      </c>
      <c r="K742" t="s">
        <v>1646</v>
      </c>
      <c r="L742" t="s">
        <v>1600</v>
      </c>
      <c r="M742" t="s">
        <v>923</v>
      </c>
      <c r="N742" t="s">
        <v>1646</v>
      </c>
      <c r="O742" t="s">
        <v>1600</v>
      </c>
      <c r="P742" t="s">
        <v>923</v>
      </c>
      <c r="Q742" t="s">
        <v>1646</v>
      </c>
      <c r="R742" t="s">
        <v>1646</v>
      </c>
      <c r="S742" t="s">
        <v>1600</v>
      </c>
      <c r="T742" t="s">
        <v>1600</v>
      </c>
      <c r="U742" t="s">
        <v>927</v>
      </c>
      <c r="V742" t="s">
        <v>1600</v>
      </c>
      <c r="W742" t="s">
        <v>923</v>
      </c>
      <c r="X742" t="s">
        <v>923</v>
      </c>
      <c r="Y742" t="s">
        <v>923</v>
      </c>
      <c r="Z742" t="s">
        <v>1600</v>
      </c>
      <c r="AA742" t="s">
        <v>1600</v>
      </c>
      <c r="AB742" t="s">
        <v>1600</v>
      </c>
      <c r="AC742" t="s">
        <v>1600</v>
      </c>
      <c r="AD742" t="s">
        <v>1600</v>
      </c>
      <c r="AE742" t="s">
        <v>927</v>
      </c>
      <c r="AF742">
        <f t="shared" si="22"/>
        <v>0</v>
      </c>
      <c r="AG742" t="e">
        <f t="shared" si="23"/>
        <v>#VALUE!</v>
      </c>
    </row>
    <row r="743" spans="1:33" x14ac:dyDescent="0.25">
      <c r="A743" t="s">
        <v>2853</v>
      </c>
      <c r="B743" t="s">
        <v>2854</v>
      </c>
      <c r="C743" t="s">
        <v>1084</v>
      </c>
      <c r="D743" t="s">
        <v>102</v>
      </c>
      <c r="E743" t="s">
        <v>72</v>
      </c>
      <c r="F743" t="s">
        <v>928</v>
      </c>
      <c r="G743" t="s">
        <v>1717</v>
      </c>
      <c r="H743" t="s">
        <v>993</v>
      </c>
      <c r="I743" t="s">
        <v>1600</v>
      </c>
      <c r="J743" t="s">
        <v>1600</v>
      </c>
      <c r="K743" t="s">
        <v>927</v>
      </c>
      <c r="L743" t="s">
        <v>1600</v>
      </c>
      <c r="M743" t="s">
        <v>1600</v>
      </c>
      <c r="N743" t="s">
        <v>927</v>
      </c>
      <c r="O743" t="s">
        <v>1600</v>
      </c>
      <c r="P743" t="s">
        <v>1600</v>
      </c>
      <c r="Q743" t="s">
        <v>927</v>
      </c>
      <c r="R743" t="s">
        <v>927</v>
      </c>
      <c r="S743" t="s">
        <v>1600</v>
      </c>
      <c r="T743" t="s">
        <v>1600</v>
      </c>
      <c r="U743" t="s">
        <v>927</v>
      </c>
      <c r="V743" t="s">
        <v>1600</v>
      </c>
      <c r="W743" t="s">
        <v>1600</v>
      </c>
      <c r="X743" t="s">
        <v>1600</v>
      </c>
      <c r="Y743" t="s">
        <v>1065</v>
      </c>
      <c r="Z743" t="s">
        <v>1600</v>
      </c>
      <c r="AA743" t="s">
        <v>1600</v>
      </c>
      <c r="AB743" t="s">
        <v>1600</v>
      </c>
      <c r="AC743" t="s">
        <v>923</v>
      </c>
      <c r="AD743" t="s">
        <v>1600</v>
      </c>
      <c r="AE743" t="s">
        <v>927</v>
      </c>
      <c r="AF743">
        <f t="shared" si="22"/>
        <v>0</v>
      </c>
      <c r="AG743" t="e">
        <f t="shared" si="23"/>
        <v>#VALUE!</v>
      </c>
    </row>
    <row r="744" spans="1:33" x14ac:dyDescent="0.25">
      <c r="A744" t="s">
        <v>2855</v>
      </c>
      <c r="B744" t="s">
        <v>2856</v>
      </c>
      <c r="C744" t="s">
        <v>902</v>
      </c>
      <c r="D744" t="s">
        <v>142</v>
      </c>
      <c r="E744" t="s">
        <v>63</v>
      </c>
      <c r="F744" t="s">
        <v>928</v>
      </c>
      <c r="G744" t="s">
        <v>1717</v>
      </c>
      <c r="H744" t="s">
        <v>920</v>
      </c>
      <c r="I744" t="s">
        <v>1600</v>
      </c>
      <c r="J744" t="s">
        <v>923</v>
      </c>
      <c r="K744" t="s">
        <v>1646</v>
      </c>
      <c r="L744" t="s">
        <v>1600</v>
      </c>
      <c r="M744" t="s">
        <v>1065</v>
      </c>
      <c r="N744" t="s">
        <v>1646</v>
      </c>
      <c r="O744" t="s">
        <v>1600</v>
      </c>
      <c r="P744" t="s">
        <v>1065</v>
      </c>
      <c r="Q744" t="s">
        <v>1646</v>
      </c>
      <c r="R744" t="s">
        <v>1646</v>
      </c>
      <c r="S744" t="s">
        <v>1600</v>
      </c>
      <c r="T744" t="s">
        <v>1600</v>
      </c>
      <c r="U744" t="s">
        <v>927</v>
      </c>
      <c r="V744" t="s">
        <v>1600</v>
      </c>
      <c r="W744" t="s">
        <v>1065</v>
      </c>
      <c r="X744" t="s">
        <v>1065</v>
      </c>
      <c r="Y744" t="s">
        <v>1310</v>
      </c>
      <c r="Z744" t="s">
        <v>1600</v>
      </c>
      <c r="AA744" t="s">
        <v>1600</v>
      </c>
      <c r="AB744" t="s">
        <v>1600</v>
      </c>
      <c r="AC744" t="s">
        <v>923</v>
      </c>
      <c r="AD744" t="s">
        <v>1600</v>
      </c>
      <c r="AE744" t="s">
        <v>927</v>
      </c>
      <c r="AF744">
        <f t="shared" si="22"/>
        <v>0</v>
      </c>
      <c r="AG744" t="e">
        <f t="shared" si="23"/>
        <v>#VALUE!</v>
      </c>
    </row>
    <row r="745" spans="1:33" x14ac:dyDescent="0.25">
      <c r="A745" t="s">
        <v>2857</v>
      </c>
      <c r="B745" t="s">
        <v>2858</v>
      </c>
      <c r="C745" t="s">
        <v>1293</v>
      </c>
      <c r="D745" t="s">
        <v>77</v>
      </c>
      <c r="E745" t="s">
        <v>47</v>
      </c>
      <c r="F745" t="s">
        <v>972</v>
      </c>
      <c r="G745" t="s">
        <v>1717</v>
      </c>
      <c r="H745" t="s">
        <v>968</v>
      </c>
      <c r="I745" t="s">
        <v>1600</v>
      </c>
      <c r="J745" t="s">
        <v>1600</v>
      </c>
      <c r="K745" t="s">
        <v>927</v>
      </c>
      <c r="L745" t="s">
        <v>1600</v>
      </c>
      <c r="M745" t="s">
        <v>1600</v>
      </c>
      <c r="N745" t="s">
        <v>927</v>
      </c>
      <c r="O745" t="s">
        <v>1600</v>
      </c>
      <c r="P745" t="s">
        <v>1600</v>
      </c>
      <c r="Q745" t="s">
        <v>927</v>
      </c>
      <c r="R745" t="s">
        <v>927</v>
      </c>
      <c r="S745" t="s">
        <v>1600</v>
      </c>
      <c r="T745" t="s">
        <v>1600</v>
      </c>
      <c r="U745" t="s">
        <v>927</v>
      </c>
      <c r="V745" t="s">
        <v>1600</v>
      </c>
      <c r="W745" t="s">
        <v>1600</v>
      </c>
      <c r="X745" t="s">
        <v>1600</v>
      </c>
      <c r="Y745" t="s">
        <v>1094</v>
      </c>
      <c r="Z745" t="s">
        <v>1094</v>
      </c>
      <c r="AA745" t="s">
        <v>1600</v>
      </c>
      <c r="AB745" t="s">
        <v>1600</v>
      </c>
      <c r="AC745" t="s">
        <v>1600</v>
      </c>
      <c r="AD745" t="s">
        <v>1600</v>
      </c>
      <c r="AE745" t="s">
        <v>927</v>
      </c>
      <c r="AF745">
        <f t="shared" si="22"/>
        <v>0</v>
      </c>
      <c r="AG745" t="e">
        <f t="shared" si="23"/>
        <v>#VALUE!</v>
      </c>
    </row>
    <row r="746" spans="1:33" x14ac:dyDescent="0.25">
      <c r="A746" t="s">
        <v>2859</v>
      </c>
      <c r="B746" t="s">
        <v>2860</v>
      </c>
      <c r="C746" t="s">
        <v>1084</v>
      </c>
      <c r="D746" t="s">
        <v>70</v>
      </c>
      <c r="E746" t="s">
        <v>47</v>
      </c>
      <c r="F746" t="s">
        <v>901</v>
      </c>
      <c r="G746" t="s">
        <v>1717</v>
      </c>
      <c r="H746" t="s">
        <v>1023</v>
      </c>
      <c r="I746" t="s">
        <v>1600</v>
      </c>
      <c r="J746" t="s">
        <v>923</v>
      </c>
      <c r="K746" t="s">
        <v>1646</v>
      </c>
      <c r="L746" t="s">
        <v>1600</v>
      </c>
      <c r="M746" t="s">
        <v>923</v>
      </c>
      <c r="N746" t="s">
        <v>1646</v>
      </c>
      <c r="O746" t="s">
        <v>1600</v>
      </c>
      <c r="P746" t="s">
        <v>1600</v>
      </c>
      <c r="Q746" t="s">
        <v>927</v>
      </c>
      <c r="R746" t="s">
        <v>1646</v>
      </c>
      <c r="S746" t="s">
        <v>1600</v>
      </c>
      <c r="T746" t="s">
        <v>1600</v>
      </c>
      <c r="U746" t="s">
        <v>927</v>
      </c>
      <c r="V746" t="s">
        <v>1600</v>
      </c>
      <c r="W746" t="s">
        <v>956</v>
      </c>
      <c r="X746" t="s">
        <v>956</v>
      </c>
      <c r="Y746" t="s">
        <v>1600</v>
      </c>
      <c r="Z746" t="s">
        <v>1600</v>
      </c>
      <c r="AA746" t="s">
        <v>1600</v>
      </c>
      <c r="AB746" t="s">
        <v>1600</v>
      </c>
      <c r="AC746" t="s">
        <v>1600</v>
      </c>
      <c r="AD746" t="s">
        <v>1600</v>
      </c>
      <c r="AE746" t="s">
        <v>927</v>
      </c>
      <c r="AF746">
        <f t="shared" si="22"/>
        <v>0</v>
      </c>
      <c r="AG746" t="e">
        <f t="shared" si="23"/>
        <v>#VALUE!</v>
      </c>
    </row>
    <row r="747" spans="1:33" x14ac:dyDescent="0.25">
      <c r="A747" t="s">
        <v>2861</v>
      </c>
      <c r="B747" t="s">
        <v>2862</v>
      </c>
      <c r="C747" t="s">
        <v>950</v>
      </c>
      <c r="D747" t="s">
        <v>170</v>
      </c>
      <c r="E747" t="s">
        <v>72</v>
      </c>
      <c r="F747" t="s">
        <v>901</v>
      </c>
      <c r="G747" t="s">
        <v>1717</v>
      </c>
      <c r="H747" t="s">
        <v>1135</v>
      </c>
      <c r="I747" t="s">
        <v>1600</v>
      </c>
      <c r="J747" t="s">
        <v>1600</v>
      </c>
      <c r="K747" t="s">
        <v>927</v>
      </c>
      <c r="L747" t="s">
        <v>1600</v>
      </c>
      <c r="M747" t="s">
        <v>1600</v>
      </c>
      <c r="N747" t="s">
        <v>927</v>
      </c>
      <c r="O747" t="s">
        <v>1600</v>
      </c>
      <c r="P747" t="s">
        <v>1600</v>
      </c>
      <c r="Q747" t="s">
        <v>927</v>
      </c>
      <c r="R747" t="s">
        <v>927</v>
      </c>
      <c r="S747" t="s">
        <v>1600</v>
      </c>
      <c r="T747" t="s">
        <v>1600</v>
      </c>
      <c r="U747" t="s">
        <v>927</v>
      </c>
      <c r="V747" t="s">
        <v>1600</v>
      </c>
      <c r="W747" t="s">
        <v>923</v>
      </c>
      <c r="X747" t="s">
        <v>923</v>
      </c>
      <c r="Y747" t="s">
        <v>923</v>
      </c>
      <c r="Z747" t="s">
        <v>1600</v>
      </c>
      <c r="AA747" t="s">
        <v>1600</v>
      </c>
      <c r="AB747" t="s">
        <v>1600</v>
      </c>
      <c r="AC747" t="s">
        <v>1600</v>
      </c>
      <c r="AD747" t="s">
        <v>1600</v>
      </c>
      <c r="AE747" t="s">
        <v>927</v>
      </c>
      <c r="AF747">
        <f t="shared" si="22"/>
        <v>0</v>
      </c>
      <c r="AG747" t="e">
        <f t="shared" si="23"/>
        <v>#VALUE!</v>
      </c>
    </row>
    <row r="748" spans="1:33" x14ac:dyDescent="0.25">
      <c r="A748" t="s">
        <v>2863</v>
      </c>
      <c r="B748" t="s">
        <v>2864</v>
      </c>
      <c r="C748" t="s">
        <v>1032</v>
      </c>
      <c r="D748" t="s">
        <v>156</v>
      </c>
      <c r="E748" t="s">
        <v>63</v>
      </c>
      <c r="F748" t="s">
        <v>949</v>
      </c>
      <c r="G748" t="s">
        <v>1717</v>
      </c>
      <c r="H748" t="s">
        <v>923</v>
      </c>
      <c r="I748" t="s">
        <v>1600</v>
      </c>
      <c r="J748" t="s">
        <v>1094</v>
      </c>
      <c r="K748" t="s">
        <v>1646</v>
      </c>
      <c r="L748" t="s">
        <v>1600</v>
      </c>
      <c r="M748" t="s">
        <v>1600</v>
      </c>
      <c r="N748" t="s">
        <v>927</v>
      </c>
      <c r="O748" t="s">
        <v>1600</v>
      </c>
      <c r="P748" t="s">
        <v>1094</v>
      </c>
      <c r="Q748" t="s">
        <v>1646</v>
      </c>
      <c r="R748" t="s">
        <v>1646</v>
      </c>
      <c r="S748" t="s">
        <v>1600</v>
      </c>
      <c r="T748" t="s">
        <v>1600</v>
      </c>
      <c r="U748" t="s">
        <v>927</v>
      </c>
      <c r="V748" t="s">
        <v>1600</v>
      </c>
      <c r="W748" t="s">
        <v>1600</v>
      </c>
      <c r="X748" t="s">
        <v>1600</v>
      </c>
      <c r="Y748" t="s">
        <v>1600</v>
      </c>
      <c r="Z748" t="s">
        <v>1600</v>
      </c>
      <c r="AA748" t="s">
        <v>1600</v>
      </c>
      <c r="AB748" t="s">
        <v>1600</v>
      </c>
      <c r="AC748" t="s">
        <v>1600</v>
      </c>
      <c r="AD748" t="s">
        <v>1600</v>
      </c>
      <c r="AE748" t="s">
        <v>927</v>
      </c>
      <c r="AF748">
        <f t="shared" si="22"/>
        <v>0</v>
      </c>
      <c r="AG748" t="e">
        <f t="shared" si="23"/>
        <v>#VALUE!</v>
      </c>
    </row>
    <row r="749" spans="1:33" x14ac:dyDescent="0.25">
      <c r="A749" t="s">
        <v>2865</v>
      </c>
      <c r="B749" t="s">
        <v>2866</v>
      </c>
      <c r="C749" t="s">
        <v>1084</v>
      </c>
      <c r="D749" t="s">
        <v>133</v>
      </c>
      <c r="E749" t="s">
        <v>56</v>
      </c>
      <c r="F749" t="s">
        <v>949</v>
      </c>
      <c r="G749" t="s">
        <v>1717</v>
      </c>
      <c r="H749" t="s">
        <v>956</v>
      </c>
      <c r="I749" t="s">
        <v>1600</v>
      </c>
      <c r="J749" t="s">
        <v>1008</v>
      </c>
      <c r="K749" t="s">
        <v>1646</v>
      </c>
      <c r="L749" t="s">
        <v>1600</v>
      </c>
      <c r="M749" t="s">
        <v>1094</v>
      </c>
      <c r="N749" t="s">
        <v>1646</v>
      </c>
      <c r="O749" t="s">
        <v>1600</v>
      </c>
      <c r="P749" t="s">
        <v>1094</v>
      </c>
      <c r="Q749" t="s">
        <v>1646</v>
      </c>
      <c r="R749" t="s">
        <v>1646</v>
      </c>
      <c r="S749" t="s">
        <v>1600</v>
      </c>
      <c r="T749" t="s">
        <v>1600</v>
      </c>
      <c r="U749" t="s">
        <v>927</v>
      </c>
      <c r="V749" t="s">
        <v>1600</v>
      </c>
      <c r="W749" t="s">
        <v>1008</v>
      </c>
      <c r="X749" t="s">
        <v>1008</v>
      </c>
      <c r="Y749" t="s">
        <v>1600</v>
      </c>
      <c r="Z749" t="s">
        <v>1094</v>
      </c>
      <c r="AA749" t="s">
        <v>1600</v>
      </c>
      <c r="AB749" t="s">
        <v>1600</v>
      </c>
      <c r="AC749" t="s">
        <v>1600</v>
      </c>
      <c r="AD749" t="s">
        <v>1600</v>
      </c>
      <c r="AE749" t="s">
        <v>927</v>
      </c>
      <c r="AF749">
        <f t="shared" si="22"/>
        <v>0</v>
      </c>
      <c r="AG749" t="e">
        <f t="shared" si="23"/>
        <v>#VALUE!</v>
      </c>
    </row>
    <row r="750" spans="1:33" x14ac:dyDescent="0.25">
      <c r="A750" t="s">
        <v>2867</v>
      </c>
      <c r="B750" t="s">
        <v>2868</v>
      </c>
      <c r="C750" t="s">
        <v>973</v>
      </c>
      <c r="D750" t="s">
        <v>121</v>
      </c>
      <c r="E750" t="s">
        <v>93</v>
      </c>
      <c r="F750" t="s">
        <v>949</v>
      </c>
      <c r="G750" t="s">
        <v>1717</v>
      </c>
      <c r="H750" t="s">
        <v>956</v>
      </c>
      <c r="I750" t="s">
        <v>1600</v>
      </c>
      <c r="J750" t="s">
        <v>1094</v>
      </c>
      <c r="K750" t="s">
        <v>1646</v>
      </c>
      <c r="L750" t="s">
        <v>1600</v>
      </c>
      <c r="M750" t="s">
        <v>1600</v>
      </c>
      <c r="N750" t="s">
        <v>927</v>
      </c>
      <c r="O750" t="s">
        <v>1600</v>
      </c>
      <c r="P750" t="s">
        <v>1094</v>
      </c>
      <c r="Q750" t="s">
        <v>1646</v>
      </c>
      <c r="R750" t="s">
        <v>1646</v>
      </c>
      <c r="S750" t="s">
        <v>1600</v>
      </c>
      <c r="T750" t="s">
        <v>1600</v>
      </c>
      <c r="U750" t="s">
        <v>927</v>
      </c>
      <c r="V750" t="s">
        <v>1094</v>
      </c>
      <c r="W750" t="s">
        <v>1600</v>
      </c>
      <c r="X750" t="s">
        <v>1094</v>
      </c>
      <c r="Y750" t="s">
        <v>1008</v>
      </c>
      <c r="Z750" t="s">
        <v>1600</v>
      </c>
      <c r="AA750" t="s">
        <v>1600</v>
      </c>
      <c r="AB750" t="s">
        <v>1600</v>
      </c>
      <c r="AC750" t="s">
        <v>1600</v>
      </c>
      <c r="AD750" t="s">
        <v>1600</v>
      </c>
      <c r="AE750" t="s">
        <v>927</v>
      </c>
      <c r="AF750">
        <f t="shared" si="22"/>
        <v>0</v>
      </c>
      <c r="AG750" t="e">
        <f t="shared" si="23"/>
        <v>#VALUE!</v>
      </c>
    </row>
    <row r="751" spans="1:33" x14ac:dyDescent="0.25">
      <c r="A751" t="s">
        <v>927</v>
      </c>
      <c r="B751" t="s">
        <v>2869</v>
      </c>
      <c r="C751" t="s">
        <v>927</v>
      </c>
      <c r="D751" t="s">
        <v>927</v>
      </c>
      <c r="E751" t="s">
        <v>927</v>
      </c>
      <c r="F751" t="s">
        <v>927</v>
      </c>
      <c r="G751" t="s">
        <v>927</v>
      </c>
      <c r="H751" t="s">
        <v>927</v>
      </c>
      <c r="I751" t="s">
        <v>927</v>
      </c>
      <c r="J751" t="s">
        <v>927</v>
      </c>
      <c r="K751" t="s">
        <v>1682</v>
      </c>
      <c r="L751" t="s">
        <v>927</v>
      </c>
      <c r="M751" t="s">
        <v>927</v>
      </c>
      <c r="N751" t="s">
        <v>1556</v>
      </c>
      <c r="O751" t="s">
        <v>927</v>
      </c>
      <c r="P751" t="s">
        <v>927</v>
      </c>
      <c r="Q751" t="s">
        <v>1713</v>
      </c>
      <c r="R751" t="s">
        <v>1396</v>
      </c>
      <c r="S751" t="s">
        <v>927</v>
      </c>
      <c r="T751" t="s">
        <v>927</v>
      </c>
      <c r="U751" t="s">
        <v>1593</v>
      </c>
      <c r="V751" t="s">
        <v>927</v>
      </c>
      <c r="W751" t="s">
        <v>927</v>
      </c>
      <c r="X751" t="s">
        <v>927</v>
      </c>
      <c r="Y751" t="s">
        <v>927</v>
      </c>
      <c r="Z751" t="s">
        <v>927</v>
      </c>
      <c r="AA751" t="s">
        <v>927</v>
      </c>
      <c r="AB751" t="s">
        <v>927</v>
      </c>
      <c r="AC751" t="s">
        <v>927</v>
      </c>
      <c r="AD751" t="s">
        <v>927</v>
      </c>
      <c r="AE751" t="s">
        <v>927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305D-C569-468B-B257-3F76C4A0BFC6}">
  <dimension ref="A1:ZF1500"/>
  <sheetViews>
    <sheetView workbookViewId="0">
      <pane ySplit="2" topLeftCell="A446" activePane="bottomLeft" state="frozen"/>
      <selection pane="bottomLeft" activeCell="AE446" sqref="AE446"/>
    </sheetView>
  </sheetViews>
  <sheetFormatPr defaultColWidth="5.5703125" defaultRowHeight="15" x14ac:dyDescent="0.25"/>
  <cols>
    <col min="1" max="1" width="6.42578125" style="119" bestFit="1" customWidth="1"/>
    <col min="2" max="2" width="24.7109375" bestFit="1" customWidth="1"/>
    <col min="3" max="3" width="8" bestFit="1" customWidth="1"/>
    <col min="4" max="4" width="9.7109375" bestFit="1" customWidth="1"/>
    <col min="5" max="5" width="7.5703125" bestFit="1" customWidth="1"/>
    <col min="6" max="6" width="5.28515625" bestFit="1" customWidth="1"/>
    <col min="7" max="7" width="6.5703125" bestFit="1" customWidth="1"/>
    <col min="8" max="8" width="7.42578125" bestFit="1" customWidth="1"/>
    <col min="9" max="9" width="6.5703125" bestFit="1" customWidth="1"/>
    <col min="10" max="10" width="8.28515625" bestFit="1" customWidth="1"/>
    <col min="11" max="11" width="8.5703125" bestFit="1" customWidth="1"/>
    <col min="12" max="12" width="6.42578125" bestFit="1" customWidth="1"/>
    <col min="13" max="13" width="8.140625" bestFit="1" customWidth="1"/>
    <col min="14" max="14" width="8.42578125" bestFit="1" customWidth="1"/>
    <col min="15" max="15" width="6.42578125" bestFit="1" customWidth="1"/>
    <col min="16" max="16" width="8.140625" bestFit="1" customWidth="1"/>
    <col min="17" max="17" width="8.42578125" bestFit="1" customWidth="1"/>
    <col min="18" max="18" width="10" bestFit="1" customWidth="1"/>
    <col min="19" max="19" width="6.140625" bestFit="1" customWidth="1"/>
    <col min="20" max="20" width="7.85546875" bestFit="1" customWidth="1"/>
    <col min="21" max="21" width="8.140625" bestFit="1" customWidth="1"/>
    <col min="22" max="22" width="8.5703125" bestFit="1" customWidth="1"/>
    <col min="23" max="23" width="8.42578125" bestFit="1" customWidth="1"/>
    <col min="24" max="24" width="8" bestFit="1" customWidth="1"/>
    <col min="25" max="25" width="7.85546875" bestFit="1" customWidth="1"/>
    <col min="26" max="26" width="7.28515625" bestFit="1" customWidth="1"/>
    <col min="27" max="27" width="7.7109375" bestFit="1" customWidth="1"/>
    <col min="28" max="28" width="8.28515625" bestFit="1" customWidth="1"/>
    <col min="29" max="29" width="6.28515625" bestFit="1" customWidth="1"/>
    <col min="30" max="30" width="7.5703125" bestFit="1" customWidth="1"/>
    <col min="31" max="31" width="15" bestFit="1" customWidth="1"/>
    <col min="32" max="32" width="18.28515625" bestFit="1" customWidth="1"/>
  </cols>
  <sheetData>
    <row r="1" spans="1:32" ht="33.75" x14ac:dyDescent="0.5">
      <c r="A1" s="197" t="s">
        <v>2870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</row>
    <row r="2" spans="1:32" s="127" customFormat="1" ht="37.5" x14ac:dyDescent="0.3">
      <c r="A2" s="126" t="s">
        <v>874</v>
      </c>
      <c r="B2" s="127" t="s">
        <v>171</v>
      </c>
      <c r="C2" s="127" t="s">
        <v>875</v>
      </c>
      <c r="D2" s="127" t="s">
        <v>172</v>
      </c>
      <c r="E2" s="127" t="s">
        <v>876</v>
      </c>
      <c r="F2" s="127" t="s">
        <v>392</v>
      </c>
      <c r="G2" s="127" t="s">
        <v>877</v>
      </c>
      <c r="H2" s="127" t="s">
        <v>878</v>
      </c>
      <c r="I2" s="127" t="s">
        <v>879</v>
      </c>
      <c r="J2" s="127" t="s">
        <v>880</v>
      </c>
      <c r="K2" s="127" t="s">
        <v>881</v>
      </c>
      <c r="L2" s="127" t="s">
        <v>882</v>
      </c>
      <c r="M2" s="127" t="s">
        <v>883</v>
      </c>
      <c r="N2" s="127" t="s">
        <v>884</v>
      </c>
      <c r="O2" s="127" t="s">
        <v>885</v>
      </c>
      <c r="P2" s="127" t="s">
        <v>886</v>
      </c>
      <c r="Q2" s="127" t="s">
        <v>887</v>
      </c>
      <c r="R2" s="127" t="s">
        <v>888</v>
      </c>
      <c r="S2" s="127" t="s">
        <v>889</v>
      </c>
      <c r="T2" s="127" t="s">
        <v>890</v>
      </c>
      <c r="U2" s="127" t="s">
        <v>891</v>
      </c>
      <c r="V2" s="127" t="s">
        <v>892</v>
      </c>
      <c r="W2" s="127" t="s">
        <v>893</v>
      </c>
      <c r="X2" s="127" t="s">
        <v>894</v>
      </c>
      <c r="Y2" s="127" t="s">
        <v>895</v>
      </c>
      <c r="Z2" s="127" t="s">
        <v>896</v>
      </c>
      <c r="AA2" s="127" t="s">
        <v>897</v>
      </c>
      <c r="AB2" s="127" t="s">
        <v>898</v>
      </c>
      <c r="AC2" s="127" t="s">
        <v>93</v>
      </c>
      <c r="AD2" s="127" t="s">
        <v>899</v>
      </c>
      <c r="AE2" s="128" t="s">
        <v>872</v>
      </c>
      <c r="AF2" s="128" t="s">
        <v>873</v>
      </c>
    </row>
    <row r="3" spans="1:32" x14ac:dyDescent="0.25">
      <c r="A3" s="191" t="s">
        <v>901</v>
      </c>
      <c r="B3" t="s">
        <v>55</v>
      </c>
      <c r="C3" t="s">
        <v>902</v>
      </c>
      <c r="D3" t="s">
        <v>48</v>
      </c>
      <c r="E3" t="s">
        <v>56</v>
      </c>
      <c r="F3" t="s">
        <v>903</v>
      </c>
      <c r="G3" t="s">
        <v>903</v>
      </c>
      <c r="H3" t="s">
        <v>904</v>
      </c>
      <c r="I3" t="s">
        <v>905</v>
      </c>
      <c r="J3" t="s">
        <v>906</v>
      </c>
      <c r="K3" t="s">
        <v>907</v>
      </c>
      <c r="L3" t="s">
        <v>908</v>
      </c>
      <c r="M3" t="s">
        <v>909</v>
      </c>
      <c r="N3" t="s">
        <v>910</v>
      </c>
      <c r="O3" t="s">
        <v>911</v>
      </c>
      <c r="P3" t="s">
        <v>912</v>
      </c>
      <c r="Q3" t="s">
        <v>913</v>
      </c>
      <c r="R3" t="s">
        <v>914</v>
      </c>
      <c r="S3" t="s">
        <v>915</v>
      </c>
      <c r="T3" t="s">
        <v>916</v>
      </c>
      <c r="U3" t="s">
        <v>917</v>
      </c>
      <c r="V3" t="s">
        <v>918</v>
      </c>
      <c r="W3" t="s">
        <v>919</v>
      </c>
      <c r="X3" t="s">
        <v>920</v>
      </c>
      <c r="Y3" t="s">
        <v>921</v>
      </c>
      <c r="Z3" t="s">
        <v>922</v>
      </c>
      <c r="AA3" t="s">
        <v>923</v>
      </c>
      <c r="AB3" t="s">
        <v>924</v>
      </c>
      <c r="AC3" t="s">
        <v>925</v>
      </c>
      <c r="AD3" t="s">
        <v>926</v>
      </c>
      <c r="AE3">
        <v>32.6</v>
      </c>
      <c r="AF3">
        <v>32.701100000000004</v>
      </c>
    </row>
    <row r="4" spans="1:32" x14ac:dyDescent="0.25">
      <c r="A4" s="191" t="s">
        <v>928</v>
      </c>
      <c r="B4" t="s">
        <v>104</v>
      </c>
      <c r="C4" t="s">
        <v>929</v>
      </c>
      <c r="D4" t="s">
        <v>105</v>
      </c>
      <c r="E4" t="s">
        <v>93</v>
      </c>
      <c r="F4" t="s">
        <v>930</v>
      </c>
      <c r="G4" t="s">
        <v>930</v>
      </c>
      <c r="H4" t="s">
        <v>904</v>
      </c>
      <c r="I4" t="s">
        <v>931</v>
      </c>
      <c r="J4" t="s">
        <v>932</v>
      </c>
      <c r="K4" t="s">
        <v>933</v>
      </c>
      <c r="L4" t="s">
        <v>934</v>
      </c>
      <c r="M4" t="s">
        <v>918</v>
      </c>
      <c r="N4" t="s">
        <v>935</v>
      </c>
      <c r="O4" t="s">
        <v>936</v>
      </c>
      <c r="P4" t="s">
        <v>937</v>
      </c>
      <c r="Q4" t="s">
        <v>938</v>
      </c>
      <c r="R4" t="s">
        <v>939</v>
      </c>
      <c r="S4" t="s">
        <v>940</v>
      </c>
      <c r="T4" t="s">
        <v>941</v>
      </c>
      <c r="U4" t="s">
        <v>942</v>
      </c>
      <c r="V4" t="s">
        <v>925</v>
      </c>
      <c r="W4" t="s">
        <v>943</v>
      </c>
      <c r="X4" t="s">
        <v>944</v>
      </c>
      <c r="Y4" t="s">
        <v>940</v>
      </c>
      <c r="Z4" t="s">
        <v>918</v>
      </c>
      <c r="AA4" t="s">
        <v>945</v>
      </c>
      <c r="AB4" t="s">
        <v>946</v>
      </c>
      <c r="AC4" t="s">
        <v>947</v>
      </c>
      <c r="AD4" t="s">
        <v>948</v>
      </c>
      <c r="AE4">
        <v>30.300000000000004</v>
      </c>
      <c r="AF4">
        <v>30.451599999999999</v>
      </c>
    </row>
    <row r="5" spans="1:32" x14ac:dyDescent="0.25">
      <c r="A5" s="191" t="s">
        <v>949</v>
      </c>
      <c r="B5" t="s">
        <v>147</v>
      </c>
      <c r="C5" t="s">
        <v>950</v>
      </c>
      <c r="D5" t="s">
        <v>148</v>
      </c>
      <c r="E5" t="s">
        <v>72</v>
      </c>
      <c r="F5" t="s">
        <v>951</v>
      </c>
      <c r="G5" t="s">
        <v>951</v>
      </c>
      <c r="H5" t="s">
        <v>952</v>
      </c>
      <c r="I5" t="s">
        <v>953</v>
      </c>
      <c r="J5" t="s">
        <v>954</v>
      </c>
      <c r="K5" t="s">
        <v>955</v>
      </c>
      <c r="L5" t="s">
        <v>956</v>
      </c>
      <c r="M5" t="s">
        <v>957</v>
      </c>
      <c r="N5" t="s">
        <v>958</v>
      </c>
      <c r="O5" t="s">
        <v>959</v>
      </c>
      <c r="P5" t="s">
        <v>960</v>
      </c>
      <c r="Q5" t="s">
        <v>961</v>
      </c>
      <c r="R5" t="s">
        <v>961</v>
      </c>
      <c r="S5" t="s">
        <v>962</v>
      </c>
      <c r="T5" t="s">
        <v>921</v>
      </c>
      <c r="U5" t="s">
        <v>963</v>
      </c>
      <c r="V5" t="s">
        <v>964</v>
      </c>
      <c r="W5" t="s">
        <v>965</v>
      </c>
      <c r="X5" t="s">
        <v>966</v>
      </c>
      <c r="Y5" t="s">
        <v>967</v>
      </c>
      <c r="Z5" t="s">
        <v>968</v>
      </c>
      <c r="AA5" t="s">
        <v>969</v>
      </c>
      <c r="AB5" t="s">
        <v>970</v>
      </c>
      <c r="AC5" t="s">
        <v>947</v>
      </c>
      <c r="AD5" t="s">
        <v>971</v>
      </c>
      <c r="AE5">
        <v>29.599999999999998</v>
      </c>
      <c r="AF5">
        <v>29.558900000000001</v>
      </c>
    </row>
    <row r="6" spans="1:32" x14ac:dyDescent="0.25">
      <c r="A6" s="191" t="s">
        <v>972</v>
      </c>
      <c r="B6" t="s">
        <v>253</v>
      </c>
      <c r="C6" t="s">
        <v>973</v>
      </c>
      <c r="D6" t="s">
        <v>974</v>
      </c>
      <c r="E6" t="s">
        <v>56</v>
      </c>
      <c r="F6" t="s">
        <v>975</v>
      </c>
      <c r="G6" t="s">
        <v>975</v>
      </c>
      <c r="H6" t="s">
        <v>976</v>
      </c>
      <c r="I6" t="s">
        <v>911</v>
      </c>
      <c r="J6" t="s">
        <v>977</v>
      </c>
      <c r="K6" t="s">
        <v>978</v>
      </c>
      <c r="L6" t="s">
        <v>979</v>
      </c>
      <c r="M6" t="s">
        <v>980</v>
      </c>
      <c r="N6" t="s">
        <v>981</v>
      </c>
      <c r="O6" t="s">
        <v>909</v>
      </c>
      <c r="P6" t="s">
        <v>982</v>
      </c>
      <c r="Q6" t="s">
        <v>983</v>
      </c>
      <c r="R6" t="s">
        <v>984</v>
      </c>
      <c r="S6" t="s">
        <v>985</v>
      </c>
      <c r="T6" t="s">
        <v>915</v>
      </c>
      <c r="U6" t="s">
        <v>986</v>
      </c>
      <c r="V6" t="s">
        <v>987</v>
      </c>
      <c r="W6" t="s">
        <v>988</v>
      </c>
      <c r="X6" t="s">
        <v>989</v>
      </c>
      <c r="Y6" t="s">
        <v>990</v>
      </c>
      <c r="Z6" t="s">
        <v>968</v>
      </c>
      <c r="AA6" t="s">
        <v>991</v>
      </c>
      <c r="AB6" t="s">
        <v>992</v>
      </c>
      <c r="AC6" t="s">
        <v>993</v>
      </c>
      <c r="AD6" t="s">
        <v>994</v>
      </c>
      <c r="AE6">
        <v>28.099999999999998</v>
      </c>
      <c r="AF6">
        <v>28.155800000000003</v>
      </c>
    </row>
    <row r="7" spans="1:32" x14ac:dyDescent="0.25">
      <c r="A7" s="191" t="s">
        <v>972</v>
      </c>
      <c r="B7" t="s">
        <v>253</v>
      </c>
      <c r="C7" t="s">
        <v>973</v>
      </c>
      <c r="D7" t="s">
        <v>151</v>
      </c>
      <c r="E7" t="s">
        <v>56</v>
      </c>
      <c r="F7" t="s">
        <v>995</v>
      </c>
      <c r="G7" t="s">
        <v>995</v>
      </c>
      <c r="H7" t="s">
        <v>996</v>
      </c>
      <c r="I7" t="s">
        <v>997</v>
      </c>
      <c r="J7" t="s">
        <v>998</v>
      </c>
      <c r="K7" t="s">
        <v>999</v>
      </c>
      <c r="L7" t="s">
        <v>1000</v>
      </c>
      <c r="M7" t="s">
        <v>980</v>
      </c>
      <c r="N7" t="s">
        <v>1001</v>
      </c>
      <c r="O7" t="s">
        <v>921</v>
      </c>
      <c r="P7" t="s">
        <v>1002</v>
      </c>
      <c r="Q7" t="s">
        <v>1003</v>
      </c>
      <c r="R7" t="s">
        <v>1004</v>
      </c>
      <c r="S7" t="s">
        <v>1005</v>
      </c>
      <c r="T7" t="s">
        <v>1006</v>
      </c>
      <c r="U7" t="s">
        <v>1007</v>
      </c>
      <c r="V7" t="s">
        <v>1008</v>
      </c>
      <c r="W7" t="s">
        <v>1009</v>
      </c>
      <c r="X7" t="s">
        <v>1010</v>
      </c>
      <c r="Y7" t="s">
        <v>1011</v>
      </c>
      <c r="Z7" t="s">
        <v>956</v>
      </c>
      <c r="AA7" t="s">
        <v>991</v>
      </c>
      <c r="AB7" t="s">
        <v>1000</v>
      </c>
      <c r="AC7" t="s">
        <v>1012</v>
      </c>
      <c r="AD7" t="s">
        <v>1013</v>
      </c>
      <c r="AE7">
        <v>28.1</v>
      </c>
      <c r="AF7">
        <v>28.133400000000002</v>
      </c>
    </row>
    <row r="8" spans="1:32" x14ac:dyDescent="0.25">
      <c r="A8" s="191" t="s">
        <v>972</v>
      </c>
      <c r="B8" t="s">
        <v>253</v>
      </c>
      <c r="C8" t="s">
        <v>973</v>
      </c>
      <c r="D8" t="s">
        <v>1014</v>
      </c>
      <c r="E8" t="s">
        <v>56</v>
      </c>
      <c r="F8" t="s">
        <v>1015</v>
      </c>
      <c r="G8" t="s">
        <v>1015</v>
      </c>
      <c r="H8" t="s">
        <v>1016</v>
      </c>
      <c r="I8" t="s">
        <v>916</v>
      </c>
      <c r="J8" t="s">
        <v>1017</v>
      </c>
      <c r="K8" t="s">
        <v>1018</v>
      </c>
      <c r="L8" t="s">
        <v>992</v>
      </c>
      <c r="M8" t="s">
        <v>980</v>
      </c>
      <c r="N8" t="s">
        <v>1019</v>
      </c>
      <c r="O8" t="s">
        <v>1005</v>
      </c>
      <c r="P8" t="s">
        <v>1020</v>
      </c>
      <c r="Q8" t="s">
        <v>1021</v>
      </c>
      <c r="R8" t="s">
        <v>1022</v>
      </c>
      <c r="S8" t="s">
        <v>1023</v>
      </c>
      <c r="T8" t="s">
        <v>1024</v>
      </c>
      <c r="U8" t="s">
        <v>1025</v>
      </c>
      <c r="V8" t="s">
        <v>918</v>
      </c>
      <c r="W8" t="s">
        <v>1026</v>
      </c>
      <c r="X8" t="s">
        <v>1027</v>
      </c>
      <c r="Y8" t="s">
        <v>1028</v>
      </c>
      <c r="Z8" t="s">
        <v>1029</v>
      </c>
      <c r="AA8" t="s">
        <v>991</v>
      </c>
      <c r="AB8" t="s">
        <v>1030</v>
      </c>
      <c r="AC8" t="s">
        <v>924</v>
      </c>
      <c r="AD8" t="s">
        <v>994</v>
      </c>
      <c r="AE8">
        <v>28.200000000000003</v>
      </c>
      <c r="AF8">
        <v>28.209499999999998</v>
      </c>
    </row>
    <row r="9" spans="1:32" x14ac:dyDescent="0.25">
      <c r="A9" s="191" t="s">
        <v>1031</v>
      </c>
      <c r="B9" t="s">
        <v>367</v>
      </c>
      <c r="C9" t="s">
        <v>1032</v>
      </c>
      <c r="D9" t="s">
        <v>102</v>
      </c>
      <c r="E9" t="s">
        <v>63</v>
      </c>
      <c r="F9" t="s">
        <v>1033</v>
      </c>
      <c r="G9" t="s">
        <v>1033</v>
      </c>
      <c r="H9" t="s">
        <v>1034</v>
      </c>
      <c r="I9" t="s">
        <v>1035</v>
      </c>
      <c r="J9" t="s">
        <v>1036</v>
      </c>
      <c r="K9" t="s">
        <v>1037</v>
      </c>
      <c r="L9" t="s">
        <v>919</v>
      </c>
      <c r="M9" t="s">
        <v>1038</v>
      </c>
      <c r="N9" t="s">
        <v>1039</v>
      </c>
      <c r="O9" t="s">
        <v>1005</v>
      </c>
      <c r="P9" t="s">
        <v>1040</v>
      </c>
      <c r="Q9" t="s">
        <v>1041</v>
      </c>
      <c r="R9" t="s">
        <v>1042</v>
      </c>
      <c r="S9" t="s">
        <v>1043</v>
      </c>
      <c r="T9" t="s">
        <v>1044</v>
      </c>
      <c r="U9" t="s">
        <v>1045</v>
      </c>
      <c r="V9" t="s">
        <v>987</v>
      </c>
      <c r="W9" t="s">
        <v>1046</v>
      </c>
      <c r="X9" t="s">
        <v>909</v>
      </c>
      <c r="Y9" t="s">
        <v>1047</v>
      </c>
      <c r="Z9" t="s">
        <v>945</v>
      </c>
      <c r="AA9" t="s">
        <v>969</v>
      </c>
      <c r="AB9" t="s">
        <v>1048</v>
      </c>
      <c r="AC9" t="s">
        <v>1049</v>
      </c>
      <c r="AD9" t="s">
        <v>1050</v>
      </c>
      <c r="AE9">
        <v>27.599999999999998</v>
      </c>
      <c r="AF9">
        <v>27.598799999999997</v>
      </c>
    </row>
    <row r="10" spans="1:32" x14ac:dyDescent="0.25">
      <c r="A10" s="191" t="s">
        <v>1051</v>
      </c>
      <c r="B10" t="s">
        <v>112</v>
      </c>
      <c r="C10" t="s">
        <v>902</v>
      </c>
      <c r="D10" t="s">
        <v>113</v>
      </c>
      <c r="E10" t="s">
        <v>93</v>
      </c>
      <c r="F10" t="s">
        <v>1052</v>
      </c>
      <c r="G10" t="s">
        <v>1052</v>
      </c>
      <c r="H10" t="s">
        <v>1053</v>
      </c>
      <c r="I10" t="s">
        <v>911</v>
      </c>
      <c r="J10" t="s">
        <v>1054</v>
      </c>
      <c r="K10" t="s">
        <v>1055</v>
      </c>
      <c r="L10" t="s">
        <v>979</v>
      </c>
      <c r="M10" t="s">
        <v>1040</v>
      </c>
      <c r="N10" t="s">
        <v>1056</v>
      </c>
      <c r="O10" t="s">
        <v>909</v>
      </c>
      <c r="P10" t="s">
        <v>967</v>
      </c>
      <c r="Q10" t="s">
        <v>1057</v>
      </c>
      <c r="R10" t="s">
        <v>1058</v>
      </c>
      <c r="S10" t="s">
        <v>920</v>
      </c>
      <c r="T10" t="s">
        <v>1059</v>
      </c>
      <c r="U10" t="s">
        <v>1060</v>
      </c>
      <c r="V10" t="s">
        <v>1008</v>
      </c>
      <c r="W10" t="s">
        <v>1061</v>
      </c>
      <c r="X10" t="s">
        <v>1062</v>
      </c>
      <c r="Y10" t="s">
        <v>1063</v>
      </c>
      <c r="Z10" t="s">
        <v>1064</v>
      </c>
      <c r="AA10" t="s">
        <v>1065</v>
      </c>
      <c r="AB10" t="s">
        <v>964</v>
      </c>
      <c r="AC10" t="s">
        <v>925</v>
      </c>
      <c r="AD10" t="s">
        <v>1066</v>
      </c>
      <c r="AE10">
        <v>26.9</v>
      </c>
      <c r="AF10">
        <v>26.761900000000001</v>
      </c>
    </row>
    <row r="11" spans="1:32" x14ac:dyDescent="0.25">
      <c r="A11" s="191" t="s">
        <v>1067</v>
      </c>
      <c r="B11" t="s">
        <v>126</v>
      </c>
      <c r="C11" t="s">
        <v>1068</v>
      </c>
      <c r="D11" t="s">
        <v>1069</v>
      </c>
      <c r="E11" t="s">
        <v>93</v>
      </c>
      <c r="F11" t="s">
        <v>1070</v>
      </c>
      <c r="G11" t="s">
        <v>1070</v>
      </c>
      <c r="H11" t="s">
        <v>1071</v>
      </c>
      <c r="I11" t="s">
        <v>1072</v>
      </c>
      <c r="J11" t="s">
        <v>1073</v>
      </c>
      <c r="K11" t="s">
        <v>1074</v>
      </c>
      <c r="L11" t="s">
        <v>1012</v>
      </c>
      <c r="M11" t="s">
        <v>1063</v>
      </c>
      <c r="N11" t="s">
        <v>1075</v>
      </c>
      <c r="O11" t="s">
        <v>1023</v>
      </c>
      <c r="P11" t="s">
        <v>1076</v>
      </c>
      <c r="Q11" t="s">
        <v>1077</v>
      </c>
      <c r="R11" t="s">
        <v>1078</v>
      </c>
      <c r="S11" t="s">
        <v>1046</v>
      </c>
      <c r="T11" t="s">
        <v>1079</v>
      </c>
      <c r="U11" t="s">
        <v>1080</v>
      </c>
      <c r="V11" t="s">
        <v>991</v>
      </c>
      <c r="W11" t="s">
        <v>909</v>
      </c>
      <c r="X11" t="s">
        <v>1063</v>
      </c>
      <c r="Y11" t="s">
        <v>1081</v>
      </c>
      <c r="Z11" t="s">
        <v>987</v>
      </c>
      <c r="AA11" t="s">
        <v>945</v>
      </c>
      <c r="AB11" t="s">
        <v>946</v>
      </c>
      <c r="AC11" t="s">
        <v>922</v>
      </c>
      <c r="AD11" t="s">
        <v>1082</v>
      </c>
      <c r="AE11">
        <v>26.5</v>
      </c>
      <c r="AF11">
        <v>26.497</v>
      </c>
    </row>
    <row r="12" spans="1:32" x14ac:dyDescent="0.25">
      <c r="A12" s="191" t="s">
        <v>1083</v>
      </c>
      <c r="B12" t="s">
        <v>107</v>
      </c>
      <c r="C12" t="s">
        <v>1084</v>
      </c>
      <c r="D12" t="s">
        <v>108</v>
      </c>
      <c r="E12" t="s">
        <v>56</v>
      </c>
      <c r="F12" t="s">
        <v>1085</v>
      </c>
      <c r="G12" t="s">
        <v>1085</v>
      </c>
      <c r="H12" t="s">
        <v>1086</v>
      </c>
      <c r="I12" t="s">
        <v>911</v>
      </c>
      <c r="J12" t="s">
        <v>1087</v>
      </c>
      <c r="K12" t="s">
        <v>1088</v>
      </c>
      <c r="L12" t="s">
        <v>946</v>
      </c>
      <c r="M12" t="s">
        <v>911</v>
      </c>
      <c r="N12" t="s">
        <v>1089</v>
      </c>
      <c r="O12" t="s">
        <v>1059</v>
      </c>
      <c r="P12" t="s">
        <v>931</v>
      </c>
      <c r="Q12" t="s">
        <v>1090</v>
      </c>
      <c r="R12" t="s">
        <v>1091</v>
      </c>
      <c r="S12" t="s">
        <v>1046</v>
      </c>
      <c r="T12" t="s">
        <v>1092</v>
      </c>
      <c r="U12" t="s">
        <v>1093</v>
      </c>
      <c r="V12" t="s">
        <v>1094</v>
      </c>
      <c r="W12" t="s">
        <v>946</v>
      </c>
      <c r="X12" t="s">
        <v>970</v>
      </c>
      <c r="Y12" t="s">
        <v>1059</v>
      </c>
      <c r="Z12" t="s">
        <v>968</v>
      </c>
      <c r="AA12" t="s">
        <v>991</v>
      </c>
      <c r="AB12" t="s">
        <v>924</v>
      </c>
      <c r="AC12" t="s">
        <v>925</v>
      </c>
      <c r="AD12" t="s">
        <v>1095</v>
      </c>
      <c r="AE12">
        <v>26.4</v>
      </c>
      <c r="AF12">
        <v>26.377600000000001</v>
      </c>
    </row>
    <row r="13" spans="1:32" x14ac:dyDescent="0.25">
      <c r="A13" s="191" t="s">
        <v>1096</v>
      </c>
      <c r="B13" t="s">
        <v>342</v>
      </c>
      <c r="C13" t="s">
        <v>1032</v>
      </c>
      <c r="D13" t="s">
        <v>97</v>
      </c>
      <c r="E13" t="s">
        <v>56</v>
      </c>
      <c r="F13" t="s">
        <v>951</v>
      </c>
      <c r="G13" t="s">
        <v>951</v>
      </c>
      <c r="H13" t="s">
        <v>1097</v>
      </c>
      <c r="I13" t="s">
        <v>997</v>
      </c>
      <c r="J13" t="s">
        <v>1098</v>
      </c>
      <c r="K13" t="s">
        <v>1099</v>
      </c>
      <c r="L13" t="s">
        <v>908</v>
      </c>
      <c r="M13" t="s">
        <v>1063</v>
      </c>
      <c r="N13" t="s">
        <v>1100</v>
      </c>
      <c r="O13" t="s">
        <v>1009</v>
      </c>
      <c r="P13" t="s">
        <v>960</v>
      </c>
      <c r="Q13" t="s">
        <v>1090</v>
      </c>
      <c r="R13" t="s">
        <v>1101</v>
      </c>
      <c r="S13" t="s">
        <v>1047</v>
      </c>
      <c r="T13" t="s">
        <v>1043</v>
      </c>
      <c r="U13" t="s">
        <v>1102</v>
      </c>
      <c r="V13" t="s">
        <v>987</v>
      </c>
      <c r="W13" t="s">
        <v>1043</v>
      </c>
      <c r="X13" t="s">
        <v>1059</v>
      </c>
      <c r="Y13" t="s">
        <v>1035</v>
      </c>
      <c r="Z13" t="s">
        <v>923</v>
      </c>
      <c r="AA13" t="s">
        <v>987</v>
      </c>
      <c r="AB13" t="s">
        <v>1103</v>
      </c>
      <c r="AC13" t="s">
        <v>1104</v>
      </c>
      <c r="AD13" t="s">
        <v>1105</v>
      </c>
      <c r="AE13">
        <v>26.200000000000003</v>
      </c>
      <c r="AF13">
        <v>26.1358</v>
      </c>
    </row>
    <row r="14" spans="1:32" x14ac:dyDescent="0.25">
      <c r="A14" s="191" t="s">
        <v>1106</v>
      </c>
      <c r="B14" t="s">
        <v>154</v>
      </c>
      <c r="C14" t="s">
        <v>1015</v>
      </c>
      <c r="D14" t="s">
        <v>129</v>
      </c>
      <c r="E14" t="s">
        <v>56</v>
      </c>
      <c r="F14" t="s">
        <v>1107</v>
      </c>
      <c r="G14" t="s">
        <v>1107</v>
      </c>
      <c r="H14" t="s">
        <v>976</v>
      </c>
      <c r="I14" t="s">
        <v>1108</v>
      </c>
      <c r="J14" t="s">
        <v>1109</v>
      </c>
      <c r="K14" t="s">
        <v>1110</v>
      </c>
      <c r="L14" t="s">
        <v>947</v>
      </c>
      <c r="M14" t="s">
        <v>1059</v>
      </c>
      <c r="N14" t="s">
        <v>1111</v>
      </c>
      <c r="O14" t="s">
        <v>1112</v>
      </c>
      <c r="P14" t="s">
        <v>1113</v>
      </c>
      <c r="Q14" t="s">
        <v>1114</v>
      </c>
      <c r="R14" t="s">
        <v>1115</v>
      </c>
      <c r="S14" t="s">
        <v>909</v>
      </c>
      <c r="T14" t="s">
        <v>1116</v>
      </c>
      <c r="U14" t="s">
        <v>1117</v>
      </c>
      <c r="V14" t="s">
        <v>991</v>
      </c>
      <c r="W14" t="s">
        <v>993</v>
      </c>
      <c r="X14" t="s">
        <v>964</v>
      </c>
      <c r="Y14" t="s">
        <v>1118</v>
      </c>
      <c r="Z14" t="s">
        <v>918</v>
      </c>
      <c r="AA14" t="s">
        <v>1119</v>
      </c>
      <c r="AB14" t="s">
        <v>993</v>
      </c>
      <c r="AC14" t="s">
        <v>908</v>
      </c>
      <c r="AD14" t="s">
        <v>1120</v>
      </c>
      <c r="AE14">
        <v>26</v>
      </c>
      <c r="AF14">
        <v>26.041</v>
      </c>
    </row>
    <row r="15" spans="1:32" x14ac:dyDescent="0.25">
      <c r="A15" s="191" t="s">
        <v>1121</v>
      </c>
      <c r="B15" t="s">
        <v>1122</v>
      </c>
      <c r="C15" t="s">
        <v>995</v>
      </c>
      <c r="D15" t="s">
        <v>142</v>
      </c>
      <c r="E15" t="s">
        <v>93</v>
      </c>
      <c r="F15" t="s">
        <v>1123</v>
      </c>
      <c r="G15" t="s">
        <v>1123</v>
      </c>
      <c r="H15" t="s">
        <v>1124</v>
      </c>
      <c r="I15" t="s">
        <v>1108</v>
      </c>
      <c r="J15" t="s">
        <v>1125</v>
      </c>
      <c r="K15" t="s">
        <v>1055</v>
      </c>
      <c r="L15" t="s">
        <v>1049</v>
      </c>
      <c r="M15" t="s">
        <v>1126</v>
      </c>
      <c r="N15" t="s">
        <v>1127</v>
      </c>
      <c r="O15" t="s">
        <v>1128</v>
      </c>
      <c r="P15" t="s">
        <v>1129</v>
      </c>
      <c r="Q15" t="s">
        <v>1130</v>
      </c>
      <c r="R15" t="s">
        <v>1131</v>
      </c>
      <c r="S15" t="s">
        <v>1059</v>
      </c>
      <c r="T15" t="s">
        <v>1132</v>
      </c>
      <c r="U15" t="s">
        <v>1133</v>
      </c>
      <c r="V15" t="s">
        <v>1064</v>
      </c>
      <c r="W15" t="s">
        <v>921</v>
      </c>
      <c r="X15" t="s">
        <v>1028</v>
      </c>
      <c r="Y15" t="s">
        <v>1134</v>
      </c>
      <c r="Z15" t="s">
        <v>987</v>
      </c>
      <c r="AA15" t="s">
        <v>969</v>
      </c>
      <c r="AB15" t="s">
        <v>1135</v>
      </c>
      <c r="AC15" t="s">
        <v>908</v>
      </c>
      <c r="AD15" t="s">
        <v>1136</v>
      </c>
      <c r="AE15">
        <v>26</v>
      </c>
      <c r="AF15">
        <v>25.920999999999999</v>
      </c>
    </row>
    <row r="16" spans="1:32" x14ac:dyDescent="0.25">
      <c r="A16" s="191" t="s">
        <v>1137</v>
      </c>
      <c r="B16" t="s">
        <v>53</v>
      </c>
      <c r="C16" t="s">
        <v>1015</v>
      </c>
      <c r="D16" t="s">
        <v>1069</v>
      </c>
      <c r="E16" t="s">
        <v>63</v>
      </c>
      <c r="F16" t="s">
        <v>1138</v>
      </c>
      <c r="G16" t="s">
        <v>1138</v>
      </c>
      <c r="H16" t="s">
        <v>1139</v>
      </c>
      <c r="I16" t="s">
        <v>1062</v>
      </c>
      <c r="J16" t="s">
        <v>1140</v>
      </c>
      <c r="K16" t="s">
        <v>1141</v>
      </c>
      <c r="L16" t="s">
        <v>924</v>
      </c>
      <c r="M16" t="s">
        <v>1118</v>
      </c>
      <c r="N16" t="s">
        <v>1142</v>
      </c>
      <c r="O16" t="s">
        <v>1044</v>
      </c>
      <c r="P16" t="s">
        <v>936</v>
      </c>
      <c r="Q16" t="s">
        <v>1143</v>
      </c>
      <c r="R16" t="s">
        <v>1144</v>
      </c>
      <c r="S16" t="s">
        <v>1079</v>
      </c>
      <c r="T16" t="s">
        <v>921</v>
      </c>
      <c r="U16" t="s">
        <v>1145</v>
      </c>
      <c r="V16" t="s">
        <v>923</v>
      </c>
      <c r="W16" t="s">
        <v>946</v>
      </c>
      <c r="X16" t="s">
        <v>919</v>
      </c>
      <c r="Y16" t="s">
        <v>1128</v>
      </c>
      <c r="Z16" t="s">
        <v>918</v>
      </c>
      <c r="AA16" t="s">
        <v>934</v>
      </c>
      <c r="AB16" t="s">
        <v>964</v>
      </c>
      <c r="AC16" t="s">
        <v>1012</v>
      </c>
      <c r="AD16" t="s">
        <v>1146</v>
      </c>
      <c r="AE16">
        <v>25.599999999999998</v>
      </c>
      <c r="AF16">
        <v>25.566800000000001</v>
      </c>
    </row>
    <row r="17" spans="1:32" x14ac:dyDescent="0.25">
      <c r="A17" s="191" t="s">
        <v>1147</v>
      </c>
      <c r="B17" t="s">
        <v>1148</v>
      </c>
      <c r="C17" t="s">
        <v>1032</v>
      </c>
      <c r="D17" t="s">
        <v>1149</v>
      </c>
      <c r="E17" t="s">
        <v>56</v>
      </c>
      <c r="F17" t="s">
        <v>1150</v>
      </c>
      <c r="G17" t="s">
        <v>1150</v>
      </c>
      <c r="H17" t="s">
        <v>1151</v>
      </c>
      <c r="I17" t="s">
        <v>1152</v>
      </c>
      <c r="J17" t="s">
        <v>1153</v>
      </c>
      <c r="K17" t="s">
        <v>1154</v>
      </c>
      <c r="L17" t="s">
        <v>1155</v>
      </c>
      <c r="M17" t="s">
        <v>953</v>
      </c>
      <c r="N17" t="s">
        <v>1156</v>
      </c>
      <c r="O17" t="s">
        <v>1134</v>
      </c>
      <c r="P17" t="s">
        <v>1040</v>
      </c>
      <c r="Q17" t="s">
        <v>1157</v>
      </c>
      <c r="R17" t="s">
        <v>1158</v>
      </c>
      <c r="S17" t="s">
        <v>919</v>
      </c>
      <c r="T17" t="s">
        <v>1046</v>
      </c>
      <c r="U17" t="s">
        <v>1159</v>
      </c>
      <c r="V17" t="s">
        <v>923</v>
      </c>
      <c r="W17" t="s">
        <v>1160</v>
      </c>
      <c r="X17" t="s">
        <v>1046</v>
      </c>
      <c r="Y17" t="s">
        <v>988</v>
      </c>
      <c r="Z17" t="s">
        <v>1064</v>
      </c>
      <c r="AA17" t="s">
        <v>1094</v>
      </c>
      <c r="AB17" t="s">
        <v>992</v>
      </c>
      <c r="AC17" t="s">
        <v>970</v>
      </c>
      <c r="AD17" t="s">
        <v>1161</v>
      </c>
      <c r="AE17">
        <v>25.1</v>
      </c>
      <c r="AF17">
        <v>25.1767</v>
      </c>
    </row>
    <row r="18" spans="1:32" x14ac:dyDescent="0.25">
      <c r="A18" s="191" t="s">
        <v>1162</v>
      </c>
      <c r="B18" t="s">
        <v>1163</v>
      </c>
      <c r="C18" t="s">
        <v>1164</v>
      </c>
      <c r="D18" t="s">
        <v>105</v>
      </c>
      <c r="E18" t="s">
        <v>56</v>
      </c>
      <c r="F18" t="s">
        <v>1165</v>
      </c>
      <c r="G18" t="s">
        <v>1165</v>
      </c>
      <c r="H18" t="s">
        <v>1166</v>
      </c>
      <c r="I18" t="s">
        <v>990</v>
      </c>
      <c r="J18" t="s">
        <v>1167</v>
      </c>
      <c r="K18" t="s">
        <v>1168</v>
      </c>
      <c r="L18" t="s">
        <v>1000</v>
      </c>
      <c r="M18" t="s">
        <v>1108</v>
      </c>
      <c r="N18" t="s">
        <v>1169</v>
      </c>
      <c r="O18" t="s">
        <v>1170</v>
      </c>
      <c r="P18" t="s">
        <v>1027</v>
      </c>
      <c r="Q18" t="s">
        <v>1171</v>
      </c>
      <c r="R18" t="s">
        <v>1042</v>
      </c>
      <c r="S18" t="s">
        <v>985</v>
      </c>
      <c r="T18" t="s">
        <v>1172</v>
      </c>
      <c r="U18" t="s">
        <v>1173</v>
      </c>
      <c r="V18" t="s">
        <v>1065</v>
      </c>
      <c r="W18" t="s">
        <v>1081</v>
      </c>
      <c r="X18" t="s">
        <v>957</v>
      </c>
      <c r="Y18" t="s">
        <v>1128</v>
      </c>
      <c r="Z18" t="s">
        <v>945</v>
      </c>
      <c r="AA18" t="s">
        <v>934</v>
      </c>
      <c r="AB18" t="s">
        <v>1104</v>
      </c>
      <c r="AC18" t="s">
        <v>922</v>
      </c>
      <c r="AD18" t="s">
        <v>1174</v>
      </c>
      <c r="AE18">
        <v>25</v>
      </c>
      <c r="AF18">
        <v>24.968400000000003</v>
      </c>
    </row>
    <row r="19" spans="1:32" x14ac:dyDescent="0.25">
      <c r="A19" s="191" t="s">
        <v>1175</v>
      </c>
      <c r="B19" t="s">
        <v>228</v>
      </c>
      <c r="C19" t="s">
        <v>1176</v>
      </c>
      <c r="D19" t="s">
        <v>974</v>
      </c>
      <c r="E19" t="s">
        <v>93</v>
      </c>
      <c r="F19" t="s">
        <v>1177</v>
      </c>
      <c r="G19" t="s">
        <v>1177</v>
      </c>
      <c r="H19" t="s">
        <v>1178</v>
      </c>
      <c r="I19" t="s">
        <v>911</v>
      </c>
      <c r="J19" t="s">
        <v>1179</v>
      </c>
      <c r="K19" t="s">
        <v>1180</v>
      </c>
      <c r="L19" t="s">
        <v>1008</v>
      </c>
      <c r="M19" t="s">
        <v>924</v>
      </c>
      <c r="N19" t="s">
        <v>1181</v>
      </c>
      <c r="O19" t="s">
        <v>1182</v>
      </c>
      <c r="P19" t="s">
        <v>1183</v>
      </c>
      <c r="Q19" t="s">
        <v>1184</v>
      </c>
      <c r="R19" t="s">
        <v>984</v>
      </c>
      <c r="S19" t="s">
        <v>1092</v>
      </c>
      <c r="T19" t="s">
        <v>1026</v>
      </c>
      <c r="U19" t="s">
        <v>1185</v>
      </c>
      <c r="V19" t="s">
        <v>1012</v>
      </c>
      <c r="W19" t="s">
        <v>1024</v>
      </c>
      <c r="X19" t="s">
        <v>936</v>
      </c>
      <c r="Y19" t="s">
        <v>979</v>
      </c>
      <c r="Z19" t="s">
        <v>945</v>
      </c>
      <c r="AA19" t="s">
        <v>925</v>
      </c>
      <c r="AB19" t="s">
        <v>925</v>
      </c>
      <c r="AC19" t="s">
        <v>1049</v>
      </c>
      <c r="AD19" t="s">
        <v>1186</v>
      </c>
      <c r="AE19">
        <v>24.700000000000003</v>
      </c>
      <c r="AF19">
        <v>24.642800000000001</v>
      </c>
    </row>
    <row r="20" spans="1:32" x14ac:dyDescent="0.25">
      <c r="A20" s="191" t="s">
        <v>1175</v>
      </c>
      <c r="B20" t="s">
        <v>228</v>
      </c>
      <c r="C20" t="s">
        <v>1176</v>
      </c>
      <c r="D20" t="s">
        <v>1014</v>
      </c>
      <c r="E20" t="s">
        <v>72</v>
      </c>
      <c r="F20" t="s">
        <v>1187</v>
      </c>
      <c r="G20" t="s">
        <v>1187</v>
      </c>
      <c r="H20" t="s">
        <v>1188</v>
      </c>
      <c r="I20" t="s">
        <v>1072</v>
      </c>
      <c r="J20" t="s">
        <v>1189</v>
      </c>
      <c r="K20" t="s">
        <v>1171</v>
      </c>
      <c r="L20" t="s">
        <v>1008</v>
      </c>
      <c r="M20" t="s">
        <v>925</v>
      </c>
      <c r="N20" t="s">
        <v>1190</v>
      </c>
      <c r="O20" t="s">
        <v>1024</v>
      </c>
      <c r="P20" t="s">
        <v>1191</v>
      </c>
      <c r="Q20" t="s">
        <v>1192</v>
      </c>
      <c r="R20" t="s">
        <v>1193</v>
      </c>
      <c r="S20" t="s">
        <v>1063</v>
      </c>
      <c r="T20" t="s">
        <v>1009</v>
      </c>
      <c r="U20" t="s">
        <v>1194</v>
      </c>
      <c r="V20" t="s">
        <v>1104</v>
      </c>
      <c r="W20" t="s">
        <v>1108</v>
      </c>
      <c r="X20" t="s">
        <v>944</v>
      </c>
      <c r="Y20" t="s">
        <v>1000</v>
      </c>
      <c r="Z20" t="s">
        <v>1195</v>
      </c>
      <c r="AA20" t="s">
        <v>908</v>
      </c>
      <c r="AB20" t="s">
        <v>925</v>
      </c>
      <c r="AC20" t="s">
        <v>956</v>
      </c>
      <c r="AD20" t="s">
        <v>1196</v>
      </c>
      <c r="AE20">
        <v>25.700000000000003</v>
      </c>
      <c r="AF20">
        <v>25.651600000000002</v>
      </c>
    </row>
    <row r="21" spans="1:32" x14ac:dyDescent="0.25">
      <c r="A21" s="191" t="s">
        <v>1175</v>
      </c>
      <c r="B21" t="s">
        <v>228</v>
      </c>
      <c r="C21" t="s">
        <v>1176</v>
      </c>
      <c r="D21" t="s">
        <v>151</v>
      </c>
      <c r="E21" t="s">
        <v>93</v>
      </c>
      <c r="F21" t="s">
        <v>1096</v>
      </c>
      <c r="G21" t="s">
        <v>1096</v>
      </c>
      <c r="H21" t="s">
        <v>971</v>
      </c>
      <c r="I21" t="s">
        <v>1011</v>
      </c>
      <c r="J21" t="s">
        <v>1197</v>
      </c>
      <c r="K21" t="s">
        <v>1141</v>
      </c>
      <c r="L21" t="s">
        <v>987</v>
      </c>
      <c r="M21" t="s">
        <v>970</v>
      </c>
      <c r="N21" t="s">
        <v>1198</v>
      </c>
      <c r="O21" t="s">
        <v>1023</v>
      </c>
      <c r="P21" t="s">
        <v>1199</v>
      </c>
      <c r="Q21" t="s">
        <v>1180</v>
      </c>
      <c r="R21" t="s">
        <v>1200</v>
      </c>
      <c r="S21" t="s">
        <v>1030</v>
      </c>
      <c r="T21" t="s">
        <v>1043</v>
      </c>
      <c r="U21" t="s">
        <v>1201</v>
      </c>
      <c r="V21" t="s">
        <v>922</v>
      </c>
      <c r="W21" t="s">
        <v>1132</v>
      </c>
      <c r="X21" t="s">
        <v>1040</v>
      </c>
      <c r="Y21" t="s">
        <v>1103</v>
      </c>
      <c r="Z21" t="s">
        <v>969</v>
      </c>
      <c r="AA21" t="s">
        <v>925</v>
      </c>
      <c r="AB21" t="s">
        <v>925</v>
      </c>
      <c r="AC21" t="s">
        <v>968</v>
      </c>
      <c r="AD21" t="s">
        <v>1017</v>
      </c>
      <c r="AE21">
        <v>20.099999999999998</v>
      </c>
      <c r="AF21">
        <v>19.988299999999999</v>
      </c>
    </row>
    <row r="22" spans="1:32" x14ac:dyDescent="0.25">
      <c r="A22" s="191" t="s">
        <v>1202</v>
      </c>
      <c r="B22" t="s">
        <v>1203</v>
      </c>
      <c r="C22" t="s">
        <v>1204</v>
      </c>
      <c r="D22" t="s">
        <v>151</v>
      </c>
      <c r="E22" t="s">
        <v>63</v>
      </c>
      <c r="F22" t="s">
        <v>975</v>
      </c>
      <c r="G22" t="s">
        <v>975</v>
      </c>
      <c r="H22" t="s">
        <v>1166</v>
      </c>
      <c r="I22" t="s">
        <v>1024</v>
      </c>
      <c r="J22" t="s">
        <v>1140</v>
      </c>
      <c r="K22" t="s">
        <v>1205</v>
      </c>
      <c r="L22" t="s">
        <v>964</v>
      </c>
      <c r="M22" t="s">
        <v>1026</v>
      </c>
      <c r="N22" t="s">
        <v>1206</v>
      </c>
      <c r="O22" t="s">
        <v>1059</v>
      </c>
      <c r="P22" t="s">
        <v>1207</v>
      </c>
      <c r="Q22" t="s">
        <v>1208</v>
      </c>
      <c r="R22" t="s">
        <v>1209</v>
      </c>
      <c r="S22" t="s">
        <v>1160</v>
      </c>
      <c r="T22" t="s">
        <v>1170</v>
      </c>
      <c r="U22" t="s">
        <v>1210</v>
      </c>
      <c r="V22" t="s">
        <v>945</v>
      </c>
      <c r="W22" t="s">
        <v>992</v>
      </c>
      <c r="X22" t="s">
        <v>1134</v>
      </c>
      <c r="Y22" t="s">
        <v>1211</v>
      </c>
      <c r="Z22" t="s">
        <v>1195</v>
      </c>
      <c r="AA22" t="s">
        <v>1065</v>
      </c>
      <c r="AB22" t="s">
        <v>925</v>
      </c>
      <c r="AC22" t="s">
        <v>956</v>
      </c>
      <c r="AD22" t="s">
        <v>1186</v>
      </c>
      <c r="AE22">
        <v>24.599999999999998</v>
      </c>
      <c r="AF22">
        <v>24.6982</v>
      </c>
    </row>
    <row r="23" spans="1:32" x14ac:dyDescent="0.25">
      <c r="A23" s="191" t="s">
        <v>1212</v>
      </c>
      <c r="B23" t="s">
        <v>1213</v>
      </c>
      <c r="C23" t="s">
        <v>1084</v>
      </c>
      <c r="D23" t="s">
        <v>83</v>
      </c>
      <c r="E23" t="s">
        <v>93</v>
      </c>
      <c r="F23" t="s">
        <v>929</v>
      </c>
      <c r="G23" t="s">
        <v>929</v>
      </c>
      <c r="H23" t="s">
        <v>1214</v>
      </c>
      <c r="I23" t="s">
        <v>980</v>
      </c>
      <c r="J23" t="s">
        <v>1197</v>
      </c>
      <c r="K23" t="s">
        <v>1215</v>
      </c>
      <c r="L23" t="s">
        <v>1119</v>
      </c>
      <c r="M23" t="s">
        <v>991</v>
      </c>
      <c r="N23" t="s">
        <v>1216</v>
      </c>
      <c r="O23" t="s">
        <v>1072</v>
      </c>
      <c r="P23" t="s">
        <v>1217</v>
      </c>
      <c r="Q23" t="s">
        <v>955</v>
      </c>
      <c r="R23" t="s">
        <v>1218</v>
      </c>
      <c r="S23" t="s">
        <v>1043</v>
      </c>
      <c r="T23" t="s">
        <v>1061</v>
      </c>
      <c r="U23" t="s">
        <v>1219</v>
      </c>
      <c r="V23" t="s">
        <v>993</v>
      </c>
      <c r="W23" t="s">
        <v>957</v>
      </c>
      <c r="X23" t="s">
        <v>1026</v>
      </c>
      <c r="Y23" t="s">
        <v>1043</v>
      </c>
      <c r="Z23" t="s">
        <v>945</v>
      </c>
      <c r="AA23" t="s">
        <v>918</v>
      </c>
      <c r="AB23" t="s">
        <v>1135</v>
      </c>
      <c r="AC23" t="s">
        <v>1220</v>
      </c>
      <c r="AD23" t="s">
        <v>1221</v>
      </c>
      <c r="AE23">
        <v>24.6</v>
      </c>
      <c r="AF23">
        <v>24.533200000000001</v>
      </c>
    </row>
    <row r="24" spans="1:32" x14ac:dyDescent="0.25">
      <c r="A24" s="191" t="s">
        <v>1222</v>
      </c>
      <c r="B24" t="s">
        <v>266</v>
      </c>
      <c r="C24" t="s">
        <v>1068</v>
      </c>
      <c r="D24" t="s">
        <v>1223</v>
      </c>
      <c r="E24" t="s">
        <v>56</v>
      </c>
      <c r="F24" t="s">
        <v>951</v>
      </c>
      <c r="G24" t="s">
        <v>951</v>
      </c>
      <c r="H24" t="s">
        <v>1224</v>
      </c>
      <c r="I24" t="s">
        <v>1027</v>
      </c>
      <c r="J24" t="s">
        <v>1189</v>
      </c>
      <c r="K24" t="s">
        <v>1168</v>
      </c>
      <c r="L24" t="s">
        <v>1103</v>
      </c>
      <c r="M24" t="s">
        <v>953</v>
      </c>
      <c r="N24" t="s">
        <v>1225</v>
      </c>
      <c r="O24" t="s">
        <v>992</v>
      </c>
      <c r="P24" t="s">
        <v>1172</v>
      </c>
      <c r="Q24" t="s">
        <v>1226</v>
      </c>
      <c r="R24" t="s">
        <v>1227</v>
      </c>
      <c r="S24" t="s">
        <v>1228</v>
      </c>
      <c r="T24" t="s">
        <v>1170</v>
      </c>
      <c r="U24" t="s">
        <v>1229</v>
      </c>
      <c r="V24" t="s">
        <v>969</v>
      </c>
      <c r="W24" t="s">
        <v>1160</v>
      </c>
      <c r="X24" t="s">
        <v>1103</v>
      </c>
      <c r="Y24" t="s">
        <v>1063</v>
      </c>
      <c r="Z24" t="s">
        <v>1064</v>
      </c>
      <c r="AA24" t="s">
        <v>991</v>
      </c>
      <c r="AB24" t="s">
        <v>964</v>
      </c>
      <c r="AC24" t="s">
        <v>1230</v>
      </c>
      <c r="AD24" t="s">
        <v>1231</v>
      </c>
      <c r="AE24">
        <v>24.6</v>
      </c>
      <c r="AF24">
        <v>24.613499999999998</v>
      </c>
    </row>
    <row r="25" spans="1:32" x14ac:dyDescent="0.25">
      <c r="A25" s="191" t="s">
        <v>1232</v>
      </c>
      <c r="B25" t="s">
        <v>255</v>
      </c>
      <c r="C25" t="s">
        <v>1233</v>
      </c>
      <c r="D25" t="s">
        <v>1014</v>
      </c>
      <c r="E25" t="s">
        <v>47</v>
      </c>
      <c r="F25" t="s">
        <v>951</v>
      </c>
      <c r="G25" t="s">
        <v>951</v>
      </c>
      <c r="H25" t="s">
        <v>1234</v>
      </c>
      <c r="I25" t="s">
        <v>959</v>
      </c>
      <c r="J25" t="s">
        <v>1073</v>
      </c>
      <c r="K25" t="s">
        <v>1235</v>
      </c>
      <c r="L25" t="s">
        <v>908</v>
      </c>
      <c r="M25" t="s">
        <v>909</v>
      </c>
      <c r="N25" t="s">
        <v>1169</v>
      </c>
      <c r="O25" t="s">
        <v>1026</v>
      </c>
      <c r="P25" t="s">
        <v>1236</v>
      </c>
      <c r="Q25" t="s">
        <v>1077</v>
      </c>
      <c r="R25" t="s">
        <v>913</v>
      </c>
      <c r="S25" t="s">
        <v>1030</v>
      </c>
      <c r="T25" t="s">
        <v>957</v>
      </c>
      <c r="U25" t="s">
        <v>986</v>
      </c>
      <c r="V25" t="s">
        <v>923</v>
      </c>
      <c r="W25" t="s">
        <v>1172</v>
      </c>
      <c r="X25" t="s">
        <v>1011</v>
      </c>
      <c r="Y25" t="s">
        <v>989</v>
      </c>
      <c r="Z25" t="s">
        <v>923</v>
      </c>
      <c r="AA25" t="s">
        <v>969</v>
      </c>
      <c r="AB25" t="s">
        <v>1030</v>
      </c>
      <c r="AC25" t="s">
        <v>1230</v>
      </c>
      <c r="AD25" t="s">
        <v>1237</v>
      </c>
      <c r="AE25">
        <v>24.400000000000002</v>
      </c>
      <c r="AF25">
        <v>24.340199999999999</v>
      </c>
    </row>
    <row r="26" spans="1:32" x14ac:dyDescent="0.25">
      <c r="A26" s="191" t="s">
        <v>1238</v>
      </c>
      <c r="B26" t="s">
        <v>128</v>
      </c>
      <c r="C26" t="s">
        <v>950</v>
      </c>
      <c r="D26" t="s">
        <v>129</v>
      </c>
      <c r="E26" t="s">
        <v>72</v>
      </c>
      <c r="F26" t="s">
        <v>1052</v>
      </c>
      <c r="G26" t="s">
        <v>1052</v>
      </c>
      <c r="H26" t="s">
        <v>1097</v>
      </c>
      <c r="I26" t="s">
        <v>1024</v>
      </c>
      <c r="J26" t="s">
        <v>1197</v>
      </c>
      <c r="K26" t="s">
        <v>1239</v>
      </c>
      <c r="L26" t="s">
        <v>956</v>
      </c>
      <c r="M26" t="s">
        <v>957</v>
      </c>
      <c r="N26" t="s">
        <v>1240</v>
      </c>
      <c r="O26" t="s">
        <v>1116</v>
      </c>
      <c r="P26" t="s">
        <v>1241</v>
      </c>
      <c r="Q26" t="s">
        <v>1215</v>
      </c>
      <c r="R26" t="s">
        <v>1242</v>
      </c>
      <c r="S26" t="s">
        <v>957</v>
      </c>
      <c r="T26" t="s">
        <v>909</v>
      </c>
      <c r="U26" t="s">
        <v>1243</v>
      </c>
      <c r="V26" t="s">
        <v>964</v>
      </c>
      <c r="W26" t="s">
        <v>997</v>
      </c>
      <c r="X26" t="s">
        <v>1244</v>
      </c>
      <c r="Y26" t="s">
        <v>946</v>
      </c>
      <c r="Z26" t="s">
        <v>923</v>
      </c>
      <c r="AA26" t="s">
        <v>1008</v>
      </c>
      <c r="AB26" t="s">
        <v>1220</v>
      </c>
      <c r="AC26" t="s">
        <v>979</v>
      </c>
      <c r="AD26" t="s">
        <v>1237</v>
      </c>
      <c r="AE26">
        <v>24.5</v>
      </c>
      <c r="AF26">
        <v>24.482099999999999</v>
      </c>
    </row>
    <row r="27" spans="1:32" x14ac:dyDescent="0.25">
      <c r="A27" s="191" t="s">
        <v>1245</v>
      </c>
      <c r="B27" t="s">
        <v>1246</v>
      </c>
      <c r="C27" t="s">
        <v>1245</v>
      </c>
      <c r="D27" t="s">
        <v>70</v>
      </c>
      <c r="E27" t="s">
        <v>72</v>
      </c>
      <c r="F27" t="s">
        <v>1123</v>
      </c>
      <c r="G27" t="s">
        <v>1123</v>
      </c>
      <c r="H27" t="s">
        <v>1247</v>
      </c>
      <c r="I27" t="s">
        <v>1024</v>
      </c>
      <c r="J27" t="s">
        <v>1248</v>
      </c>
      <c r="K27" t="s">
        <v>1249</v>
      </c>
      <c r="L27" t="s">
        <v>946</v>
      </c>
      <c r="M27" t="s">
        <v>916</v>
      </c>
      <c r="N27" t="s">
        <v>1250</v>
      </c>
      <c r="O27" t="s">
        <v>1079</v>
      </c>
      <c r="P27" t="s">
        <v>965</v>
      </c>
      <c r="Q27" t="s">
        <v>1251</v>
      </c>
      <c r="R27" t="s">
        <v>1057</v>
      </c>
      <c r="S27" t="s">
        <v>1000</v>
      </c>
      <c r="T27" t="s">
        <v>919</v>
      </c>
      <c r="U27" t="s">
        <v>1252</v>
      </c>
      <c r="V27" t="s">
        <v>968</v>
      </c>
      <c r="W27" t="s">
        <v>911</v>
      </c>
      <c r="X27" t="s">
        <v>1253</v>
      </c>
      <c r="Y27" t="s">
        <v>1030</v>
      </c>
      <c r="Z27" t="s">
        <v>1064</v>
      </c>
      <c r="AA27" t="s">
        <v>1155</v>
      </c>
      <c r="AB27" t="s">
        <v>1048</v>
      </c>
      <c r="AC27" t="s">
        <v>947</v>
      </c>
      <c r="AD27" t="s">
        <v>1254</v>
      </c>
      <c r="AE27">
        <v>24.3</v>
      </c>
      <c r="AF27">
        <v>24.205999999999996</v>
      </c>
    </row>
    <row r="28" spans="1:32" x14ac:dyDescent="0.25">
      <c r="A28" s="194" t="s">
        <v>995</v>
      </c>
      <c r="B28" t="s">
        <v>141</v>
      </c>
      <c r="C28" t="s">
        <v>1032</v>
      </c>
      <c r="D28" t="s">
        <v>142</v>
      </c>
      <c r="E28" t="s">
        <v>47</v>
      </c>
      <c r="F28" t="s">
        <v>1255</v>
      </c>
      <c r="G28" t="s">
        <v>1255</v>
      </c>
      <c r="H28" t="s">
        <v>1256</v>
      </c>
      <c r="I28" t="s">
        <v>1108</v>
      </c>
      <c r="J28" t="s">
        <v>1257</v>
      </c>
      <c r="K28" t="s">
        <v>1258</v>
      </c>
      <c r="L28" t="s">
        <v>922</v>
      </c>
      <c r="M28" t="s">
        <v>1126</v>
      </c>
      <c r="N28" t="s">
        <v>1259</v>
      </c>
      <c r="O28" t="s">
        <v>1026</v>
      </c>
      <c r="P28" t="s">
        <v>1260</v>
      </c>
      <c r="Q28" t="s">
        <v>1261</v>
      </c>
      <c r="R28" t="s">
        <v>1262</v>
      </c>
      <c r="S28" t="s">
        <v>1047</v>
      </c>
      <c r="T28" t="s">
        <v>962</v>
      </c>
      <c r="U28" t="s">
        <v>1263</v>
      </c>
      <c r="V28" t="s">
        <v>918</v>
      </c>
      <c r="W28" t="s">
        <v>1134</v>
      </c>
      <c r="X28" t="s">
        <v>909</v>
      </c>
      <c r="Y28" t="s">
        <v>957</v>
      </c>
      <c r="Z28" t="s">
        <v>1195</v>
      </c>
      <c r="AA28" t="s">
        <v>991</v>
      </c>
      <c r="AB28" t="s">
        <v>947</v>
      </c>
      <c r="AC28" t="s">
        <v>993</v>
      </c>
      <c r="AD28" t="s">
        <v>1264</v>
      </c>
      <c r="AE28">
        <v>24.2</v>
      </c>
      <c r="AF28">
        <v>24.195699999999999</v>
      </c>
    </row>
    <row r="29" spans="1:32" x14ac:dyDescent="0.25">
      <c r="A29" s="191" t="s">
        <v>1032</v>
      </c>
      <c r="B29" t="s">
        <v>110</v>
      </c>
      <c r="C29" t="s">
        <v>902</v>
      </c>
      <c r="D29" t="s">
        <v>111</v>
      </c>
      <c r="E29" t="s">
        <v>56</v>
      </c>
      <c r="F29" t="s">
        <v>903</v>
      </c>
      <c r="G29" t="s">
        <v>903</v>
      </c>
      <c r="H29" t="s">
        <v>1265</v>
      </c>
      <c r="I29" t="s">
        <v>988</v>
      </c>
      <c r="J29" t="s">
        <v>1073</v>
      </c>
      <c r="K29" t="s">
        <v>1266</v>
      </c>
      <c r="L29" t="s">
        <v>964</v>
      </c>
      <c r="M29" t="s">
        <v>1132</v>
      </c>
      <c r="N29" t="s">
        <v>1267</v>
      </c>
      <c r="O29" t="s">
        <v>1211</v>
      </c>
      <c r="P29" t="s">
        <v>943</v>
      </c>
      <c r="Q29" t="s">
        <v>1268</v>
      </c>
      <c r="R29" t="s">
        <v>1269</v>
      </c>
      <c r="S29" t="s">
        <v>940</v>
      </c>
      <c r="T29" t="s">
        <v>988</v>
      </c>
      <c r="U29" t="s">
        <v>1270</v>
      </c>
      <c r="V29" t="s">
        <v>1065</v>
      </c>
      <c r="W29" t="s">
        <v>1012</v>
      </c>
      <c r="X29" t="s">
        <v>946</v>
      </c>
      <c r="Y29" t="s">
        <v>936</v>
      </c>
      <c r="Z29" t="s">
        <v>945</v>
      </c>
      <c r="AA29" t="s">
        <v>934</v>
      </c>
      <c r="AB29" t="s">
        <v>957</v>
      </c>
      <c r="AC29" t="s">
        <v>1049</v>
      </c>
      <c r="AD29" t="s">
        <v>1264</v>
      </c>
      <c r="AE29">
        <v>24.2</v>
      </c>
      <c r="AF29">
        <v>24.238600000000005</v>
      </c>
    </row>
    <row r="30" spans="1:32" x14ac:dyDescent="0.25">
      <c r="A30" s="191" t="s">
        <v>1084</v>
      </c>
      <c r="B30" t="s">
        <v>477</v>
      </c>
      <c r="C30" t="s">
        <v>1015</v>
      </c>
      <c r="D30" t="s">
        <v>85</v>
      </c>
      <c r="E30" t="s">
        <v>63</v>
      </c>
      <c r="F30" t="s">
        <v>1271</v>
      </c>
      <c r="G30" t="s">
        <v>1271</v>
      </c>
      <c r="H30" t="s">
        <v>1272</v>
      </c>
      <c r="I30" t="s">
        <v>989</v>
      </c>
      <c r="J30" t="s">
        <v>1248</v>
      </c>
      <c r="K30" t="s">
        <v>1273</v>
      </c>
      <c r="L30" t="s">
        <v>970</v>
      </c>
      <c r="M30" t="s">
        <v>1024</v>
      </c>
      <c r="N30" t="s">
        <v>981</v>
      </c>
      <c r="O30" t="s">
        <v>920</v>
      </c>
      <c r="P30" t="s">
        <v>943</v>
      </c>
      <c r="Q30" t="s">
        <v>1274</v>
      </c>
      <c r="R30" t="s">
        <v>1275</v>
      </c>
      <c r="S30" t="s">
        <v>1081</v>
      </c>
      <c r="T30" t="s">
        <v>1005</v>
      </c>
      <c r="U30" t="s">
        <v>1276</v>
      </c>
      <c r="V30" t="s">
        <v>987</v>
      </c>
      <c r="W30" t="s">
        <v>1030</v>
      </c>
      <c r="X30" t="s">
        <v>1047</v>
      </c>
      <c r="Y30" t="s">
        <v>920</v>
      </c>
      <c r="Z30" t="s">
        <v>1195</v>
      </c>
      <c r="AA30" t="s">
        <v>934</v>
      </c>
      <c r="AB30" t="s">
        <v>908</v>
      </c>
      <c r="AC30" t="s">
        <v>956</v>
      </c>
      <c r="AD30" t="s">
        <v>1277</v>
      </c>
      <c r="AE30">
        <v>23.899999999999995</v>
      </c>
      <c r="AF30">
        <v>23.9557</v>
      </c>
    </row>
    <row r="31" spans="1:32" x14ac:dyDescent="0.25">
      <c r="A31" s="191" t="s">
        <v>973</v>
      </c>
      <c r="B31" t="s">
        <v>1278</v>
      </c>
      <c r="C31" t="s">
        <v>1032</v>
      </c>
      <c r="D31" t="s">
        <v>1279</v>
      </c>
      <c r="E31" t="s">
        <v>63</v>
      </c>
      <c r="F31" t="s">
        <v>973</v>
      </c>
      <c r="G31" t="s">
        <v>1032</v>
      </c>
      <c r="H31" t="s">
        <v>1280</v>
      </c>
      <c r="I31" t="s">
        <v>1061</v>
      </c>
      <c r="J31" t="s">
        <v>1281</v>
      </c>
      <c r="K31" t="s">
        <v>1018</v>
      </c>
      <c r="L31" t="s">
        <v>1220</v>
      </c>
      <c r="M31" t="s">
        <v>1011</v>
      </c>
      <c r="N31" t="s">
        <v>1282</v>
      </c>
      <c r="O31" t="s">
        <v>962</v>
      </c>
      <c r="P31" t="s">
        <v>1020</v>
      </c>
      <c r="Q31" t="s">
        <v>1283</v>
      </c>
      <c r="R31" t="s">
        <v>1235</v>
      </c>
      <c r="S31" t="s">
        <v>1043</v>
      </c>
      <c r="T31" t="s">
        <v>1063</v>
      </c>
      <c r="U31" t="s">
        <v>1284</v>
      </c>
      <c r="V31" t="s">
        <v>969</v>
      </c>
      <c r="W31" t="s">
        <v>1220</v>
      </c>
      <c r="X31" t="s">
        <v>970</v>
      </c>
      <c r="Y31" t="s">
        <v>1155</v>
      </c>
      <c r="Z31" t="s">
        <v>969</v>
      </c>
      <c r="AA31" t="s">
        <v>1119</v>
      </c>
      <c r="AB31" t="s">
        <v>993</v>
      </c>
      <c r="AC31" t="s">
        <v>968</v>
      </c>
      <c r="AD31" t="s">
        <v>1277</v>
      </c>
      <c r="AE31">
        <v>24.000000000000004</v>
      </c>
      <c r="AF31">
        <v>23.977399999999996</v>
      </c>
    </row>
    <row r="32" spans="1:32" x14ac:dyDescent="0.25">
      <c r="A32" s="191" t="s">
        <v>902</v>
      </c>
      <c r="B32" t="s">
        <v>209</v>
      </c>
      <c r="C32" t="s">
        <v>973</v>
      </c>
      <c r="D32" t="s">
        <v>133</v>
      </c>
      <c r="E32" t="s">
        <v>63</v>
      </c>
      <c r="F32" t="s">
        <v>1285</v>
      </c>
      <c r="G32" t="s">
        <v>1285</v>
      </c>
      <c r="H32" t="s">
        <v>976</v>
      </c>
      <c r="I32" t="s">
        <v>1182</v>
      </c>
      <c r="J32" t="s">
        <v>1286</v>
      </c>
      <c r="K32" t="s">
        <v>1287</v>
      </c>
      <c r="L32" t="s">
        <v>970</v>
      </c>
      <c r="M32" t="s">
        <v>1062</v>
      </c>
      <c r="N32" t="s">
        <v>910</v>
      </c>
      <c r="O32" t="s">
        <v>962</v>
      </c>
      <c r="P32" t="s">
        <v>911</v>
      </c>
      <c r="Q32" t="s">
        <v>1288</v>
      </c>
      <c r="R32" t="s">
        <v>1289</v>
      </c>
      <c r="S32" t="s">
        <v>1030</v>
      </c>
      <c r="T32" t="s">
        <v>1081</v>
      </c>
      <c r="U32" t="s">
        <v>1290</v>
      </c>
      <c r="V32" t="s">
        <v>1065</v>
      </c>
      <c r="W32" t="s">
        <v>957</v>
      </c>
      <c r="X32" t="s">
        <v>962</v>
      </c>
      <c r="Y32" t="s">
        <v>1291</v>
      </c>
      <c r="Z32" t="s">
        <v>918</v>
      </c>
      <c r="AA32" t="s">
        <v>934</v>
      </c>
      <c r="AB32" t="s">
        <v>1012</v>
      </c>
      <c r="AC32" t="s">
        <v>1064</v>
      </c>
      <c r="AD32" t="s">
        <v>1292</v>
      </c>
      <c r="AE32">
        <v>23.999999999999996</v>
      </c>
      <c r="AF32">
        <v>23.871099999999998</v>
      </c>
    </row>
    <row r="33" spans="1:32" x14ac:dyDescent="0.25">
      <c r="A33" s="191" t="s">
        <v>1293</v>
      </c>
      <c r="B33" t="s">
        <v>1294</v>
      </c>
      <c r="C33" t="s">
        <v>929</v>
      </c>
      <c r="D33" t="s">
        <v>108</v>
      </c>
      <c r="E33" t="s">
        <v>72</v>
      </c>
      <c r="F33" t="s">
        <v>1232</v>
      </c>
      <c r="G33" t="s">
        <v>1232</v>
      </c>
      <c r="H33" t="s">
        <v>1295</v>
      </c>
      <c r="I33" t="s">
        <v>988</v>
      </c>
      <c r="J33" t="s">
        <v>1296</v>
      </c>
      <c r="K33" t="s">
        <v>1297</v>
      </c>
      <c r="L33" t="s">
        <v>945</v>
      </c>
      <c r="M33" t="s">
        <v>919</v>
      </c>
      <c r="N33" t="s">
        <v>1298</v>
      </c>
      <c r="O33" t="s">
        <v>985</v>
      </c>
      <c r="P33" t="s">
        <v>1236</v>
      </c>
      <c r="Q33" t="s">
        <v>1299</v>
      </c>
      <c r="R33" t="s">
        <v>1300</v>
      </c>
      <c r="S33" t="s">
        <v>1011</v>
      </c>
      <c r="T33" t="s">
        <v>1024</v>
      </c>
      <c r="U33" t="s">
        <v>1301</v>
      </c>
      <c r="V33" t="s">
        <v>1049</v>
      </c>
      <c r="W33" t="s">
        <v>1044</v>
      </c>
      <c r="X33" t="s">
        <v>989</v>
      </c>
      <c r="Y33" t="s">
        <v>1047</v>
      </c>
      <c r="Z33" t="s">
        <v>1008</v>
      </c>
      <c r="AA33" t="s">
        <v>918</v>
      </c>
      <c r="AB33" t="s">
        <v>970</v>
      </c>
      <c r="AC33" t="s">
        <v>925</v>
      </c>
      <c r="AD33" t="s">
        <v>1302</v>
      </c>
      <c r="AE33">
        <v>23.8</v>
      </c>
      <c r="AF33">
        <v>23.827500000000001</v>
      </c>
    </row>
    <row r="34" spans="1:32" x14ac:dyDescent="0.25">
      <c r="A34" s="191" t="s">
        <v>1015</v>
      </c>
      <c r="B34" t="s">
        <v>1303</v>
      </c>
      <c r="C34" t="s">
        <v>1293</v>
      </c>
      <c r="D34" t="s">
        <v>974</v>
      </c>
      <c r="E34" t="s">
        <v>56</v>
      </c>
      <c r="F34" t="s">
        <v>1070</v>
      </c>
      <c r="G34" t="s">
        <v>1070</v>
      </c>
      <c r="H34" t="s">
        <v>1166</v>
      </c>
      <c r="I34" t="s">
        <v>1062</v>
      </c>
      <c r="J34" t="s">
        <v>1304</v>
      </c>
      <c r="K34" t="s">
        <v>1258</v>
      </c>
      <c r="L34" t="s">
        <v>1049</v>
      </c>
      <c r="M34" t="s">
        <v>1059</v>
      </c>
      <c r="N34" t="s">
        <v>1305</v>
      </c>
      <c r="O34" t="s">
        <v>1172</v>
      </c>
      <c r="P34" t="s">
        <v>1306</v>
      </c>
      <c r="Q34" t="s">
        <v>1307</v>
      </c>
      <c r="R34" t="s">
        <v>1308</v>
      </c>
      <c r="S34" t="s">
        <v>1081</v>
      </c>
      <c r="T34" t="s">
        <v>1005</v>
      </c>
      <c r="U34" t="s">
        <v>1309</v>
      </c>
      <c r="V34" t="s">
        <v>918</v>
      </c>
      <c r="W34" t="s">
        <v>1160</v>
      </c>
      <c r="X34" t="s">
        <v>1134</v>
      </c>
      <c r="Y34" t="s">
        <v>1044</v>
      </c>
      <c r="Z34" t="s">
        <v>1310</v>
      </c>
      <c r="AA34" t="s">
        <v>991</v>
      </c>
      <c r="AB34" t="s">
        <v>1104</v>
      </c>
      <c r="AC34" t="s">
        <v>1012</v>
      </c>
      <c r="AD34" t="s">
        <v>1311</v>
      </c>
      <c r="AE34">
        <v>23.499999999999996</v>
      </c>
      <c r="AF34">
        <v>23.555900000000001</v>
      </c>
    </row>
    <row r="35" spans="1:32" x14ac:dyDescent="0.25">
      <c r="A35" s="191" t="s">
        <v>1015</v>
      </c>
      <c r="B35" t="s">
        <v>1303</v>
      </c>
      <c r="C35" t="s">
        <v>1293</v>
      </c>
      <c r="D35" t="s">
        <v>121</v>
      </c>
      <c r="E35" t="s">
        <v>56</v>
      </c>
      <c r="F35" t="s">
        <v>1312</v>
      </c>
      <c r="G35" t="s">
        <v>1312</v>
      </c>
      <c r="H35" t="s">
        <v>1313</v>
      </c>
      <c r="I35" t="s">
        <v>911</v>
      </c>
      <c r="J35" t="s">
        <v>1314</v>
      </c>
      <c r="K35" t="s">
        <v>1099</v>
      </c>
      <c r="L35" t="s">
        <v>956</v>
      </c>
      <c r="M35" t="s">
        <v>921</v>
      </c>
      <c r="N35" t="s">
        <v>1315</v>
      </c>
      <c r="O35" t="s">
        <v>1026</v>
      </c>
      <c r="P35" t="s">
        <v>1316</v>
      </c>
      <c r="Q35" t="s">
        <v>1114</v>
      </c>
      <c r="R35" t="s">
        <v>1101</v>
      </c>
      <c r="S35" t="s">
        <v>1047</v>
      </c>
      <c r="T35" t="s">
        <v>1291</v>
      </c>
      <c r="U35" t="s">
        <v>1243</v>
      </c>
      <c r="V35" t="s">
        <v>923</v>
      </c>
      <c r="W35" t="s">
        <v>1228</v>
      </c>
      <c r="X35" t="s">
        <v>920</v>
      </c>
      <c r="Y35" t="s">
        <v>1059</v>
      </c>
      <c r="Z35" t="s">
        <v>1310</v>
      </c>
      <c r="AA35" t="s">
        <v>991</v>
      </c>
      <c r="AB35" t="s">
        <v>1135</v>
      </c>
      <c r="AC35" t="s">
        <v>1012</v>
      </c>
      <c r="AD35" t="s">
        <v>1317</v>
      </c>
      <c r="AE35">
        <v>24.9</v>
      </c>
      <c r="AF35">
        <v>24.971499999999999</v>
      </c>
    </row>
    <row r="36" spans="1:32" x14ac:dyDescent="0.25">
      <c r="A36" s="191" t="s">
        <v>1015</v>
      </c>
      <c r="B36" t="s">
        <v>1303</v>
      </c>
      <c r="C36" t="s">
        <v>1293</v>
      </c>
      <c r="D36" t="s">
        <v>70</v>
      </c>
      <c r="E36" t="s">
        <v>56</v>
      </c>
      <c r="F36" t="s">
        <v>1212</v>
      </c>
      <c r="G36" t="s">
        <v>1212</v>
      </c>
      <c r="H36" t="s">
        <v>1318</v>
      </c>
      <c r="I36" t="s">
        <v>988</v>
      </c>
      <c r="J36" t="s">
        <v>1217</v>
      </c>
      <c r="K36" t="s">
        <v>1319</v>
      </c>
      <c r="L36" t="s">
        <v>1310</v>
      </c>
      <c r="M36" t="s">
        <v>1092</v>
      </c>
      <c r="N36" t="s">
        <v>1320</v>
      </c>
      <c r="O36" t="s">
        <v>1079</v>
      </c>
      <c r="P36" t="s">
        <v>982</v>
      </c>
      <c r="Q36" t="s">
        <v>1261</v>
      </c>
      <c r="R36" t="s">
        <v>1021</v>
      </c>
      <c r="S36" t="s">
        <v>979</v>
      </c>
      <c r="T36" t="s">
        <v>1081</v>
      </c>
      <c r="U36" t="s">
        <v>1321</v>
      </c>
      <c r="V36" t="s">
        <v>1065</v>
      </c>
      <c r="W36" t="s">
        <v>1155</v>
      </c>
      <c r="X36" t="s">
        <v>1170</v>
      </c>
      <c r="Y36" t="s">
        <v>1172</v>
      </c>
      <c r="Z36" t="s">
        <v>1310</v>
      </c>
      <c r="AA36" t="s">
        <v>1094</v>
      </c>
      <c r="AB36" t="s">
        <v>924</v>
      </c>
      <c r="AC36" t="s">
        <v>1220</v>
      </c>
      <c r="AD36" t="s">
        <v>932</v>
      </c>
      <c r="AE36">
        <v>19.8</v>
      </c>
      <c r="AF36">
        <v>19.706000000000003</v>
      </c>
    </row>
    <row r="37" spans="1:32" x14ac:dyDescent="0.25">
      <c r="A37" s="191" t="s">
        <v>950</v>
      </c>
      <c r="B37" t="s">
        <v>134</v>
      </c>
      <c r="C37" t="s">
        <v>950</v>
      </c>
      <c r="D37" t="s">
        <v>974</v>
      </c>
      <c r="E37" t="s">
        <v>47</v>
      </c>
      <c r="F37" t="s">
        <v>1322</v>
      </c>
      <c r="G37" t="s">
        <v>1322</v>
      </c>
      <c r="H37" t="s">
        <v>1323</v>
      </c>
      <c r="I37" t="s">
        <v>1132</v>
      </c>
      <c r="J37" t="s">
        <v>1217</v>
      </c>
      <c r="K37" t="s">
        <v>1091</v>
      </c>
      <c r="L37" t="s">
        <v>1048</v>
      </c>
      <c r="M37" t="s">
        <v>1026</v>
      </c>
      <c r="N37" t="s">
        <v>1319</v>
      </c>
      <c r="O37" t="s">
        <v>962</v>
      </c>
      <c r="P37" t="s">
        <v>959</v>
      </c>
      <c r="Q37" t="s">
        <v>1324</v>
      </c>
      <c r="R37" t="s">
        <v>1325</v>
      </c>
      <c r="S37" t="s">
        <v>1048</v>
      </c>
      <c r="T37" t="s">
        <v>1160</v>
      </c>
      <c r="U37" t="s">
        <v>1326</v>
      </c>
      <c r="V37" t="s">
        <v>1094</v>
      </c>
      <c r="W37" t="s">
        <v>1228</v>
      </c>
      <c r="X37" t="s">
        <v>1170</v>
      </c>
      <c r="Y37" t="s">
        <v>1081</v>
      </c>
      <c r="Z37" t="s">
        <v>987</v>
      </c>
      <c r="AA37" t="s">
        <v>934</v>
      </c>
      <c r="AB37" t="s">
        <v>1104</v>
      </c>
      <c r="AC37" t="s">
        <v>1029</v>
      </c>
      <c r="AD37" t="s">
        <v>1327</v>
      </c>
      <c r="AE37">
        <v>23.2</v>
      </c>
      <c r="AF37">
        <v>23.304300000000005</v>
      </c>
    </row>
    <row r="38" spans="1:32" x14ac:dyDescent="0.25">
      <c r="A38" s="191" t="s">
        <v>950</v>
      </c>
      <c r="B38" t="s">
        <v>134</v>
      </c>
      <c r="C38" t="s">
        <v>950</v>
      </c>
      <c r="D38" t="s">
        <v>131</v>
      </c>
      <c r="E38" t="s">
        <v>47</v>
      </c>
      <c r="F38" t="s">
        <v>1187</v>
      </c>
      <c r="G38" t="s">
        <v>1187</v>
      </c>
      <c r="H38" t="s">
        <v>1328</v>
      </c>
      <c r="I38" t="s">
        <v>1152</v>
      </c>
      <c r="J38" t="s">
        <v>1197</v>
      </c>
      <c r="K38" t="s">
        <v>1091</v>
      </c>
      <c r="L38" t="s">
        <v>1048</v>
      </c>
      <c r="M38" t="s">
        <v>1118</v>
      </c>
      <c r="N38" t="s">
        <v>1319</v>
      </c>
      <c r="O38" t="s">
        <v>1329</v>
      </c>
      <c r="P38" t="s">
        <v>980</v>
      </c>
      <c r="Q38" t="s">
        <v>1192</v>
      </c>
      <c r="R38" t="s">
        <v>939</v>
      </c>
      <c r="S38" t="s">
        <v>979</v>
      </c>
      <c r="T38" t="s">
        <v>1170</v>
      </c>
      <c r="U38" t="s">
        <v>1330</v>
      </c>
      <c r="V38" t="s">
        <v>1094</v>
      </c>
      <c r="W38" t="s">
        <v>1047</v>
      </c>
      <c r="X38" t="s">
        <v>1134</v>
      </c>
      <c r="Y38" t="s">
        <v>1047</v>
      </c>
      <c r="Z38" t="s">
        <v>918</v>
      </c>
      <c r="AA38" t="s">
        <v>934</v>
      </c>
      <c r="AB38" t="s">
        <v>964</v>
      </c>
      <c r="AC38" t="s">
        <v>1310</v>
      </c>
      <c r="AD38" t="s">
        <v>1277</v>
      </c>
      <c r="AE38">
        <v>23.9</v>
      </c>
      <c r="AF38">
        <v>23.946499999999997</v>
      </c>
    </row>
    <row r="39" spans="1:32" x14ac:dyDescent="0.25">
      <c r="A39" s="191" t="s">
        <v>950</v>
      </c>
      <c r="B39" t="s">
        <v>134</v>
      </c>
      <c r="C39" t="s">
        <v>950</v>
      </c>
      <c r="D39" t="s">
        <v>121</v>
      </c>
      <c r="E39" t="s">
        <v>63</v>
      </c>
      <c r="F39" t="s">
        <v>1204</v>
      </c>
      <c r="G39" t="s">
        <v>1204</v>
      </c>
      <c r="H39" t="s">
        <v>1331</v>
      </c>
      <c r="I39" t="s">
        <v>989</v>
      </c>
      <c r="J39" t="s">
        <v>1332</v>
      </c>
      <c r="K39" t="s">
        <v>1091</v>
      </c>
      <c r="L39" t="s">
        <v>1048</v>
      </c>
      <c r="M39" t="s">
        <v>1026</v>
      </c>
      <c r="N39" t="s">
        <v>1319</v>
      </c>
      <c r="O39" t="s">
        <v>920</v>
      </c>
      <c r="P39" t="s">
        <v>916</v>
      </c>
      <c r="Q39" t="s">
        <v>1333</v>
      </c>
      <c r="R39" t="s">
        <v>1334</v>
      </c>
      <c r="S39" t="s">
        <v>1104</v>
      </c>
      <c r="T39" t="s">
        <v>1048</v>
      </c>
      <c r="U39" t="s">
        <v>1335</v>
      </c>
      <c r="V39" t="s">
        <v>1094</v>
      </c>
      <c r="W39" t="s">
        <v>1048</v>
      </c>
      <c r="X39" t="s">
        <v>979</v>
      </c>
      <c r="Y39" t="s">
        <v>1155</v>
      </c>
      <c r="Z39" t="s">
        <v>969</v>
      </c>
      <c r="AA39" t="s">
        <v>1119</v>
      </c>
      <c r="AB39" t="s">
        <v>1220</v>
      </c>
      <c r="AC39" t="s">
        <v>968</v>
      </c>
      <c r="AD39" t="s">
        <v>1336</v>
      </c>
      <c r="AE39">
        <v>22.400000000000002</v>
      </c>
      <c r="AF39">
        <v>22.356800000000003</v>
      </c>
    </row>
    <row r="40" spans="1:32" x14ac:dyDescent="0.25">
      <c r="A40" s="191" t="s">
        <v>929</v>
      </c>
      <c r="B40" t="s">
        <v>301</v>
      </c>
      <c r="C40" t="s">
        <v>973</v>
      </c>
      <c r="D40" t="s">
        <v>156</v>
      </c>
      <c r="E40" t="s">
        <v>56</v>
      </c>
      <c r="F40" t="s">
        <v>975</v>
      </c>
      <c r="G40" t="s">
        <v>975</v>
      </c>
      <c r="H40" t="s">
        <v>948</v>
      </c>
      <c r="I40" t="s">
        <v>1027</v>
      </c>
      <c r="J40" t="s">
        <v>1179</v>
      </c>
      <c r="K40" t="s">
        <v>1337</v>
      </c>
      <c r="L40" t="s">
        <v>968</v>
      </c>
      <c r="M40" t="s">
        <v>909</v>
      </c>
      <c r="N40" t="s">
        <v>1338</v>
      </c>
      <c r="O40" t="s">
        <v>1044</v>
      </c>
      <c r="P40" t="s">
        <v>1076</v>
      </c>
      <c r="Q40" t="s">
        <v>1339</v>
      </c>
      <c r="R40" t="s">
        <v>1340</v>
      </c>
      <c r="S40" t="s">
        <v>1043</v>
      </c>
      <c r="T40" t="s">
        <v>921</v>
      </c>
      <c r="U40" t="s">
        <v>1341</v>
      </c>
      <c r="V40" t="s">
        <v>1008</v>
      </c>
      <c r="W40" t="s">
        <v>1000</v>
      </c>
      <c r="X40" t="s">
        <v>919</v>
      </c>
      <c r="Y40" t="s">
        <v>1118</v>
      </c>
      <c r="Z40" t="s">
        <v>945</v>
      </c>
      <c r="AA40" t="s">
        <v>934</v>
      </c>
      <c r="AB40" t="s">
        <v>1030</v>
      </c>
      <c r="AC40" t="s">
        <v>947</v>
      </c>
      <c r="AD40" t="s">
        <v>1342</v>
      </c>
      <c r="AE40">
        <v>23.3</v>
      </c>
      <c r="AF40">
        <v>23.214100000000002</v>
      </c>
    </row>
    <row r="41" spans="1:32" x14ac:dyDescent="0.25">
      <c r="A41" s="191" t="s">
        <v>1176</v>
      </c>
      <c r="B41" t="s">
        <v>118</v>
      </c>
      <c r="C41" t="s">
        <v>1343</v>
      </c>
      <c r="D41" t="s">
        <v>79</v>
      </c>
      <c r="E41" t="s">
        <v>56</v>
      </c>
      <c r="F41" t="s">
        <v>1033</v>
      </c>
      <c r="G41" t="s">
        <v>1033</v>
      </c>
      <c r="H41" t="s">
        <v>1344</v>
      </c>
      <c r="I41" t="s">
        <v>1112</v>
      </c>
      <c r="J41" t="s">
        <v>1345</v>
      </c>
      <c r="K41" t="s">
        <v>1346</v>
      </c>
      <c r="L41" t="s">
        <v>1135</v>
      </c>
      <c r="M41" t="s">
        <v>1182</v>
      </c>
      <c r="N41" t="s">
        <v>1250</v>
      </c>
      <c r="O41" t="s">
        <v>1030</v>
      </c>
      <c r="P41" t="s">
        <v>915</v>
      </c>
      <c r="Q41" t="s">
        <v>1287</v>
      </c>
      <c r="R41" t="s">
        <v>1041</v>
      </c>
      <c r="S41" t="s">
        <v>921</v>
      </c>
      <c r="T41" t="s">
        <v>1118</v>
      </c>
      <c r="U41" t="s">
        <v>1335</v>
      </c>
      <c r="V41" t="s">
        <v>1008</v>
      </c>
      <c r="W41" t="s">
        <v>1005</v>
      </c>
      <c r="X41" t="s">
        <v>1079</v>
      </c>
      <c r="Y41" t="s">
        <v>1062</v>
      </c>
      <c r="Z41" t="s">
        <v>1310</v>
      </c>
      <c r="AA41" t="s">
        <v>1008</v>
      </c>
      <c r="AB41" t="s">
        <v>1170</v>
      </c>
      <c r="AC41" t="s">
        <v>908</v>
      </c>
      <c r="AD41" t="s">
        <v>1347</v>
      </c>
      <c r="AE41">
        <v>22.799999999999997</v>
      </c>
      <c r="AF41">
        <v>22.813799999999997</v>
      </c>
    </row>
    <row r="42" spans="1:32" x14ac:dyDescent="0.25">
      <c r="A42" s="191" t="s">
        <v>1204</v>
      </c>
      <c r="B42" t="s">
        <v>1348</v>
      </c>
      <c r="C42" t="s">
        <v>1015</v>
      </c>
      <c r="D42" t="s">
        <v>113</v>
      </c>
      <c r="E42" t="s">
        <v>47</v>
      </c>
      <c r="F42" t="s">
        <v>1349</v>
      </c>
      <c r="G42" t="s">
        <v>1349</v>
      </c>
      <c r="H42" t="s">
        <v>1188</v>
      </c>
      <c r="I42" t="s">
        <v>989</v>
      </c>
      <c r="J42" t="s">
        <v>1350</v>
      </c>
      <c r="K42" t="s">
        <v>1258</v>
      </c>
      <c r="L42" t="s">
        <v>968</v>
      </c>
      <c r="M42" t="s">
        <v>909</v>
      </c>
      <c r="N42" t="s">
        <v>1351</v>
      </c>
      <c r="O42" t="s">
        <v>921</v>
      </c>
      <c r="P42" t="s">
        <v>1076</v>
      </c>
      <c r="Q42" t="s">
        <v>1352</v>
      </c>
      <c r="R42" t="s">
        <v>1090</v>
      </c>
      <c r="S42" t="s">
        <v>1160</v>
      </c>
      <c r="T42" t="s">
        <v>1005</v>
      </c>
      <c r="U42" t="s">
        <v>1353</v>
      </c>
      <c r="V42" t="s">
        <v>1195</v>
      </c>
      <c r="W42" t="s">
        <v>1047</v>
      </c>
      <c r="X42" t="s">
        <v>1079</v>
      </c>
      <c r="Y42" t="s">
        <v>1047</v>
      </c>
      <c r="Z42" t="s">
        <v>945</v>
      </c>
      <c r="AA42" t="s">
        <v>1094</v>
      </c>
      <c r="AB42" t="s">
        <v>1012</v>
      </c>
      <c r="AC42" t="s">
        <v>924</v>
      </c>
      <c r="AD42" t="s">
        <v>1354</v>
      </c>
      <c r="AE42">
        <v>22.099999999999998</v>
      </c>
      <c r="AF42">
        <v>22.132800000000003</v>
      </c>
    </row>
    <row r="43" spans="1:32" x14ac:dyDescent="0.25">
      <c r="A43" s="191" t="s">
        <v>1355</v>
      </c>
      <c r="B43" t="s">
        <v>120</v>
      </c>
      <c r="C43" t="s">
        <v>1343</v>
      </c>
      <c r="D43" t="s">
        <v>121</v>
      </c>
      <c r="E43" t="s">
        <v>47</v>
      </c>
      <c r="F43" t="s">
        <v>1285</v>
      </c>
      <c r="G43" t="s">
        <v>1285</v>
      </c>
      <c r="H43" t="s">
        <v>1356</v>
      </c>
      <c r="I43" t="s">
        <v>1027</v>
      </c>
      <c r="J43" t="s">
        <v>1357</v>
      </c>
      <c r="K43" t="s">
        <v>1358</v>
      </c>
      <c r="L43" t="s">
        <v>1064</v>
      </c>
      <c r="M43" t="s">
        <v>970</v>
      </c>
      <c r="N43" t="s">
        <v>1359</v>
      </c>
      <c r="O43" t="s">
        <v>1023</v>
      </c>
      <c r="P43" t="s">
        <v>1360</v>
      </c>
      <c r="Q43" t="s">
        <v>1235</v>
      </c>
      <c r="R43" t="s">
        <v>1130</v>
      </c>
      <c r="S43" t="s">
        <v>1046</v>
      </c>
      <c r="T43" t="s">
        <v>909</v>
      </c>
      <c r="U43" t="s">
        <v>1361</v>
      </c>
      <c r="V43" t="s">
        <v>969</v>
      </c>
      <c r="W43" t="s">
        <v>1048</v>
      </c>
      <c r="X43" t="s">
        <v>1160</v>
      </c>
      <c r="Y43" t="s">
        <v>1103</v>
      </c>
      <c r="Z43" t="s">
        <v>987</v>
      </c>
      <c r="AA43" t="s">
        <v>991</v>
      </c>
      <c r="AB43" t="s">
        <v>1230</v>
      </c>
      <c r="AC43" t="s">
        <v>1049</v>
      </c>
      <c r="AD43" t="s">
        <v>1354</v>
      </c>
      <c r="AE43">
        <v>22.200000000000003</v>
      </c>
      <c r="AF43">
        <v>22.188299999999998</v>
      </c>
    </row>
    <row r="44" spans="1:32" x14ac:dyDescent="0.25">
      <c r="A44" s="191" t="s">
        <v>1164</v>
      </c>
      <c r="B44" t="s">
        <v>1362</v>
      </c>
      <c r="C44" t="s">
        <v>1293</v>
      </c>
      <c r="D44" t="s">
        <v>83</v>
      </c>
      <c r="E44" t="s">
        <v>47</v>
      </c>
      <c r="F44" t="s">
        <v>1222</v>
      </c>
      <c r="G44" t="s">
        <v>1222</v>
      </c>
      <c r="H44" t="s">
        <v>1363</v>
      </c>
      <c r="I44" t="s">
        <v>1152</v>
      </c>
      <c r="J44" t="s">
        <v>1109</v>
      </c>
      <c r="K44" t="s">
        <v>1364</v>
      </c>
      <c r="L44" t="s">
        <v>924</v>
      </c>
      <c r="M44" t="s">
        <v>921</v>
      </c>
      <c r="N44" t="s">
        <v>1365</v>
      </c>
      <c r="O44" t="s">
        <v>985</v>
      </c>
      <c r="P44" t="s">
        <v>1076</v>
      </c>
      <c r="Q44" t="s">
        <v>1308</v>
      </c>
      <c r="R44" t="s">
        <v>1022</v>
      </c>
      <c r="S44" t="s">
        <v>1012</v>
      </c>
      <c r="T44" t="s">
        <v>946</v>
      </c>
      <c r="U44" t="s">
        <v>1366</v>
      </c>
      <c r="V44" t="s">
        <v>918</v>
      </c>
      <c r="W44" t="s">
        <v>1211</v>
      </c>
      <c r="X44" t="s">
        <v>1092</v>
      </c>
      <c r="Y44" t="s">
        <v>962</v>
      </c>
      <c r="Z44" t="s">
        <v>918</v>
      </c>
      <c r="AA44" t="s">
        <v>969</v>
      </c>
      <c r="AB44" t="s">
        <v>1155</v>
      </c>
      <c r="AC44" t="s">
        <v>993</v>
      </c>
      <c r="AD44" t="s">
        <v>1354</v>
      </c>
      <c r="AE44">
        <v>22.2</v>
      </c>
      <c r="AF44">
        <v>22.270100000000003</v>
      </c>
    </row>
    <row r="45" spans="1:32" x14ac:dyDescent="0.25">
      <c r="A45" s="191" t="s">
        <v>1343</v>
      </c>
      <c r="B45" t="s">
        <v>155</v>
      </c>
      <c r="C45" t="s">
        <v>973</v>
      </c>
      <c r="D45" t="s">
        <v>156</v>
      </c>
      <c r="E45" t="s">
        <v>72</v>
      </c>
      <c r="F45" t="s">
        <v>1322</v>
      </c>
      <c r="G45" t="s">
        <v>1322</v>
      </c>
      <c r="H45" t="s">
        <v>1367</v>
      </c>
      <c r="I45" t="s">
        <v>1061</v>
      </c>
      <c r="J45" t="s">
        <v>1345</v>
      </c>
      <c r="K45" t="s">
        <v>1110</v>
      </c>
      <c r="L45" t="s">
        <v>956</v>
      </c>
      <c r="M45" t="s">
        <v>1043</v>
      </c>
      <c r="N45" t="s">
        <v>910</v>
      </c>
      <c r="O45" t="s">
        <v>1063</v>
      </c>
      <c r="P45" t="s">
        <v>1368</v>
      </c>
      <c r="Q45" t="s">
        <v>1369</v>
      </c>
      <c r="R45" t="s">
        <v>1370</v>
      </c>
      <c r="S45" t="s">
        <v>1081</v>
      </c>
      <c r="T45" t="s">
        <v>1329</v>
      </c>
      <c r="U45" t="s">
        <v>1371</v>
      </c>
      <c r="V45" t="s">
        <v>945</v>
      </c>
      <c r="W45" t="s">
        <v>1103</v>
      </c>
      <c r="X45" t="s">
        <v>1092</v>
      </c>
      <c r="Y45" t="s">
        <v>956</v>
      </c>
      <c r="Z45" t="s">
        <v>945</v>
      </c>
      <c r="AA45" t="s">
        <v>1310</v>
      </c>
      <c r="AB45" t="s">
        <v>908</v>
      </c>
      <c r="AC45" t="s">
        <v>979</v>
      </c>
      <c r="AD45" t="s">
        <v>1354</v>
      </c>
      <c r="AE45">
        <v>22.2</v>
      </c>
      <c r="AF45">
        <v>22.190100000000001</v>
      </c>
    </row>
    <row r="46" spans="1:32" x14ac:dyDescent="0.25">
      <c r="A46" s="191" t="s">
        <v>1068</v>
      </c>
      <c r="B46" t="s">
        <v>187</v>
      </c>
      <c r="C46" t="s">
        <v>1176</v>
      </c>
      <c r="D46" t="s">
        <v>79</v>
      </c>
      <c r="E46" t="s">
        <v>63</v>
      </c>
      <c r="F46" t="s">
        <v>1255</v>
      </c>
      <c r="G46" t="s">
        <v>1255</v>
      </c>
      <c r="H46" t="s">
        <v>1372</v>
      </c>
      <c r="I46" t="s">
        <v>1009</v>
      </c>
      <c r="J46" t="s">
        <v>1191</v>
      </c>
      <c r="K46" t="s">
        <v>1200</v>
      </c>
      <c r="L46" t="s">
        <v>1135</v>
      </c>
      <c r="M46" t="s">
        <v>1128</v>
      </c>
      <c r="N46" t="s">
        <v>1373</v>
      </c>
      <c r="O46" t="s">
        <v>1211</v>
      </c>
      <c r="P46" t="s">
        <v>1152</v>
      </c>
      <c r="Q46" t="s">
        <v>1307</v>
      </c>
      <c r="R46" t="s">
        <v>1374</v>
      </c>
      <c r="S46" t="s">
        <v>992</v>
      </c>
      <c r="T46" t="s">
        <v>1103</v>
      </c>
      <c r="U46" t="s">
        <v>1375</v>
      </c>
      <c r="V46" t="s">
        <v>991</v>
      </c>
      <c r="W46" t="s">
        <v>1104</v>
      </c>
      <c r="X46" t="s">
        <v>1048</v>
      </c>
      <c r="Y46" t="s">
        <v>908</v>
      </c>
      <c r="Z46" t="s">
        <v>945</v>
      </c>
      <c r="AA46" t="s">
        <v>934</v>
      </c>
      <c r="AB46" t="s">
        <v>968</v>
      </c>
      <c r="AC46" t="s">
        <v>1049</v>
      </c>
      <c r="AD46" t="s">
        <v>906</v>
      </c>
      <c r="AE46">
        <v>21.8</v>
      </c>
      <c r="AF46">
        <v>21.802200000000003</v>
      </c>
    </row>
    <row r="47" spans="1:32" x14ac:dyDescent="0.25">
      <c r="A47" s="191" t="s">
        <v>1376</v>
      </c>
      <c r="B47" t="s">
        <v>46</v>
      </c>
      <c r="C47" t="s">
        <v>1032</v>
      </c>
      <c r="D47" t="s">
        <v>48</v>
      </c>
      <c r="E47" t="s">
        <v>63</v>
      </c>
      <c r="F47" t="s">
        <v>1377</v>
      </c>
      <c r="G47" t="s">
        <v>1377</v>
      </c>
      <c r="H47" t="s">
        <v>1378</v>
      </c>
      <c r="I47" t="s">
        <v>989</v>
      </c>
      <c r="J47" t="s">
        <v>1197</v>
      </c>
      <c r="K47" t="s">
        <v>1200</v>
      </c>
      <c r="L47" t="s">
        <v>968</v>
      </c>
      <c r="M47" t="s">
        <v>1046</v>
      </c>
      <c r="N47" t="s">
        <v>1379</v>
      </c>
      <c r="O47" t="s">
        <v>921</v>
      </c>
      <c r="P47" t="s">
        <v>1380</v>
      </c>
      <c r="Q47" t="s">
        <v>1381</v>
      </c>
      <c r="R47" t="s">
        <v>1058</v>
      </c>
      <c r="S47" t="s">
        <v>1000</v>
      </c>
      <c r="T47" t="s">
        <v>1170</v>
      </c>
      <c r="U47" t="s">
        <v>1382</v>
      </c>
      <c r="V47" t="s">
        <v>918</v>
      </c>
      <c r="W47" t="s">
        <v>1047</v>
      </c>
      <c r="X47" t="s">
        <v>1043</v>
      </c>
      <c r="Y47" t="s">
        <v>1005</v>
      </c>
      <c r="Z47" t="s">
        <v>1029</v>
      </c>
      <c r="AA47" t="s">
        <v>1008</v>
      </c>
      <c r="AB47" t="s">
        <v>925</v>
      </c>
      <c r="AC47" t="s">
        <v>947</v>
      </c>
      <c r="AD47" t="s">
        <v>1383</v>
      </c>
      <c r="AE47">
        <v>21.599999999999998</v>
      </c>
      <c r="AF47">
        <v>21.5502</v>
      </c>
    </row>
    <row r="48" spans="1:32" x14ac:dyDescent="0.25">
      <c r="A48" s="194" t="s">
        <v>1384</v>
      </c>
      <c r="B48" t="s">
        <v>218</v>
      </c>
      <c r="C48" t="s">
        <v>1355</v>
      </c>
      <c r="D48" t="s">
        <v>79</v>
      </c>
      <c r="E48" t="s">
        <v>47</v>
      </c>
      <c r="F48" t="s">
        <v>1376</v>
      </c>
      <c r="G48" t="s">
        <v>1376</v>
      </c>
      <c r="H48" t="s">
        <v>1385</v>
      </c>
      <c r="I48" t="s">
        <v>1132</v>
      </c>
      <c r="J48" t="s">
        <v>1386</v>
      </c>
      <c r="K48" t="s">
        <v>1387</v>
      </c>
      <c r="L48" t="s">
        <v>908</v>
      </c>
      <c r="M48" t="s">
        <v>1005</v>
      </c>
      <c r="N48" t="s">
        <v>1266</v>
      </c>
      <c r="O48" t="s">
        <v>1044</v>
      </c>
      <c r="P48" t="s">
        <v>1207</v>
      </c>
      <c r="Q48" t="s">
        <v>984</v>
      </c>
      <c r="R48" t="s">
        <v>1192</v>
      </c>
      <c r="S48" t="s">
        <v>1012</v>
      </c>
      <c r="T48" t="s">
        <v>970</v>
      </c>
      <c r="U48" t="s">
        <v>1388</v>
      </c>
      <c r="V48" t="s">
        <v>918</v>
      </c>
      <c r="W48" t="s">
        <v>920</v>
      </c>
      <c r="X48" t="s">
        <v>1126</v>
      </c>
      <c r="Y48" t="s">
        <v>946</v>
      </c>
      <c r="Z48" t="s">
        <v>1029</v>
      </c>
      <c r="AA48" t="s">
        <v>1065</v>
      </c>
      <c r="AB48" t="s">
        <v>1049</v>
      </c>
      <c r="AC48" t="s">
        <v>1310</v>
      </c>
      <c r="AD48" t="s">
        <v>1389</v>
      </c>
      <c r="AE48">
        <v>21.500000000000004</v>
      </c>
      <c r="AF48">
        <v>21.503700000000002</v>
      </c>
    </row>
    <row r="49" spans="1:32" x14ac:dyDescent="0.25">
      <c r="A49" s="191" t="s">
        <v>1390</v>
      </c>
      <c r="B49" t="s">
        <v>1391</v>
      </c>
      <c r="C49" t="s">
        <v>1293</v>
      </c>
      <c r="D49" t="s">
        <v>148</v>
      </c>
      <c r="E49" t="s">
        <v>56</v>
      </c>
      <c r="F49" t="s">
        <v>930</v>
      </c>
      <c r="G49" t="s">
        <v>930</v>
      </c>
      <c r="H49" t="s">
        <v>1166</v>
      </c>
      <c r="I49" t="s">
        <v>915</v>
      </c>
      <c r="J49" t="s">
        <v>1392</v>
      </c>
      <c r="K49" t="s">
        <v>1268</v>
      </c>
      <c r="L49" t="s">
        <v>947</v>
      </c>
      <c r="M49" t="s">
        <v>1126</v>
      </c>
      <c r="N49" t="s">
        <v>1393</v>
      </c>
      <c r="O49" t="s">
        <v>1092</v>
      </c>
      <c r="P49" t="s">
        <v>1394</v>
      </c>
      <c r="Q49" t="s">
        <v>1395</v>
      </c>
      <c r="R49" t="s">
        <v>1396</v>
      </c>
      <c r="S49" t="s">
        <v>970</v>
      </c>
      <c r="T49" t="s">
        <v>1030</v>
      </c>
      <c r="U49" t="s">
        <v>1397</v>
      </c>
      <c r="V49" t="s">
        <v>1008</v>
      </c>
      <c r="W49" t="s">
        <v>1048</v>
      </c>
      <c r="X49" t="s">
        <v>1160</v>
      </c>
      <c r="Y49" t="s">
        <v>1063</v>
      </c>
      <c r="Z49" t="s">
        <v>1230</v>
      </c>
      <c r="AA49" t="s">
        <v>1065</v>
      </c>
      <c r="AB49" t="s">
        <v>908</v>
      </c>
      <c r="AC49" t="s">
        <v>1049</v>
      </c>
      <c r="AD49" t="s">
        <v>1398</v>
      </c>
      <c r="AE49">
        <v>21.400000000000002</v>
      </c>
      <c r="AF49">
        <v>21.423099999999998</v>
      </c>
    </row>
    <row r="50" spans="1:32" x14ac:dyDescent="0.25">
      <c r="A50" s="191" t="s">
        <v>1233</v>
      </c>
      <c r="B50" t="s">
        <v>82</v>
      </c>
      <c r="C50" t="s">
        <v>1084</v>
      </c>
      <c r="D50" t="s">
        <v>83</v>
      </c>
      <c r="E50" t="s">
        <v>47</v>
      </c>
      <c r="F50" t="s">
        <v>1399</v>
      </c>
      <c r="G50" t="s">
        <v>1177</v>
      </c>
      <c r="H50" t="s">
        <v>1097</v>
      </c>
      <c r="I50" t="s">
        <v>1026</v>
      </c>
      <c r="J50" t="s">
        <v>1191</v>
      </c>
      <c r="K50" t="s">
        <v>1337</v>
      </c>
      <c r="L50" t="s">
        <v>1135</v>
      </c>
      <c r="M50" t="s">
        <v>1010</v>
      </c>
      <c r="N50" t="s">
        <v>1400</v>
      </c>
      <c r="O50" t="s">
        <v>1081</v>
      </c>
      <c r="P50" t="s">
        <v>1009</v>
      </c>
      <c r="Q50" t="s">
        <v>1401</v>
      </c>
      <c r="R50" t="s">
        <v>1370</v>
      </c>
      <c r="S50" t="s">
        <v>1155</v>
      </c>
      <c r="T50" t="s">
        <v>1170</v>
      </c>
      <c r="U50" t="s">
        <v>1402</v>
      </c>
      <c r="V50" t="s">
        <v>918</v>
      </c>
      <c r="W50" t="s">
        <v>1081</v>
      </c>
      <c r="X50" t="s">
        <v>1005</v>
      </c>
      <c r="Y50" t="s">
        <v>979</v>
      </c>
      <c r="Z50" t="s">
        <v>1064</v>
      </c>
      <c r="AA50" t="s">
        <v>1008</v>
      </c>
      <c r="AB50" t="s">
        <v>1049</v>
      </c>
      <c r="AC50" t="s">
        <v>908</v>
      </c>
      <c r="AD50" t="s">
        <v>998</v>
      </c>
      <c r="AE50">
        <v>21.2</v>
      </c>
      <c r="AF50">
        <v>21.143000000000001</v>
      </c>
    </row>
    <row r="51" spans="1:32" x14ac:dyDescent="0.25">
      <c r="A51" s="191" t="s">
        <v>1403</v>
      </c>
      <c r="B51" t="s">
        <v>1404</v>
      </c>
      <c r="C51" t="s">
        <v>1084</v>
      </c>
      <c r="D51" t="s">
        <v>163</v>
      </c>
      <c r="E51" t="s">
        <v>47</v>
      </c>
      <c r="F51" t="s">
        <v>1165</v>
      </c>
      <c r="G51" t="s">
        <v>1165</v>
      </c>
      <c r="H51" t="s">
        <v>1224</v>
      </c>
      <c r="I51" t="s">
        <v>915</v>
      </c>
      <c r="J51" t="s">
        <v>1197</v>
      </c>
      <c r="K51" t="s">
        <v>1405</v>
      </c>
      <c r="L51" t="s">
        <v>968</v>
      </c>
      <c r="M51" t="s">
        <v>1043</v>
      </c>
      <c r="N51" t="s">
        <v>1406</v>
      </c>
      <c r="O51" t="s">
        <v>1059</v>
      </c>
      <c r="P51" t="s">
        <v>1207</v>
      </c>
      <c r="Q51" t="s">
        <v>983</v>
      </c>
      <c r="R51" t="s">
        <v>1339</v>
      </c>
      <c r="S51" t="s">
        <v>1000</v>
      </c>
      <c r="T51" t="s">
        <v>1329</v>
      </c>
      <c r="U51" t="s">
        <v>1407</v>
      </c>
      <c r="V51" t="s">
        <v>1064</v>
      </c>
      <c r="W51" t="s">
        <v>1043</v>
      </c>
      <c r="X51" t="s">
        <v>1044</v>
      </c>
      <c r="Y51" t="s">
        <v>1329</v>
      </c>
      <c r="Z51" t="s">
        <v>987</v>
      </c>
      <c r="AA51" t="s">
        <v>1094</v>
      </c>
      <c r="AB51" t="s">
        <v>1104</v>
      </c>
      <c r="AC51" t="s">
        <v>924</v>
      </c>
      <c r="AD51" t="s">
        <v>1408</v>
      </c>
      <c r="AE51">
        <v>21</v>
      </c>
      <c r="AF51">
        <v>21.077399999999997</v>
      </c>
    </row>
    <row r="52" spans="1:32" x14ac:dyDescent="0.25">
      <c r="A52" s="191" t="s">
        <v>1187</v>
      </c>
      <c r="B52" t="s">
        <v>1409</v>
      </c>
      <c r="C52" t="s">
        <v>1355</v>
      </c>
      <c r="D52" t="s">
        <v>83</v>
      </c>
      <c r="E52" t="s">
        <v>56</v>
      </c>
      <c r="F52" t="s">
        <v>1410</v>
      </c>
      <c r="G52" t="s">
        <v>1410</v>
      </c>
      <c r="H52" t="s">
        <v>926</v>
      </c>
      <c r="I52" t="s">
        <v>915</v>
      </c>
      <c r="J52" t="s">
        <v>1286</v>
      </c>
      <c r="K52" t="s">
        <v>1297</v>
      </c>
      <c r="L52" t="s">
        <v>946</v>
      </c>
      <c r="M52" t="s">
        <v>989</v>
      </c>
      <c r="N52" t="s">
        <v>1411</v>
      </c>
      <c r="O52" t="s">
        <v>1046</v>
      </c>
      <c r="P52" t="s">
        <v>943</v>
      </c>
      <c r="Q52" t="s">
        <v>1412</v>
      </c>
      <c r="R52" t="s">
        <v>1022</v>
      </c>
      <c r="S52" t="s">
        <v>925</v>
      </c>
      <c r="T52" t="s">
        <v>946</v>
      </c>
      <c r="U52" t="s">
        <v>1413</v>
      </c>
      <c r="V52" t="s">
        <v>987</v>
      </c>
      <c r="W52" t="s">
        <v>1135</v>
      </c>
      <c r="X52" t="s">
        <v>1155</v>
      </c>
      <c r="Y52" t="s">
        <v>919</v>
      </c>
      <c r="Z52" t="s">
        <v>987</v>
      </c>
      <c r="AA52" t="s">
        <v>991</v>
      </c>
      <c r="AB52" t="s">
        <v>1049</v>
      </c>
      <c r="AC52" t="s">
        <v>925</v>
      </c>
      <c r="AD52" t="s">
        <v>1408</v>
      </c>
      <c r="AE52">
        <v>21.1</v>
      </c>
      <c r="AF52">
        <v>21.195499999999999</v>
      </c>
    </row>
    <row r="53" spans="1:32" x14ac:dyDescent="0.25">
      <c r="A53" s="191" t="s">
        <v>1377</v>
      </c>
      <c r="B53" t="s">
        <v>189</v>
      </c>
      <c r="C53" t="s">
        <v>950</v>
      </c>
      <c r="D53" t="s">
        <v>1223</v>
      </c>
      <c r="E53" t="s">
        <v>47</v>
      </c>
      <c r="F53" t="s">
        <v>1414</v>
      </c>
      <c r="G53" t="s">
        <v>1414</v>
      </c>
      <c r="H53" t="s">
        <v>1550</v>
      </c>
      <c r="I53" t="s">
        <v>1059</v>
      </c>
      <c r="J53" t="s">
        <v>1360</v>
      </c>
      <c r="K53" t="s">
        <v>1297</v>
      </c>
      <c r="L53" t="s">
        <v>925</v>
      </c>
      <c r="M53" t="s">
        <v>1079</v>
      </c>
      <c r="N53" t="s">
        <v>1019</v>
      </c>
      <c r="O53" t="s">
        <v>1160</v>
      </c>
      <c r="P53" t="s">
        <v>915</v>
      </c>
      <c r="Q53" t="s">
        <v>1269</v>
      </c>
      <c r="R53" t="s">
        <v>1551</v>
      </c>
      <c r="S53" t="s">
        <v>1048</v>
      </c>
      <c r="T53" t="s">
        <v>1081</v>
      </c>
      <c r="U53" t="s">
        <v>1552</v>
      </c>
      <c r="V53" t="s">
        <v>1310</v>
      </c>
      <c r="W53" t="s">
        <v>1135</v>
      </c>
      <c r="X53" t="s">
        <v>1211</v>
      </c>
      <c r="Y53" t="s">
        <v>924</v>
      </c>
      <c r="Z53" t="s">
        <v>918</v>
      </c>
      <c r="AA53" t="s">
        <v>987</v>
      </c>
      <c r="AB53" t="s">
        <v>1195</v>
      </c>
      <c r="AC53" t="s">
        <v>1029</v>
      </c>
      <c r="AD53" t="s">
        <v>1553</v>
      </c>
      <c r="AE53">
        <v>17.599999999999998</v>
      </c>
      <c r="AF53">
        <v>17.6158</v>
      </c>
    </row>
    <row r="54" spans="1:32" x14ac:dyDescent="0.25">
      <c r="A54" s="191" t="s">
        <v>1422</v>
      </c>
      <c r="B54" t="s">
        <v>1423</v>
      </c>
      <c r="C54" t="s">
        <v>995</v>
      </c>
      <c r="D54" t="s">
        <v>1149</v>
      </c>
      <c r="E54" t="s">
        <v>47</v>
      </c>
      <c r="F54" t="s">
        <v>1293</v>
      </c>
      <c r="G54" t="s">
        <v>1293</v>
      </c>
      <c r="H54" t="s">
        <v>904</v>
      </c>
      <c r="I54" t="s">
        <v>1118</v>
      </c>
      <c r="J54" t="s">
        <v>1281</v>
      </c>
      <c r="K54" t="s">
        <v>1424</v>
      </c>
      <c r="L54" t="s">
        <v>1160</v>
      </c>
      <c r="M54" t="s">
        <v>982</v>
      </c>
      <c r="N54" t="s">
        <v>1425</v>
      </c>
      <c r="O54" t="s">
        <v>979</v>
      </c>
      <c r="P54" t="s">
        <v>1118</v>
      </c>
      <c r="Q54" t="s">
        <v>1426</v>
      </c>
      <c r="R54" t="s">
        <v>1130</v>
      </c>
      <c r="S54" t="s">
        <v>993</v>
      </c>
      <c r="T54" t="s">
        <v>964</v>
      </c>
      <c r="U54" t="s">
        <v>1427</v>
      </c>
      <c r="V54" t="s">
        <v>918</v>
      </c>
      <c r="W54" t="s">
        <v>1160</v>
      </c>
      <c r="X54" t="s">
        <v>1046</v>
      </c>
      <c r="Y54" t="s">
        <v>992</v>
      </c>
      <c r="Z54" t="s">
        <v>1064</v>
      </c>
      <c r="AA54" t="s">
        <v>1008</v>
      </c>
      <c r="AB54" t="s">
        <v>1104</v>
      </c>
      <c r="AC54" t="s">
        <v>1220</v>
      </c>
      <c r="AD54" t="s">
        <v>1087</v>
      </c>
      <c r="AE54">
        <v>21</v>
      </c>
      <c r="AF54">
        <v>21.040399999999998</v>
      </c>
    </row>
    <row r="55" spans="1:32" x14ac:dyDescent="0.25">
      <c r="A55" s="191" t="s">
        <v>1312</v>
      </c>
      <c r="B55" t="s">
        <v>476</v>
      </c>
      <c r="C55" t="s">
        <v>973</v>
      </c>
      <c r="D55" t="s">
        <v>85</v>
      </c>
      <c r="E55" t="s">
        <v>56</v>
      </c>
      <c r="F55" t="s">
        <v>1138</v>
      </c>
      <c r="G55" t="s">
        <v>1138</v>
      </c>
      <c r="H55" t="s">
        <v>1428</v>
      </c>
      <c r="I55" t="s">
        <v>988</v>
      </c>
      <c r="J55" t="s">
        <v>1429</v>
      </c>
      <c r="K55" t="s">
        <v>1287</v>
      </c>
      <c r="L55" t="s">
        <v>1104</v>
      </c>
      <c r="M55" t="s">
        <v>1128</v>
      </c>
      <c r="N55" t="s">
        <v>1206</v>
      </c>
      <c r="O55" t="s">
        <v>1211</v>
      </c>
      <c r="P55" t="s">
        <v>1152</v>
      </c>
      <c r="Q55" t="s">
        <v>1022</v>
      </c>
      <c r="R55" t="s">
        <v>1324</v>
      </c>
      <c r="S55" t="s">
        <v>1135</v>
      </c>
      <c r="T55" t="s">
        <v>1000</v>
      </c>
      <c r="U55" t="s">
        <v>1290</v>
      </c>
      <c r="V55" t="s">
        <v>969</v>
      </c>
      <c r="W55" t="s">
        <v>925</v>
      </c>
      <c r="X55" t="s">
        <v>964</v>
      </c>
      <c r="Y55" t="s">
        <v>1112</v>
      </c>
      <c r="Z55" t="s">
        <v>945</v>
      </c>
      <c r="AA55" t="s">
        <v>1119</v>
      </c>
      <c r="AB55" t="s">
        <v>993</v>
      </c>
      <c r="AC55" t="s">
        <v>1049</v>
      </c>
      <c r="AD55" t="s">
        <v>1430</v>
      </c>
      <c r="AE55">
        <v>20.6</v>
      </c>
      <c r="AF55">
        <v>20.642499999999998</v>
      </c>
    </row>
    <row r="56" spans="1:32" x14ac:dyDescent="0.25">
      <c r="A56" s="191" t="s">
        <v>1123</v>
      </c>
      <c r="B56" t="s">
        <v>91</v>
      </c>
      <c r="C56" t="s">
        <v>973</v>
      </c>
      <c r="D56" t="s">
        <v>77</v>
      </c>
      <c r="E56" t="s">
        <v>63</v>
      </c>
      <c r="F56" t="s">
        <v>1431</v>
      </c>
      <c r="G56" t="s">
        <v>1431</v>
      </c>
      <c r="H56" t="s">
        <v>1432</v>
      </c>
      <c r="I56" t="s">
        <v>1112</v>
      </c>
      <c r="J56" t="s">
        <v>1433</v>
      </c>
      <c r="K56" t="s">
        <v>1434</v>
      </c>
      <c r="L56" t="s">
        <v>979</v>
      </c>
      <c r="M56" t="s">
        <v>1035</v>
      </c>
      <c r="N56" t="s">
        <v>1435</v>
      </c>
      <c r="O56" t="s">
        <v>970</v>
      </c>
      <c r="P56" t="s">
        <v>921</v>
      </c>
      <c r="Q56" t="s">
        <v>1436</v>
      </c>
      <c r="R56" t="s">
        <v>1004</v>
      </c>
      <c r="S56" t="s">
        <v>992</v>
      </c>
      <c r="T56" t="s">
        <v>1228</v>
      </c>
      <c r="U56" t="s">
        <v>1437</v>
      </c>
      <c r="V56" t="s">
        <v>1065</v>
      </c>
      <c r="W56" t="s">
        <v>993</v>
      </c>
      <c r="X56" t="s">
        <v>1135</v>
      </c>
      <c r="Y56" t="s">
        <v>1047</v>
      </c>
      <c r="Z56" t="s">
        <v>1195</v>
      </c>
      <c r="AA56" t="s">
        <v>991</v>
      </c>
      <c r="AB56" t="s">
        <v>1135</v>
      </c>
      <c r="AC56" t="s">
        <v>1135</v>
      </c>
      <c r="AD56" t="s">
        <v>977</v>
      </c>
      <c r="AE56">
        <v>20.5</v>
      </c>
      <c r="AF56">
        <v>20.3794</v>
      </c>
    </row>
    <row r="57" spans="1:32" x14ac:dyDescent="0.25">
      <c r="A57" s="191" t="s">
        <v>1150</v>
      </c>
      <c r="B57" t="s">
        <v>130</v>
      </c>
      <c r="C57" t="s">
        <v>1084</v>
      </c>
      <c r="D57" t="s">
        <v>131</v>
      </c>
      <c r="E57" t="s">
        <v>63</v>
      </c>
      <c r="F57" t="s">
        <v>1322</v>
      </c>
      <c r="G57" t="s">
        <v>1438</v>
      </c>
      <c r="H57" t="s">
        <v>1363</v>
      </c>
      <c r="I57" t="s">
        <v>1116</v>
      </c>
      <c r="J57" t="s">
        <v>1439</v>
      </c>
      <c r="K57" t="s">
        <v>1440</v>
      </c>
      <c r="L57" t="s">
        <v>964</v>
      </c>
      <c r="M57" t="s">
        <v>915</v>
      </c>
      <c r="N57" t="s">
        <v>1441</v>
      </c>
      <c r="O57" t="s">
        <v>1160</v>
      </c>
      <c r="P57" t="s">
        <v>1118</v>
      </c>
      <c r="Q57" t="s">
        <v>1004</v>
      </c>
      <c r="R57" t="s">
        <v>1442</v>
      </c>
      <c r="S57" t="s">
        <v>1030</v>
      </c>
      <c r="T57" t="s">
        <v>919</v>
      </c>
      <c r="U57" t="s">
        <v>1443</v>
      </c>
      <c r="V57" t="s">
        <v>1094</v>
      </c>
      <c r="W57" t="s">
        <v>1000</v>
      </c>
      <c r="X57" t="s">
        <v>1030</v>
      </c>
      <c r="Y57" t="s">
        <v>1047</v>
      </c>
      <c r="Z57" t="s">
        <v>918</v>
      </c>
      <c r="AA57" t="s">
        <v>934</v>
      </c>
      <c r="AB57" t="s">
        <v>924</v>
      </c>
      <c r="AC57" t="s">
        <v>908</v>
      </c>
      <c r="AD57" t="s">
        <v>1036</v>
      </c>
      <c r="AE57">
        <v>20.399999999999999</v>
      </c>
      <c r="AF57">
        <v>20.300799999999999</v>
      </c>
    </row>
    <row r="58" spans="1:32" x14ac:dyDescent="0.25">
      <c r="A58" s="194" t="s">
        <v>874</v>
      </c>
      <c r="B58" t="s">
        <v>171</v>
      </c>
      <c r="C58" t="s">
        <v>875</v>
      </c>
      <c r="D58" t="s">
        <v>172</v>
      </c>
      <c r="E58" t="s">
        <v>876</v>
      </c>
      <c r="F58" t="s">
        <v>392</v>
      </c>
      <c r="G58" t="s">
        <v>877</v>
      </c>
      <c r="H58" t="s">
        <v>878</v>
      </c>
      <c r="I58" t="s">
        <v>879</v>
      </c>
      <c r="J58" t="s">
        <v>880</v>
      </c>
      <c r="K58" t="s">
        <v>881</v>
      </c>
      <c r="L58" t="s">
        <v>882</v>
      </c>
      <c r="M58" t="s">
        <v>883</v>
      </c>
      <c r="N58" t="s">
        <v>884</v>
      </c>
      <c r="O58" t="s">
        <v>885</v>
      </c>
      <c r="P58" t="s">
        <v>886</v>
      </c>
      <c r="Q58" t="s">
        <v>887</v>
      </c>
      <c r="R58" t="s">
        <v>888</v>
      </c>
      <c r="S58" t="s">
        <v>889</v>
      </c>
      <c r="T58" t="s">
        <v>890</v>
      </c>
      <c r="U58" t="s">
        <v>891</v>
      </c>
      <c r="V58" t="s">
        <v>892</v>
      </c>
      <c r="W58" t="s">
        <v>893</v>
      </c>
      <c r="X58" t="s">
        <v>894</v>
      </c>
      <c r="Y58" t="s">
        <v>895</v>
      </c>
      <c r="Z58" t="s">
        <v>896</v>
      </c>
      <c r="AA58" t="s">
        <v>897</v>
      </c>
      <c r="AB58" t="s">
        <v>898</v>
      </c>
      <c r="AC58" t="s">
        <v>93</v>
      </c>
      <c r="AD58" t="s">
        <v>899</v>
      </c>
      <c r="AE58" t="e">
        <v>#VALUE!</v>
      </c>
      <c r="AF58" t="e">
        <v>#VALUE!</v>
      </c>
    </row>
    <row r="59" spans="1:32" x14ac:dyDescent="0.25">
      <c r="A59" s="191" t="s">
        <v>1444</v>
      </c>
      <c r="B59" t="s">
        <v>1445</v>
      </c>
      <c r="C59" t="s">
        <v>902</v>
      </c>
      <c r="D59" t="s">
        <v>1149</v>
      </c>
      <c r="E59" t="s">
        <v>93</v>
      </c>
      <c r="F59" t="s">
        <v>1446</v>
      </c>
      <c r="G59" t="s">
        <v>1446</v>
      </c>
      <c r="H59" t="s">
        <v>1447</v>
      </c>
      <c r="I59" t="s">
        <v>1118</v>
      </c>
      <c r="J59" t="s">
        <v>1357</v>
      </c>
      <c r="K59" t="s">
        <v>1448</v>
      </c>
      <c r="L59" t="s">
        <v>925</v>
      </c>
      <c r="M59" t="s">
        <v>1023</v>
      </c>
      <c r="N59" t="s">
        <v>1449</v>
      </c>
      <c r="O59" t="s">
        <v>1005</v>
      </c>
      <c r="P59" t="s">
        <v>1450</v>
      </c>
      <c r="Q59" t="s">
        <v>1235</v>
      </c>
      <c r="R59" t="s">
        <v>1451</v>
      </c>
      <c r="S59" t="s">
        <v>979</v>
      </c>
      <c r="T59" t="s">
        <v>1228</v>
      </c>
      <c r="U59" t="s">
        <v>1452</v>
      </c>
      <c r="V59" t="s">
        <v>1064</v>
      </c>
      <c r="W59" t="s">
        <v>921</v>
      </c>
      <c r="X59" t="s">
        <v>1028</v>
      </c>
      <c r="Y59" t="s">
        <v>1160</v>
      </c>
      <c r="Z59" t="s">
        <v>1008</v>
      </c>
      <c r="AA59" t="s">
        <v>1008</v>
      </c>
      <c r="AB59" t="s">
        <v>908</v>
      </c>
      <c r="AC59" t="s">
        <v>1310</v>
      </c>
      <c r="AD59" t="s">
        <v>1054</v>
      </c>
      <c r="AE59">
        <v>20.3</v>
      </c>
      <c r="AF59">
        <v>20.312999999999999</v>
      </c>
    </row>
    <row r="60" spans="1:32" x14ac:dyDescent="0.25">
      <c r="A60" s="191" t="s">
        <v>1453</v>
      </c>
      <c r="B60" t="s">
        <v>304</v>
      </c>
      <c r="C60" t="s">
        <v>902</v>
      </c>
      <c r="D60" t="s">
        <v>1014</v>
      </c>
      <c r="E60" t="s">
        <v>63</v>
      </c>
      <c r="F60" t="s">
        <v>1438</v>
      </c>
      <c r="G60" t="s">
        <v>1438</v>
      </c>
      <c r="H60" t="s">
        <v>1234</v>
      </c>
      <c r="I60" t="s">
        <v>940</v>
      </c>
      <c r="J60" t="s">
        <v>1454</v>
      </c>
      <c r="K60" t="s">
        <v>1455</v>
      </c>
      <c r="L60" t="s">
        <v>1220</v>
      </c>
      <c r="M60" t="s">
        <v>1118</v>
      </c>
      <c r="N60" t="s">
        <v>1456</v>
      </c>
      <c r="O60" t="s">
        <v>1155</v>
      </c>
      <c r="P60" t="s">
        <v>1116</v>
      </c>
      <c r="Q60" t="s">
        <v>1042</v>
      </c>
      <c r="R60" t="s">
        <v>1401</v>
      </c>
      <c r="S60" t="s">
        <v>1103</v>
      </c>
      <c r="T60" t="s">
        <v>920</v>
      </c>
      <c r="U60" t="s">
        <v>1457</v>
      </c>
      <c r="V60" t="s">
        <v>987</v>
      </c>
      <c r="W60" t="s">
        <v>1030</v>
      </c>
      <c r="X60" t="s">
        <v>1047</v>
      </c>
      <c r="Y60" t="s">
        <v>1079</v>
      </c>
      <c r="Z60" t="s">
        <v>1064</v>
      </c>
      <c r="AA60" t="s">
        <v>1094</v>
      </c>
      <c r="AB60" t="s">
        <v>924</v>
      </c>
      <c r="AC60" t="s">
        <v>908</v>
      </c>
      <c r="AD60" t="s">
        <v>1458</v>
      </c>
      <c r="AE60">
        <v>20.100000000000001</v>
      </c>
      <c r="AF60">
        <v>20.189900000000002</v>
      </c>
    </row>
    <row r="61" spans="1:32" x14ac:dyDescent="0.25">
      <c r="A61" s="191" t="s">
        <v>975</v>
      </c>
      <c r="B61" t="s">
        <v>280</v>
      </c>
      <c r="C61" t="s">
        <v>929</v>
      </c>
      <c r="D61" t="s">
        <v>170</v>
      </c>
      <c r="E61" t="s">
        <v>93</v>
      </c>
      <c r="F61" t="s">
        <v>1459</v>
      </c>
      <c r="G61" t="s">
        <v>1459</v>
      </c>
      <c r="H61" t="s">
        <v>926</v>
      </c>
      <c r="I61" t="s">
        <v>915</v>
      </c>
      <c r="J61" t="s">
        <v>1460</v>
      </c>
      <c r="K61" t="s">
        <v>907</v>
      </c>
      <c r="L61" t="s">
        <v>1029</v>
      </c>
      <c r="M61" t="s">
        <v>1081</v>
      </c>
      <c r="N61" t="s">
        <v>1461</v>
      </c>
      <c r="O61" t="s">
        <v>985</v>
      </c>
      <c r="P61" t="s">
        <v>1253</v>
      </c>
      <c r="Q61" t="s">
        <v>1462</v>
      </c>
      <c r="R61" t="s">
        <v>1227</v>
      </c>
      <c r="S61" t="s">
        <v>964</v>
      </c>
      <c r="T61" t="s">
        <v>1160</v>
      </c>
      <c r="U61" t="s">
        <v>1463</v>
      </c>
      <c r="V61" t="s">
        <v>922</v>
      </c>
      <c r="W61" t="s">
        <v>962</v>
      </c>
      <c r="X61" t="s">
        <v>1116</v>
      </c>
      <c r="Y61" t="s">
        <v>1000</v>
      </c>
      <c r="Z61" t="s">
        <v>918</v>
      </c>
      <c r="AA61" t="s">
        <v>1065</v>
      </c>
      <c r="AB61" t="s">
        <v>1230</v>
      </c>
      <c r="AC61" t="s">
        <v>924</v>
      </c>
      <c r="AD61" t="s">
        <v>1458</v>
      </c>
      <c r="AE61">
        <v>20.3</v>
      </c>
      <c r="AF61">
        <v>20.259999999999998</v>
      </c>
    </row>
    <row r="62" spans="1:32" x14ac:dyDescent="0.25">
      <c r="A62" s="191" t="s">
        <v>1177</v>
      </c>
      <c r="B62" t="s">
        <v>1464</v>
      </c>
      <c r="C62" t="s">
        <v>950</v>
      </c>
      <c r="D62" t="s">
        <v>113</v>
      </c>
      <c r="E62" t="s">
        <v>72</v>
      </c>
      <c r="F62" t="s">
        <v>1187</v>
      </c>
      <c r="G62" t="s">
        <v>1187</v>
      </c>
      <c r="H62" t="s">
        <v>1465</v>
      </c>
      <c r="I62" t="s">
        <v>1006</v>
      </c>
      <c r="J62" t="s">
        <v>1360</v>
      </c>
      <c r="K62" t="s">
        <v>1466</v>
      </c>
      <c r="L62" t="s">
        <v>993</v>
      </c>
      <c r="M62" t="s">
        <v>1063</v>
      </c>
      <c r="N62" t="s">
        <v>1467</v>
      </c>
      <c r="O62" t="s">
        <v>919</v>
      </c>
      <c r="P62" t="s">
        <v>990</v>
      </c>
      <c r="Q62" t="s">
        <v>1058</v>
      </c>
      <c r="R62" t="s">
        <v>1227</v>
      </c>
      <c r="S62" t="s">
        <v>1155</v>
      </c>
      <c r="T62" t="s">
        <v>957</v>
      </c>
      <c r="U62" t="s">
        <v>1468</v>
      </c>
      <c r="V62" t="s">
        <v>1029</v>
      </c>
      <c r="W62" t="s">
        <v>1005</v>
      </c>
      <c r="X62" t="s">
        <v>1172</v>
      </c>
      <c r="Y62" t="s">
        <v>908</v>
      </c>
      <c r="Z62" t="s">
        <v>1008</v>
      </c>
      <c r="AA62" t="s">
        <v>1310</v>
      </c>
      <c r="AB62" t="s">
        <v>1195</v>
      </c>
      <c r="AC62" t="s">
        <v>1104</v>
      </c>
      <c r="AD62" t="s">
        <v>954</v>
      </c>
      <c r="AE62">
        <v>19.5</v>
      </c>
      <c r="AF62">
        <v>19.488099999999999</v>
      </c>
    </row>
    <row r="63" spans="1:32" x14ac:dyDescent="0.25">
      <c r="A63" s="194" t="s">
        <v>1085</v>
      </c>
      <c r="B63" t="s">
        <v>162</v>
      </c>
      <c r="C63" t="s">
        <v>1032</v>
      </c>
      <c r="D63" t="s">
        <v>163</v>
      </c>
      <c r="E63" t="s">
        <v>93</v>
      </c>
      <c r="F63" t="s">
        <v>1107</v>
      </c>
      <c r="G63" t="s">
        <v>1107</v>
      </c>
      <c r="H63" t="s">
        <v>1469</v>
      </c>
      <c r="I63" t="s">
        <v>1118</v>
      </c>
      <c r="J63" t="s">
        <v>1345</v>
      </c>
      <c r="K63" t="s">
        <v>1319</v>
      </c>
      <c r="L63" t="s">
        <v>945</v>
      </c>
      <c r="M63" t="s">
        <v>1170</v>
      </c>
      <c r="N63" t="s">
        <v>1470</v>
      </c>
      <c r="O63" t="s">
        <v>1059</v>
      </c>
      <c r="P63" t="s">
        <v>1380</v>
      </c>
      <c r="Q63" t="s">
        <v>1471</v>
      </c>
      <c r="R63" t="s">
        <v>1420</v>
      </c>
      <c r="S63" t="s">
        <v>979</v>
      </c>
      <c r="T63" t="s">
        <v>1211</v>
      </c>
      <c r="U63" t="s">
        <v>1472</v>
      </c>
      <c r="V63" t="s">
        <v>922</v>
      </c>
      <c r="W63" t="s">
        <v>1063</v>
      </c>
      <c r="X63" t="s">
        <v>990</v>
      </c>
      <c r="Y63" t="s">
        <v>1079</v>
      </c>
      <c r="Z63" t="s">
        <v>1230</v>
      </c>
      <c r="AA63" t="s">
        <v>923</v>
      </c>
      <c r="AB63" t="s">
        <v>1104</v>
      </c>
      <c r="AC63" t="s">
        <v>922</v>
      </c>
      <c r="AD63" t="s">
        <v>1473</v>
      </c>
      <c r="AE63">
        <v>19.299999999999997</v>
      </c>
      <c r="AF63">
        <v>19.262499999999996</v>
      </c>
    </row>
    <row r="64" spans="1:32" x14ac:dyDescent="0.25">
      <c r="A64" s="191" t="s">
        <v>1399</v>
      </c>
      <c r="B64" t="s">
        <v>94</v>
      </c>
      <c r="C64" t="s">
        <v>973</v>
      </c>
      <c r="D64" t="s">
        <v>95</v>
      </c>
      <c r="E64" t="s">
        <v>63</v>
      </c>
      <c r="F64" t="s">
        <v>951</v>
      </c>
      <c r="G64" t="s">
        <v>951</v>
      </c>
      <c r="H64" t="s">
        <v>926</v>
      </c>
      <c r="I64" t="s">
        <v>1172</v>
      </c>
      <c r="J64" t="s">
        <v>912</v>
      </c>
      <c r="K64" t="s">
        <v>1474</v>
      </c>
      <c r="L64" t="s">
        <v>946</v>
      </c>
      <c r="M64" t="s">
        <v>1182</v>
      </c>
      <c r="N64" t="s">
        <v>1475</v>
      </c>
      <c r="O64" t="s">
        <v>1155</v>
      </c>
      <c r="P64" t="s">
        <v>1009</v>
      </c>
      <c r="Q64" t="s">
        <v>1476</v>
      </c>
      <c r="R64" t="s">
        <v>1101</v>
      </c>
      <c r="S64" t="s">
        <v>993</v>
      </c>
      <c r="T64" t="s">
        <v>1104</v>
      </c>
      <c r="U64" t="s">
        <v>1443</v>
      </c>
      <c r="V64" t="s">
        <v>991</v>
      </c>
      <c r="W64" t="s">
        <v>947</v>
      </c>
      <c r="X64" t="s">
        <v>1220</v>
      </c>
      <c r="Y64" t="s">
        <v>1134</v>
      </c>
      <c r="Z64" t="s">
        <v>918</v>
      </c>
      <c r="AA64" t="s">
        <v>1119</v>
      </c>
      <c r="AB64" t="s">
        <v>956</v>
      </c>
      <c r="AC64" t="s">
        <v>922</v>
      </c>
      <c r="AD64" t="s">
        <v>1473</v>
      </c>
      <c r="AE64">
        <v>19.2</v>
      </c>
      <c r="AF64">
        <v>19.321300000000001</v>
      </c>
    </row>
    <row r="65" spans="1:32" x14ac:dyDescent="0.25">
      <c r="A65" s="191" t="s">
        <v>1477</v>
      </c>
      <c r="B65" t="s">
        <v>194</v>
      </c>
      <c r="C65" t="s">
        <v>902</v>
      </c>
      <c r="D65" t="s">
        <v>156</v>
      </c>
      <c r="E65" t="s">
        <v>63</v>
      </c>
      <c r="F65" t="s">
        <v>1377</v>
      </c>
      <c r="G65" t="s">
        <v>1431</v>
      </c>
      <c r="H65" t="s">
        <v>1151</v>
      </c>
      <c r="I65" t="s">
        <v>1128</v>
      </c>
      <c r="J65" t="s">
        <v>960</v>
      </c>
      <c r="K65" t="s">
        <v>1200</v>
      </c>
      <c r="L65" t="s">
        <v>924</v>
      </c>
      <c r="M65" t="s">
        <v>1059</v>
      </c>
      <c r="N65" t="s">
        <v>1478</v>
      </c>
      <c r="O65" t="s">
        <v>1134</v>
      </c>
      <c r="P65" t="s">
        <v>1062</v>
      </c>
      <c r="Q65" t="s">
        <v>1370</v>
      </c>
      <c r="R65" t="s">
        <v>1288</v>
      </c>
      <c r="S65" t="s">
        <v>1012</v>
      </c>
      <c r="T65" t="s">
        <v>964</v>
      </c>
      <c r="U65" t="s">
        <v>1145</v>
      </c>
      <c r="V65" t="s">
        <v>918</v>
      </c>
      <c r="W65" t="s">
        <v>962</v>
      </c>
      <c r="X65" t="s">
        <v>1059</v>
      </c>
      <c r="Y65" t="s">
        <v>1043</v>
      </c>
      <c r="Z65" t="s">
        <v>945</v>
      </c>
      <c r="AA65" t="s">
        <v>991</v>
      </c>
      <c r="AB65" t="s">
        <v>924</v>
      </c>
      <c r="AC65" t="s">
        <v>924</v>
      </c>
      <c r="AD65" t="s">
        <v>1479</v>
      </c>
      <c r="AE65">
        <v>19.2</v>
      </c>
      <c r="AF65">
        <v>19.301400000000005</v>
      </c>
    </row>
    <row r="66" spans="1:32" x14ac:dyDescent="0.25">
      <c r="A66" s="191" t="s">
        <v>1480</v>
      </c>
      <c r="B66" t="s">
        <v>282</v>
      </c>
      <c r="C66" t="s">
        <v>1015</v>
      </c>
      <c r="D66" t="s">
        <v>121</v>
      </c>
      <c r="E66" t="s">
        <v>72</v>
      </c>
      <c r="F66" t="s">
        <v>951</v>
      </c>
      <c r="G66" t="s">
        <v>951</v>
      </c>
      <c r="H66" t="s">
        <v>1481</v>
      </c>
      <c r="I66" t="s">
        <v>1028</v>
      </c>
      <c r="J66" t="s">
        <v>1244</v>
      </c>
      <c r="K66" t="s">
        <v>1482</v>
      </c>
      <c r="L66" t="s">
        <v>918</v>
      </c>
      <c r="M66" t="s">
        <v>925</v>
      </c>
      <c r="N66" t="s">
        <v>958</v>
      </c>
      <c r="O66" t="s">
        <v>1006</v>
      </c>
      <c r="P66" t="s">
        <v>1483</v>
      </c>
      <c r="Q66" t="s">
        <v>961</v>
      </c>
      <c r="R66" t="s">
        <v>961</v>
      </c>
      <c r="S66" t="s">
        <v>946</v>
      </c>
      <c r="T66" t="s">
        <v>919</v>
      </c>
      <c r="U66" t="s">
        <v>1484</v>
      </c>
      <c r="V66" t="s">
        <v>1155</v>
      </c>
      <c r="W66" t="s">
        <v>1040</v>
      </c>
      <c r="X66" t="s">
        <v>1129</v>
      </c>
      <c r="Y66" t="s">
        <v>1063</v>
      </c>
      <c r="Z66" t="s">
        <v>1008</v>
      </c>
      <c r="AA66" t="s">
        <v>991</v>
      </c>
      <c r="AB66" t="s">
        <v>964</v>
      </c>
      <c r="AC66" t="s">
        <v>970</v>
      </c>
      <c r="AD66" t="s">
        <v>1485</v>
      </c>
      <c r="AE66">
        <v>19</v>
      </c>
      <c r="AF66">
        <v>19.136000000000003</v>
      </c>
    </row>
    <row r="67" spans="1:32" x14ac:dyDescent="0.25">
      <c r="A67" s="191" t="s">
        <v>1438</v>
      </c>
      <c r="B67" t="s">
        <v>317</v>
      </c>
      <c r="C67" t="s">
        <v>1343</v>
      </c>
      <c r="D67" t="s">
        <v>1223</v>
      </c>
      <c r="E67" t="s">
        <v>47</v>
      </c>
      <c r="F67" t="s">
        <v>929</v>
      </c>
      <c r="G67" t="s">
        <v>929</v>
      </c>
      <c r="H67" t="s">
        <v>926</v>
      </c>
      <c r="I67" t="s">
        <v>1043</v>
      </c>
      <c r="J67" t="s">
        <v>1368</v>
      </c>
      <c r="K67" t="s">
        <v>1249</v>
      </c>
      <c r="L67" t="s">
        <v>969</v>
      </c>
      <c r="M67" t="s">
        <v>947</v>
      </c>
      <c r="N67" t="s">
        <v>1572</v>
      </c>
      <c r="O67" t="s">
        <v>957</v>
      </c>
      <c r="P67" t="s">
        <v>1024</v>
      </c>
      <c r="Q67" t="s">
        <v>1239</v>
      </c>
      <c r="R67" t="s">
        <v>1340</v>
      </c>
      <c r="S67" t="s">
        <v>1112</v>
      </c>
      <c r="T67" t="s">
        <v>990</v>
      </c>
      <c r="U67" t="s">
        <v>1452</v>
      </c>
      <c r="V67" t="s">
        <v>947</v>
      </c>
      <c r="W67" t="s">
        <v>1048</v>
      </c>
      <c r="X67" t="s">
        <v>1291</v>
      </c>
      <c r="Y67" t="s">
        <v>1126</v>
      </c>
      <c r="Z67" t="s">
        <v>922</v>
      </c>
      <c r="AA67" t="s">
        <v>1094</v>
      </c>
      <c r="AB67" t="s">
        <v>1310</v>
      </c>
      <c r="AC67" t="s">
        <v>923</v>
      </c>
      <c r="AD67" t="s">
        <v>1286</v>
      </c>
      <c r="AE67">
        <v>17.899999999999999</v>
      </c>
      <c r="AF67">
        <v>17.881700000000002</v>
      </c>
    </row>
    <row r="68" spans="1:32" x14ac:dyDescent="0.25">
      <c r="A68" s="191" t="s">
        <v>1489</v>
      </c>
      <c r="B68" t="s">
        <v>1490</v>
      </c>
      <c r="C68" t="s">
        <v>1293</v>
      </c>
      <c r="D68" t="s">
        <v>45</v>
      </c>
      <c r="E68" t="s">
        <v>93</v>
      </c>
      <c r="F68" t="s">
        <v>1233</v>
      </c>
      <c r="G68" t="s">
        <v>1176</v>
      </c>
      <c r="H68" t="s">
        <v>1491</v>
      </c>
      <c r="I68" t="s">
        <v>1023</v>
      </c>
      <c r="J68" t="s">
        <v>1316</v>
      </c>
      <c r="K68" t="s">
        <v>1074</v>
      </c>
      <c r="L68" t="s">
        <v>1310</v>
      </c>
      <c r="M68" t="s">
        <v>1030</v>
      </c>
      <c r="N68" t="s">
        <v>1492</v>
      </c>
      <c r="O68" t="s">
        <v>1291</v>
      </c>
      <c r="P68" t="s">
        <v>980</v>
      </c>
      <c r="Q68" t="s">
        <v>1493</v>
      </c>
      <c r="R68" t="s">
        <v>1494</v>
      </c>
      <c r="S68" t="s">
        <v>979</v>
      </c>
      <c r="T68" t="s">
        <v>919</v>
      </c>
      <c r="U68" t="s">
        <v>1495</v>
      </c>
      <c r="V68" t="s">
        <v>925</v>
      </c>
      <c r="W68" t="s">
        <v>1063</v>
      </c>
      <c r="X68" t="s">
        <v>989</v>
      </c>
      <c r="Y68" t="s">
        <v>956</v>
      </c>
      <c r="Z68" t="s">
        <v>923</v>
      </c>
      <c r="AA68" t="s">
        <v>923</v>
      </c>
      <c r="AB68" t="s">
        <v>1012</v>
      </c>
      <c r="AC68" t="s">
        <v>964</v>
      </c>
      <c r="AD68" t="s">
        <v>1496</v>
      </c>
      <c r="AE68">
        <v>19</v>
      </c>
      <c r="AF68">
        <v>18.984100000000002</v>
      </c>
    </row>
    <row r="69" spans="1:32" x14ac:dyDescent="0.25">
      <c r="A69" s="191" t="s">
        <v>1165</v>
      </c>
      <c r="B69" t="s">
        <v>1497</v>
      </c>
      <c r="C69" t="s">
        <v>1293</v>
      </c>
      <c r="D69" t="s">
        <v>45</v>
      </c>
      <c r="E69" t="s">
        <v>93</v>
      </c>
      <c r="F69" t="s">
        <v>1150</v>
      </c>
      <c r="G69" t="s">
        <v>1150</v>
      </c>
      <c r="H69" t="s">
        <v>1272</v>
      </c>
      <c r="I69" t="s">
        <v>1044</v>
      </c>
      <c r="J69" t="s">
        <v>1498</v>
      </c>
      <c r="K69" t="s">
        <v>1419</v>
      </c>
      <c r="L69" t="s">
        <v>964</v>
      </c>
      <c r="M69" t="s">
        <v>1182</v>
      </c>
      <c r="N69" t="s">
        <v>1499</v>
      </c>
      <c r="O69" t="s">
        <v>1000</v>
      </c>
      <c r="P69" t="s">
        <v>921</v>
      </c>
      <c r="Q69" t="s">
        <v>1144</v>
      </c>
      <c r="R69" t="s">
        <v>1101</v>
      </c>
      <c r="S69" t="s">
        <v>1000</v>
      </c>
      <c r="T69" t="s">
        <v>1160</v>
      </c>
      <c r="U69" t="s">
        <v>1500</v>
      </c>
      <c r="V69" t="s">
        <v>1310</v>
      </c>
      <c r="W69" t="s">
        <v>1103</v>
      </c>
      <c r="X69" t="s">
        <v>1126</v>
      </c>
      <c r="Y69" t="s">
        <v>1310</v>
      </c>
      <c r="Z69" t="s">
        <v>1008</v>
      </c>
      <c r="AA69" t="s">
        <v>991</v>
      </c>
      <c r="AB69" t="s">
        <v>1230</v>
      </c>
      <c r="AC69" t="s">
        <v>922</v>
      </c>
      <c r="AD69" t="s">
        <v>1496</v>
      </c>
      <c r="AE69">
        <v>18.899999999999999</v>
      </c>
      <c r="AF69">
        <v>18.959400000000002</v>
      </c>
    </row>
    <row r="70" spans="1:32" x14ac:dyDescent="0.25">
      <c r="A70" s="191" t="s">
        <v>1501</v>
      </c>
      <c r="B70" t="s">
        <v>1502</v>
      </c>
      <c r="C70" t="s">
        <v>1032</v>
      </c>
      <c r="D70" t="s">
        <v>111</v>
      </c>
      <c r="E70" t="s">
        <v>47</v>
      </c>
      <c r="F70" t="s">
        <v>1068</v>
      </c>
      <c r="G70" t="s">
        <v>1068</v>
      </c>
      <c r="H70" t="s">
        <v>996</v>
      </c>
      <c r="I70" t="s">
        <v>1028</v>
      </c>
      <c r="J70" t="s">
        <v>1439</v>
      </c>
      <c r="K70" t="s">
        <v>1131</v>
      </c>
      <c r="L70" t="s">
        <v>945</v>
      </c>
      <c r="M70" t="s">
        <v>1160</v>
      </c>
      <c r="N70" t="s">
        <v>1503</v>
      </c>
      <c r="O70" t="s">
        <v>1044</v>
      </c>
      <c r="P70" t="s">
        <v>1368</v>
      </c>
      <c r="Q70" t="s">
        <v>1504</v>
      </c>
      <c r="R70" t="s">
        <v>1369</v>
      </c>
      <c r="S70" t="s">
        <v>1012</v>
      </c>
      <c r="T70" t="s">
        <v>979</v>
      </c>
      <c r="U70" t="s">
        <v>1505</v>
      </c>
      <c r="V70" t="s">
        <v>922</v>
      </c>
      <c r="W70" t="s">
        <v>1010</v>
      </c>
      <c r="X70" t="s">
        <v>1450</v>
      </c>
      <c r="Y70" t="s">
        <v>920</v>
      </c>
      <c r="Z70" t="s">
        <v>1029</v>
      </c>
      <c r="AA70" t="s">
        <v>923</v>
      </c>
      <c r="AB70" t="s">
        <v>964</v>
      </c>
      <c r="AC70" t="s">
        <v>1049</v>
      </c>
      <c r="AD70" t="s">
        <v>1140</v>
      </c>
      <c r="AE70">
        <v>18.8</v>
      </c>
      <c r="AF70">
        <v>18.939799999999998</v>
      </c>
    </row>
    <row r="71" spans="1:32" x14ac:dyDescent="0.25">
      <c r="A71" s="191" t="s">
        <v>1255</v>
      </c>
      <c r="B71" t="s">
        <v>1506</v>
      </c>
      <c r="C71" t="s">
        <v>1015</v>
      </c>
      <c r="D71" t="s">
        <v>1279</v>
      </c>
      <c r="E71" t="s">
        <v>93</v>
      </c>
      <c r="F71" t="s">
        <v>1489</v>
      </c>
      <c r="G71" t="s">
        <v>1489</v>
      </c>
      <c r="H71" t="s">
        <v>1507</v>
      </c>
      <c r="I71" t="s">
        <v>985</v>
      </c>
      <c r="J71" t="s">
        <v>1508</v>
      </c>
      <c r="K71" t="s">
        <v>1426</v>
      </c>
      <c r="L71" t="s">
        <v>1104</v>
      </c>
      <c r="M71" t="s">
        <v>1026</v>
      </c>
      <c r="N71" t="s">
        <v>1509</v>
      </c>
      <c r="O71" t="s">
        <v>1000</v>
      </c>
      <c r="P71" t="s">
        <v>1126</v>
      </c>
      <c r="Q71" t="s">
        <v>1374</v>
      </c>
      <c r="R71" t="s">
        <v>1510</v>
      </c>
      <c r="S71" t="s">
        <v>979</v>
      </c>
      <c r="T71" t="s">
        <v>1160</v>
      </c>
      <c r="U71" t="s">
        <v>1511</v>
      </c>
      <c r="V71" t="s">
        <v>918</v>
      </c>
      <c r="W71" t="s">
        <v>1000</v>
      </c>
      <c r="X71" t="s">
        <v>1170</v>
      </c>
      <c r="Y71" t="s">
        <v>1000</v>
      </c>
      <c r="Z71" t="s">
        <v>918</v>
      </c>
      <c r="AA71" t="s">
        <v>991</v>
      </c>
      <c r="AB71" t="s">
        <v>922</v>
      </c>
      <c r="AC71" t="s">
        <v>968</v>
      </c>
      <c r="AD71" t="s">
        <v>1304</v>
      </c>
      <c r="AE71">
        <v>18.7</v>
      </c>
      <c r="AF71">
        <v>18.7271</v>
      </c>
    </row>
    <row r="72" spans="1:32" x14ac:dyDescent="0.25">
      <c r="A72" s="191" t="s">
        <v>1512</v>
      </c>
      <c r="B72" t="s">
        <v>260</v>
      </c>
      <c r="C72" t="s">
        <v>929</v>
      </c>
      <c r="D72" t="s">
        <v>102</v>
      </c>
      <c r="E72" t="s">
        <v>93</v>
      </c>
      <c r="F72" t="s">
        <v>1377</v>
      </c>
      <c r="G72" t="s">
        <v>1377</v>
      </c>
      <c r="H72" t="s">
        <v>1513</v>
      </c>
      <c r="I72" t="s">
        <v>1006</v>
      </c>
      <c r="J72" t="s">
        <v>1199</v>
      </c>
      <c r="K72" t="s">
        <v>1514</v>
      </c>
      <c r="L72" t="s">
        <v>1029</v>
      </c>
      <c r="M72" t="s">
        <v>1211</v>
      </c>
      <c r="N72" t="s">
        <v>1515</v>
      </c>
      <c r="O72" t="s">
        <v>920</v>
      </c>
      <c r="P72" t="s">
        <v>1035</v>
      </c>
      <c r="Q72" t="s">
        <v>1003</v>
      </c>
      <c r="R72" t="s">
        <v>1143</v>
      </c>
      <c r="S72" t="s">
        <v>1160</v>
      </c>
      <c r="T72" t="s">
        <v>1046</v>
      </c>
      <c r="U72" t="s">
        <v>1516</v>
      </c>
      <c r="V72" t="s">
        <v>908</v>
      </c>
      <c r="W72" t="s">
        <v>920</v>
      </c>
      <c r="X72" t="s">
        <v>1128</v>
      </c>
      <c r="Y72" t="s">
        <v>957</v>
      </c>
      <c r="Z72" t="s">
        <v>1008</v>
      </c>
      <c r="AA72" t="s">
        <v>934</v>
      </c>
      <c r="AB72" t="s">
        <v>1104</v>
      </c>
      <c r="AC72" t="s">
        <v>993</v>
      </c>
      <c r="AD72" t="s">
        <v>937</v>
      </c>
      <c r="AE72">
        <v>18.7</v>
      </c>
      <c r="AF72">
        <v>18.686599999999999</v>
      </c>
    </row>
    <row r="73" spans="1:32" x14ac:dyDescent="0.25">
      <c r="A73" s="191" t="s">
        <v>1070</v>
      </c>
      <c r="B73" t="s">
        <v>314</v>
      </c>
      <c r="C73" t="s">
        <v>1084</v>
      </c>
      <c r="D73" t="s">
        <v>170</v>
      </c>
      <c r="E73" t="s">
        <v>56</v>
      </c>
      <c r="F73" t="s">
        <v>1438</v>
      </c>
      <c r="G73" t="s">
        <v>1438</v>
      </c>
      <c r="H73" t="s">
        <v>1517</v>
      </c>
      <c r="I73" t="s">
        <v>940</v>
      </c>
      <c r="J73" t="s">
        <v>1518</v>
      </c>
      <c r="K73" t="s">
        <v>1205</v>
      </c>
      <c r="L73" t="s">
        <v>1135</v>
      </c>
      <c r="M73" t="s">
        <v>990</v>
      </c>
      <c r="N73" t="s">
        <v>1519</v>
      </c>
      <c r="O73" t="s">
        <v>979</v>
      </c>
      <c r="P73" t="s">
        <v>1059</v>
      </c>
      <c r="Q73" t="s">
        <v>1520</v>
      </c>
      <c r="R73" t="s">
        <v>1510</v>
      </c>
      <c r="S73" t="s">
        <v>1012</v>
      </c>
      <c r="T73" t="s">
        <v>1135</v>
      </c>
      <c r="U73" t="s">
        <v>1521</v>
      </c>
      <c r="V73" t="s">
        <v>969</v>
      </c>
      <c r="W73" t="s">
        <v>1135</v>
      </c>
      <c r="X73" t="s">
        <v>979</v>
      </c>
      <c r="Y73" t="s">
        <v>911</v>
      </c>
      <c r="Z73" t="s">
        <v>1230</v>
      </c>
      <c r="AA73" t="s">
        <v>1008</v>
      </c>
      <c r="AB73" t="s">
        <v>1029</v>
      </c>
      <c r="AC73" t="s">
        <v>1195</v>
      </c>
      <c r="AD73" t="s">
        <v>1248</v>
      </c>
      <c r="AE73">
        <v>18.600000000000001</v>
      </c>
      <c r="AF73">
        <v>18.604000000000003</v>
      </c>
    </row>
    <row r="74" spans="1:32" x14ac:dyDescent="0.25">
      <c r="A74" s="191" t="s">
        <v>1349</v>
      </c>
      <c r="B74" t="s">
        <v>92</v>
      </c>
      <c r="C74" t="s">
        <v>1032</v>
      </c>
      <c r="D74" t="s">
        <v>85</v>
      </c>
      <c r="E74" t="s">
        <v>93</v>
      </c>
      <c r="F74" t="s">
        <v>1271</v>
      </c>
      <c r="G74" t="s">
        <v>1271</v>
      </c>
      <c r="H74" t="s">
        <v>1491</v>
      </c>
      <c r="I74" t="s">
        <v>1128</v>
      </c>
      <c r="J74" t="s">
        <v>1244</v>
      </c>
      <c r="K74" t="s">
        <v>1522</v>
      </c>
      <c r="L74" t="s">
        <v>945</v>
      </c>
      <c r="M74" t="s">
        <v>1048</v>
      </c>
      <c r="N74" t="s">
        <v>1441</v>
      </c>
      <c r="O74" t="s">
        <v>1126</v>
      </c>
      <c r="P74" t="s">
        <v>1072</v>
      </c>
      <c r="Q74" t="s">
        <v>1523</v>
      </c>
      <c r="R74" t="s">
        <v>1524</v>
      </c>
      <c r="S74" t="s">
        <v>946</v>
      </c>
      <c r="T74" t="s">
        <v>1170</v>
      </c>
      <c r="U74" t="s">
        <v>1525</v>
      </c>
      <c r="V74" t="s">
        <v>947</v>
      </c>
      <c r="W74" t="s">
        <v>1023</v>
      </c>
      <c r="X74" t="s">
        <v>959</v>
      </c>
      <c r="Y74" t="s">
        <v>1048</v>
      </c>
      <c r="Z74" t="s">
        <v>918</v>
      </c>
      <c r="AA74" t="s">
        <v>1029</v>
      </c>
      <c r="AB74" t="s">
        <v>956</v>
      </c>
      <c r="AC74" t="s">
        <v>956</v>
      </c>
      <c r="AD74" t="s">
        <v>1109</v>
      </c>
      <c r="AE74">
        <v>18.5</v>
      </c>
      <c r="AF74">
        <v>18.592700000000001</v>
      </c>
    </row>
    <row r="75" spans="1:32" x14ac:dyDescent="0.25">
      <c r="A75" s="191" t="s">
        <v>1446</v>
      </c>
      <c r="B75" t="s">
        <v>364</v>
      </c>
      <c r="C75" t="s">
        <v>1245</v>
      </c>
      <c r="D75" t="s">
        <v>95</v>
      </c>
      <c r="E75" t="s">
        <v>63</v>
      </c>
      <c r="F75" t="s">
        <v>1052</v>
      </c>
      <c r="G75" t="s">
        <v>1085</v>
      </c>
      <c r="H75" t="s">
        <v>1526</v>
      </c>
      <c r="I75" t="s">
        <v>1116</v>
      </c>
      <c r="J75" t="s">
        <v>1527</v>
      </c>
      <c r="K75" t="s">
        <v>1055</v>
      </c>
      <c r="L75" t="s">
        <v>956</v>
      </c>
      <c r="M75" t="s">
        <v>1006</v>
      </c>
      <c r="N75" t="s">
        <v>1528</v>
      </c>
      <c r="O75" t="s">
        <v>1046</v>
      </c>
      <c r="P75" t="s">
        <v>916</v>
      </c>
      <c r="Q75" t="s">
        <v>1522</v>
      </c>
      <c r="R75" t="s">
        <v>907</v>
      </c>
      <c r="S75" t="s">
        <v>1012</v>
      </c>
      <c r="T75" t="s">
        <v>1000</v>
      </c>
      <c r="U75" t="s">
        <v>1529</v>
      </c>
      <c r="V75" t="s">
        <v>918</v>
      </c>
      <c r="W75" t="s">
        <v>992</v>
      </c>
      <c r="X75" t="s">
        <v>1047</v>
      </c>
      <c r="Y75" t="s">
        <v>1104</v>
      </c>
      <c r="Z75" t="s">
        <v>918</v>
      </c>
      <c r="AA75" t="s">
        <v>934</v>
      </c>
      <c r="AB75" t="s">
        <v>908</v>
      </c>
      <c r="AC75" t="s">
        <v>922</v>
      </c>
      <c r="AD75" t="s">
        <v>1109</v>
      </c>
      <c r="AE75">
        <v>18.400000000000002</v>
      </c>
      <c r="AF75">
        <v>18.518600000000003</v>
      </c>
    </row>
    <row r="76" spans="1:32" x14ac:dyDescent="0.25">
      <c r="A76" s="191" t="s">
        <v>1107</v>
      </c>
      <c r="B76" t="s">
        <v>1530</v>
      </c>
      <c r="C76" t="s">
        <v>1164</v>
      </c>
      <c r="D76" t="s">
        <v>131</v>
      </c>
      <c r="E76" t="s">
        <v>72</v>
      </c>
      <c r="F76" t="s">
        <v>1438</v>
      </c>
      <c r="G76" t="s">
        <v>1052</v>
      </c>
      <c r="H76" t="s">
        <v>1280</v>
      </c>
      <c r="I76" t="s">
        <v>1028</v>
      </c>
      <c r="J76" t="s">
        <v>1454</v>
      </c>
      <c r="K76" t="s">
        <v>1022</v>
      </c>
      <c r="L76" t="s">
        <v>968</v>
      </c>
      <c r="M76" t="s">
        <v>1103</v>
      </c>
      <c r="N76" t="s">
        <v>1531</v>
      </c>
      <c r="O76" t="s">
        <v>1079</v>
      </c>
      <c r="P76" t="s">
        <v>997</v>
      </c>
      <c r="Q76" t="s">
        <v>1532</v>
      </c>
      <c r="R76" t="s">
        <v>1533</v>
      </c>
      <c r="S76" t="s">
        <v>1029</v>
      </c>
      <c r="T76" t="s">
        <v>956</v>
      </c>
      <c r="U76" t="s">
        <v>1534</v>
      </c>
      <c r="V76" t="s">
        <v>924</v>
      </c>
      <c r="W76" t="s">
        <v>1009</v>
      </c>
      <c r="X76" t="s">
        <v>1040</v>
      </c>
      <c r="Y76" t="s">
        <v>979</v>
      </c>
      <c r="Z76" t="s">
        <v>987</v>
      </c>
      <c r="AA76" t="s">
        <v>1008</v>
      </c>
      <c r="AB76" t="s">
        <v>1029</v>
      </c>
      <c r="AC76" t="s">
        <v>925</v>
      </c>
      <c r="AD76" t="s">
        <v>1109</v>
      </c>
      <c r="AE76">
        <v>18.400000000000002</v>
      </c>
      <c r="AF76">
        <v>18.421599999999998</v>
      </c>
    </row>
    <row r="77" spans="1:32" x14ac:dyDescent="0.25">
      <c r="A77" s="191" t="s">
        <v>1535</v>
      </c>
      <c r="B77" t="s">
        <v>359</v>
      </c>
      <c r="C77" t="s">
        <v>902</v>
      </c>
      <c r="D77" t="s">
        <v>45</v>
      </c>
      <c r="E77" t="s">
        <v>63</v>
      </c>
      <c r="F77" t="s">
        <v>1349</v>
      </c>
      <c r="G77" t="s">
        <v>1512</v>
      </c>
      <c r="H77" t="s">
        <v>1536</v>
      </c>
      <c r="I77" t="s">
        <v>1006</v>
      </c>
      <c r="J77" t="s">
        <v>1518</v>
      </c>
      <c r="K77" t="s">
        <v>1537</v>
      </c>
      <c r="L77" t="s">
        <v>922</v>
      </c>
      <c r="M77" t="s">
        <v>1170</v>
      </c>
      <c r="N77" t="s">
        <v>1538</v>
      </c>
      <c r="O77" t="s">
        <v>1046</v>
      </c>
      <c r="P77" t="s">
        <v>1072</v>
      </c>
      <c r="Q77" t="s">
        <v>1235</v>
      </c>
      <c r="R77" t="s">
        <v>1396</v>
      </c>
      <c r="S77" t="s">
        <v>1000</v>
      </c>
      <c r="T77" t="s">
        <v>1228</v>
      </c>
      <c r="U77" t="s">
        <v>1539</v>
      </c>
      <c r="V77" t="s">
        <v>923</v>
      </c>
      <c r="W77" t="s">
        <v>968</v>
      </c>
      <c r="X77" t="s">
        <v>1220</v>
      </c>
      <c r="Y77" t="s">
        <v>1081</v>
      </c>
      <c r="Z77" t="s">
        <v>1008</v>
      </c>
      <c r="AA77" t="s">
        <v>1119</v>
      </c>
      <c r="AB77" t="s">
        <v>993</v>
      </c>
      <c r="AC77" t="s">
        <v>947</v>
      </c>
      <c r="AD77" t="s">
        <v>1540</v>
      </c>
      <c r="AE77">
        <v>18.299999999999997</v>
      </c>
      <c r="AF77">
        <v>18.444400000000002</v>
      </c>
    </row>
    <row r="78" spans="1:32" x14ac:dyDescent="0.25">
      <c r="A78" s="191" t="s">
        <v>930</v>
      </c>
      <c r="B78" t="s">
        <v>312</v>
      </c>
      <c r="C78" t="s">
        <v>902</v>
      </c>
      <c r="D78" t="s">
        <v>148</v>
      </c>
      <c r="E78" t="s">
        <v>47</v>
      </c>
      <c r="F78" t="s">
        <v>1285</v>
      </c>
      <c r="G78" t="s">
        <v>1285</v>
      </c>
      <c r="H78" t="s">
        <v>1256</v>
      </c>
      <c r="I78" t="s">
        <v>1116</v>
      </c>
      <c r="J78" t="s">
        <v>1199</v>
      </c>
      <c r="K78" t="s">
        <v>1340</v>
      </c>
      <c r="L78" t="s">
        <v>993</v>
      </c>
      <c r="M78" t="s">
        <v>921</v>
      </c>
      <c r="N78" t="s">
        <v>1039</v>
      </c>
      <c r="O78" t="s">
        <v>1103</v>
      </c>
      <c r="P78" t="s">
        <v>1118</v>
      </c>
      <c r="Q78" t="s">
        <v>1541</v>
      </c>
      <c r="R78" t="s">
        <v>1542</v>
      </c>
      <c r="S78" t="s">
        <v>1049</v>
      </c>
      <c r="T78" t="s">
        <v>993</v>
      </c>
      <c r="U78" t="s">
        <v>1543</v>
      </c>
      <c r="V78" t="s">
        <v>968</v>
      </c>
      <c r="W78" t="s">
        <v>962</v>
      </c>
      <c r="X78" t="s">
        <v>1023</v>
      </c>
      <c r="Y78" t="s">
        <v>908</v>
      </c>
      <c r="Z78" t="s">
        <v>969</v>
      </c>
      <c r="AA78" t="s">
        <v>1065</v>
      </c>
      <c r="AB78" t="s">
        <v>1230</v>
      </c>
      <c r="AC78" t="s">
        <v>956</v>
      </c>
      <c r="AD78" t="s">
        <v>1281</v>
      </c>
      <c r="AE78">
        <v>18.2</v>
      </c>
      <c r="AF78">
        <v>18.129600000000003</v>
      </c>
    </row>
    <row r="79" spans="1:32" x14ac:dyDescent="0.25">
      <c r="A79" s="194" t="s">
        <v>1431</v>
      </c>
      <c r="B79" t="s">
        <v>132</v>
      </c>
      <c r="C79" t="s">
        <v>1293</v>
      </c>
      <c r="D79" t="s">
        <v>133</v>
      </c>
      <c r="E79" t="s">
        <v>72</v>
      </c>
      <c r="F79" t="s">
        <v>1459</v>
      </c>
      <c r="G79" t="s">
        <v>1459</v>
      </c>
      <c r="H79" t="s">
        <v>1188</v>
      </c>
      <c r="I79" t="s">
        <v>1116</v>
      </c>
      <c r="J79" t="s">
        <v>1544</v>
      </c>
      <c r="K79" t="s">
        <v>1514</v>
      </c>
      <c r="L79" t="s">
        <v>923</v>
      </c>
      <c r="M79" t="s">
        <v>1104</v>
      </c>
      <c r="N79" t="s">
        <v>1545</v>
      </c>
      <c r="O79" t="s">
        <v>1126</v>
      </c>
      <c r="P79" t="s">
        <v>1546</v>
      </c>
      <c r="Q79" t="s">
        <v>1208</v>
      </c>
      <c r="R79" t="s">
        <v>1101</v>
      </c>
      <c r="S79" t="s">
        <v>1048</v>
      </c>
      <c r="T79" t="s">
        <v>1081</v>
      </c>
      <c r="U79" t="s">
        <v>1547</v>
      </c>
      <c r="V79" t="s">
        <v>924</v>
      </c>
      <c r="W79" t="s">
        <v>1026</v>
      </c>
      <c r="X79" t="s">
        <v>980</v>
      </c>
      <c r="Y79" t="s">
        <v>1170</v>
      </c>
      <c r="Z79" t="s">
        <v>1195</v>
      </c>
      <c r="AA79" t="s">
        <v>1008</v>
      </c>
      <c r="AB79" t="s">
        <v>908</v>
      </c>
      <c r="AC79" t="s">
        <v>908</v>
      </c>
      <c r="AD79" t="s">
        <v>1073</v>
      </c>
      <c r="AE79">
        <v>18</v>
      </c>
      <c r="AF79">
        <v>18.102799999999998</v>
      </c>
    </row>
    <row r="80" spans="1:32" x14ac:dyDescent="0.25">
      <c r="A80" s="191" t="s">
        <v>1377</v>
      </c>
      <c r="B80" t="s">
        <v>189</v>
      </c>
      <c r="C80" t="s">
        <v>950</v>
      </c>
      <c r="D80" t="s">
        <v>974</v>
      </c>
      <c r="E80" t="s">
        <v>47</v>
      </c>
      <c r="F80" t="s">
        <v>1255</v>
      </c>
      <c r="G80" t="s">
        <v>1255</v>
      </c>
      <c r="H80" t="s">
        <v>1428</v>
      </c>
      <c r="I80" t="s">
        <v>1044</v>
      </c>
      <c r="J80" t="s">
        <v>1548</v>
      </c>
      <c r="K80" t="s">
        <v>1168</v>
      </c>
      <c r="L80" t="s">
        <v>925</v>
      </c>
      <c r="M80" t="s">
        <v>1079</v>
      </c>
      <c r="N80" t="s">
        <v>1365</v>
      </c>
      <c r="O80" t="s">
        <v>919</v>
      </c>
      <c r="P80" t="s">
        <v>989</v>
      </c>
      <c r="Q80" t="s">
        <v>1041</v>
      </c>
      <c r="R80" t="s">
        <v>1239</v>
      </c>
      <c r="S80" t="s">
        <v>970</v>
      </c>
      <c r="T80" t="s">
        <v>1170</v>
      </c>
      <c r="U80" t="s">
        <v>1549</v>
      </c>
      <c r="V80" t="s">
        <v>1310</v>
      </c>
      <c r="W80" t="s">
        <v>1135</v>
      </c>
      <c r="X80" t="s">
        <v>1047</v>
      </c>
      <c r="Y80" t="s">
        <v>1012</v>
      </c>
      <c r="Z80" t="s">
        <v>923</v>
      </c>
      <c r="AA80" t="s">
        <v>987</v>
      </c>
      <c r="AB80" t="s">
        <v>922</v>
      </c>
      <c r="AC80" t="s">
        <v>922</v>
      </c>
      <c r="AD80" t="s">
        <v>1189</v>
      </c>
      <c r="AE80">
        <v>18.100000000000001</v>
      </c>
      <c r="AF80">
        <v>18.004899999999999</v>
      </c>
    </row>
    <row r="81" spans="1:32" x14ac:dyDescent="0.25">
      <c r="A81" s="191" t="s">
        <v>1639</v>
      </c>
      <c r="B81" t="s">
        <v>1640</v>
      </c>
      <c r="C81" t="s">
        <v>995</v>
      </c>
      <c r="D81" t="s">
        <v>1223</v>
      </c>
      <c r="E81" t="s">
        <v>93</v>
      </c>
      <c r="F81" t="s">
        <v>1150</v>
      </c>
      <c r="G81" t="s">
        <v>1106</v>
      </c>
      <c r="H81" t="s">
        <v>1254</v>
      </c>
      <c r="I81" t="s">
        <v>1291</v>
      </c>
      <c r="J81" t="s">
        <v>1076</v>
      </c>
      <c r="K81" t="s">
        <v>1337</v>
      </c>
      <c r="L81" t="s">
        <v>923</v>
      </c>
      <c r="M81" t="s">
        <v>1048</v>
      </c>
      <c r="N81" t="s">
        <v>1641</v>
      </c>
      <c r="O81" t="s">
        <v>1047</v>
      </c>
      <c r="P81" t="s">
        <v>1024</v>
      </c>
      <c r="Q81" t="s">
        <v>1471</v>
      </c>
      <c r="R81" t="s">
        <v>1451</v>
      </c>
      <c r="S81" t="s">
        <v>970</v>
      </c>
      <c r="T81" t="s">
        <v>920</v>
      </c>
      <c r="U81" t="s">
        <v>1642</v>
      </c>
      <c r="V81" t="s">
        <v>945</v>
      </c>
      <c r="W81" t="s">
        <v>1000</v>
      </c>
      <c r="X81" t="s">
        <v>1211</v>
      </c>
      <c r="Y81" t="s">
        <v>925</v>
      </c>
      <c r="Z81" t="s">
        <v>987</v>
      </c>
      <c r="AA81" t="s">
        <v>991</v>
      </c>
      <c r="AB81" t="s">
        <v>1310</v>
      </c>
      <c r="AC81" t="s">
        <v>1049</v>
      </c>
      <c r="AD81" t="s">
        <v>1527</v>
      </c>
      <c r="AE81">
        <v>15.3</v>
      </c>
      <c r="AF81">
        <v>15.310399999999998</v>
      </c>
    </row>
    <row r="82" spans="1:32" x14ac:dyDescent="0.25">
      <c r="A82" s="191" t="s">
        <v>1377</v>
      </c>
      <c r="B82" t="s">
        <v>189</v>
      </c>
      <c r="C82" t="s">
        <v>950</v>
      </c>
      <c r="D82" t="s">
        <v>133</v>
      </c>
      <c r="E82" t="s">
        <v>47</v>
      </c>
      <c r="F82" t="s">
        <v>1212</v>
      </c>
      <c r="G82" t="s">
        <v>1212</v>
      </c>
      <c r="H82" t="s">
        <v>1554</v>
      </c>
      <c r="I82" t="s">
        <v>1172</v>
      </c>
      <c r="J82" t="s">
        <v>960</v>
      </c>
      <c r="K82" t="s">
        <v>1555</v>
      </c>
      <c r="L82" t="s">
        <v>908</v>
      </c>
      <c r="M82" t="s">
        <v>1126</v>
      </c>
      <c r="N82" t="s">
        <v>1556</v>
      </c>
      <c r="O82" t="s">
        <v>1211</v>
      </c>
      <c r="P82" t="s">
        <v>1024</v>
      </c>
      <c r="Q82" t="s">
        <v>1339</v>
      </c>
      <c r="R82" t="s">
        <v>1022</v>
      </c>
      <c r="S82" t="s">
        <v>1000</v>
      </c>
      <c r="T82" t="s">
        <v>1211</v>
      </c>
      <c r="U82" t="s">
        <v>1557</v>
      </c>
      <c r="V82" t="s">
        <v>1230</v>
      </c>
      <c r="W82" t="s">
        <v>964</v>
      </c>
      <c r="X82" t="s">
        <v>1081</v>
      </c>
      <c r="Y82" t="s">
        <v>970</v>
      </c>
      <c r="Z82" t="s">
        <v>945</v>
      </c>
      <c r="AA82" t="s">
        <v>923</v>
      </c>
      <c r="AB82" t="s">
        <v>993</v>
      </c>
      <c r="AC82" t="s">
        <v>968</v>
      </c>
      <c r="AD82" t="s">
        <v>1496</v>
      </c>
      <c r="AE82">
        <v>19.099999999999998</v>
      </c>
      <c r="AF82">
        <v>19.044</v>
      </c>
    </row>
    <row r="83" spans="1:32" x14ac:dyDescent="0.25">
      <c r="A83" s="191" t="s">
        <v>951</v>
      </c>
      <c r="B83" t="s">
        <v>404</v>
      </c>
      <c r="C83" t="s">
        <v>1293</v>
      </c>
      <c r="D83" t="s">
        <v>129</v>
      </c>
      <c r="E83" t="s">
        <v>93</v>
      </c>
      <c r="F83" t="s">
        <v>1322</v>
      </c>
      <c r="G83" t="s">
        <v>1322</v>
      </c>
      <c r="H83" t="s">
        <v>1331</v>
      </c>
      <c r="I83" t="s">
        <v>1006</v>
      </c>
      <c r="J83" t="s">
        <v>1129</v>
      </c>
      <c r="K83" t="s">
        <v>1249</v>
      </c>
      <c r="L83" t="s">
        <v>947</v>
      </c>
      <c r="M83" t="s">
        <v>985</v>
      </c>
      <c r="N83" t="s">
        <v>1558</v>
      </c>
      <c r="O83" t="s">
        <v>1170</v>
      </c>
      <c r="P83" t="s">
        <v>990</v>
      </c>
      <c r="Q83" t="s">
        <v>1559</v>
      </c>
      <c r="R83" t="s">
        <v>1057</v>
      </c>
      <c r="S83" t="s">
        <v>993</v>
      </c>
      <c r="T83" t="s">
        <v>946</v>
      </c>
      <c r="U83" t="s">
        <v>1388</v>
      </c>
      <c r="V83" t="s">
        <v>1195</v>
      </c>
      <c r="W83" t="s">
        <v>979</v>
      </c>
      <c r="X83" t="s">
        <v>1134</v>
      </c>
      <c r="Y83" t="s">
        <v>925</v>
      </c>
      <c r="Z83" t="s">
        <v>1310</v>
      </c>
      <c r="AA83" t="s">
        <v>918</v>
      </c>
      <c r="AB83" t="s">
        <v>1230</v>
      </c>
      <c r="AC83" t="s">
        <v>947</v>
      </c>
      <c r="AD83" t="s">
        <v>1189</v>
      </c>
      <c r="AE83">
        <v>18</v>
      </c>
      <c r="AF83">
        <v>18.069600000000001</v>
      </c>
    </row>
    <row r="84" spans="1:32" x14ac:dyDescent="0.25">
      <c r="A84" s="191" t="s">
        <v>1271</v>
      </c>
      <c r="B84" t="s">
        <v>165</v>
      </c>
      <c r="C84" t="s">
        <v>1015</v>
      </c>
      <c r="D84" t="s">
        <v>129</v>
      </c>
      <c r="E84" t="s">
        <v>47</v>
      </c>
      <c r="F84" t="s">
        <v>1416</v>
      </c>
      <c r="G84" t="s">
        <v>1416</v>
      </c>
      <c r="H84" t="s">
        <v>1313</v>
      </c>
      <c r="I84" t="s">
        <v>1026</v>
      </c>
      <c r="J84" t="s">
        <v>1560</v>
      </c>
      <c r="K84" t="s">
        <v>1131</v>
      </c>
      <c r="L84" t="s">
        <v>956</v>
      </c>
      <c r="M84" t="s">
        <v>1092</v>
      </c>
      <c r="N84" t="s">
        <v>1001</v>
      </c>
      <c r="O84" t="s">
        <v>962</v>
      </c>
      <c r="P84" t="s">
        <v>916</v>
      </c>
      <c r="Q84" t="s">
        <v>1561</v>
      </c>
      <c r="R84" t="s">
        <v>1218</v>
      </c>
      <c r="S84" t="s">
        <v>945</v>
      </c>
      <c r="T84" t="s">
        <v>1230</v>
      </c>
      <c r="U84" t="s">
        <v>1060</v>
      </c>
      <c r="V84" t="s">
        <v>918</v>
      </c>
      <c r="W84" t="s">
        <v>947</v>
      </c>
      <c r="X84" t="s">
        <v>1048</v>
      </c>
      <c r="Y84" t="s">
        <v>1030</v>
      </c>
      <c r="Z84" t="s">
        <v>918</v>
      </c>
      <c r="AA84" t="s">
        <v>1065</v>
      </c>
      <c r="AB84" t="s">
        <v>1029</v>
      </c>
      <c r="AC84" t="s">
        <v>1310</v>
      </c>
      <c r="AD84" t="s">
        <v>1553</v>
      </c>
      <c r="AE84">
        <v>17.599999999999998</v>
      </c>
      <c r="AF84">
        <v>17.5412</v>
      </c>
    </row>
    <row r="85" spans="1:32" x14ac:dyDescent="0.25">
      <c r="A85" s="191" t="s">
        <v>1052</v>
      </c>
      <c r="B85" t="s">
        <v>1562</v>
      </c>
      <c r="C85" t="s">
        <v>995</v>
      </c>
      <c r="D85" t="s">
        <v>97</v>
      </c>
      <c r="E85" t="s">
        <v>63</v>
      </c>
      <c r="F85" t="s">
        <v>929</v>
      </c>
      <c r="G85" t="s">
        <v>929</v>
      </c>
      <c r="H85" t="s">
        <v>1563</v>
      </c>
      <c r="I85" t="s">
        <v>1044</v>
      </c>
      <c r="J85" t="s">
        <v>1518</v>
      </c>
      <c r="K85" t="s">
        <v>1455</v>
      </c>
      <c r="L85" t="s">
        <v>908</v>
      </c>
      <c r="M85" t="s">
        <v>1005</v>
      </c>
      <c r="N85" t="s">
        <v>1564</v>
      </c>
      <c r="O85" t="s">
        <v>1081</v>
      </c>
      <c r="P85" t="s">
        <v>1152</v>
      </c>
      <c r="Q85" t="s">
        <v>1565</v>
      </c>
      <c r="R85" t="s">
        <v>984</v>
      </c>
      <c r="S85" t="s">
        <v>1104</v>
      </c>
      <c r="T85" t="s">
        <v>1160</v>
      </c>
      <c r="U85" t="s">
        <v>1566</v>
      </c>
      <c r="V85" t="s">
        <v>1195</v>
      </c>
      <c r="W85" t="s">
        <v>1104</v>
      </c>
      <c r="X85" t="s">
        <v>919</v>
      </c>
      <c r="Y85" t="s">
        <v>1228</v>
      </c>
      <c r="Z85" t="s">
        <v>918</v>
      </c>
      <c r="AA85" t="s">
        <v>991</v>
      </c>
      <c r="AB85" t="s">
        <v>1135</v>
      </c>
      <c r="AC85" t="s">
        <v>925</v>
      </c>
      <c r="AD85" t="s">
        <v>1553</v>
      </c>
      <c r="AE85">
        <v>17.5</v>
      </c>
      <c r="AF85">
        <v>17.642399999999999</v>
      </c>
    </row>
    <row r="86" spans="1:32" x14ac:dyDescent="0.25">
      <c r="A86" s="191" t="s">
        <v>1438</v>
      </c>
      <c r="B86" t="s">
        <v>317</v>
      </c>
      <c r="C86" t="s">
        <v>1343</v>
      </c>
      <c r="D86" t="s">
        <v>974</v>
      </c>
      <c r="E86" t="s">
        <v>47</v>
      </c>
      <c r="F86" t="s">
        <v>1480</v>
      </c>
      <c r="G86" t="s">
        <v>1480</v>
      </c>
      <c r="H86" t="s">
        <v>1447</v>
      </c>
      <c r="I86" t="s">
        <v>1291</v>
      </c>
      <c r="J86" t="s">
        <v>982</v>
      </c>
      <c r="K86" t="s">
        <v>1340</v>
      </c>
      <c r="L86" t="s">
        <v>969</v>
      </c>
      <c r="M86" t="s">
        <v>1049</v>
      </c>
      <c r="N86" t="s">
        <v>1567</v>
      </c>
      <c r="O86" t="s">
        <v>1046</v>
      </c>
      <c r="P86" t="s">
        <v>1108</v>
      </c>
      <c r="Q86" t="s">
        <v>1193</v>
      </c>
      <c r="R86" t="s">
        <v>1275</v>
      </c>
      <c r="S86" t="s">
        <v>1063</v>
      </c>
      <c r="T86" t="s">
        <v>1128</v>
      </c>
      <c r="U86" t="s">
        <v>1568</v>
      </c>
      <c r="V86" t="s">
        <v>947</v>
      </c>
      <c r="W86" t="s">
        <v>946</v>
      </c>
      <c r="X86" t="s">
        <v>1329</v>
      </c>
      <c r="Y86" t="s">
        <v>1329</v>
      </c>
      <c r="Z86" t="s">
        <v>1230</v>
      </c>
      <c r="AA86" t="s">
        <v>1094</v>
      </c>
      <c r="AB86" t="s">
        <v>1195</v>
      </c>
      <c r="AC86" t="s">
        <v>918</v>
      </c>
      <c r="AD86" t="s">
        <v>1418</v>
      </c>
      <c r="AE86">
        <v>17.600000000000001</v>
      </c>
      <c r="AF86">
        <v>17.561799999999998</v>
      </c>
    </row>
    <row r="87" spans="1:32" x14ac:dyDescent="0.25">
      <c r="A87" s="191" t="s">
        <v>1438</v>
      </c>
      <c r="B87" t="s">
        <v>317</v>
      </c>
      <c r="C87" t="s">
        <v>1343</v>
      </c>
      <c r="D87" t="s">
        <v>133</v>
      </c>
      <c r="E87" t="s">
        <v>93</v>
      </c>
      <c r="F87" t="s">
        <v>973</v>
      </c>
      <c r="G87" t="s">
        <v>973</v>
      </c>
      <c r="H87" t="s">
        <v>1569</v>
      </c>
      <c r="I87" t="s">
        <v>909</v>
      </c>
      <c r="J87" t="s">
        <v>1483</v>
      </c>
      <c r="K87" t="s">
        <v>1570</v>
      </c>
      <c r="L87" t="s">
        <v>1065</v>
      </c>
      <c r="M87" t="s">
        <v>1230</v>
      </c>
      <c r="N87" t="s">
        <v>1400</v>
      </c>
      <c r="O87" t="s">
        <v>962</v>
      </c>
      <c r="P87" t="s">
        <v>1035</v>
      </c>
      <c r="Q87" t="s">
        <v>1462</v>
      </c>
      <c r="R87" t="s">
        <v>1288</v>
      </c>
      <c r="S87" t="s">
        <v>962</v>
      </c>
      <c r="T87" t="s">
        <v>921</v>
      </c>
      <c r="U87" t="s">
        <v>1571</v>
      </c>
      <c r="V87" t="s">
        <v>925</v>
      </c>
      <c r="W87" t="s">
        <v>1135</v>
      </c>
      <c r="X87" t="s">
        <v>962</v>
      </c>
      <c r="Y87" t="s">
        <v>1134</v>
      </c>
      <c r="Z87" t="s">
        <v>1064</v>
      </c>
      <c r="AA87" t="s">
        <v>991</v>
      </c>
      <c r="AB87" t="s">
        <v>945</v>
      </c>
      <c r="AC87" t="s">
        <v>918</v>
      </c>
      <c r="AD87" t="s">
        <v>1357</v>
      </c>
      <c r="AE87">
        <v>17.100000000000001</v>
      </c>
      <c r="AF87">
        <v>16.980199999999996</v>
      </c>
    </row>
    <row r="88" spans="1:32" x14ac:dyDescent="0.25">
      <c r="A88" s="194" t="s">
        <v>1753</v>
      </c>
      <c r="B88" t="s">
        <v>1754</v>
      </c>
      <c r="C88" t="s">
        <v>1176</v>
      </c>
      <c r="D88" t="s">
        <v>1223</v>
      </c>
      <c r="E88" t="s">
        <v>63</v>
      </c>
      <c r="F88" t="s">
        <v>1084</v>
      </c>
      <c r="G88" t="s">
        <v>1222</v>
      </c>
      <c r="H88" t="s">
        <v>1760</v>
      </c>
      <c r="I88" t="s">
        <v>1160</v>
      </c>
      <c r="J88" t="s">
        <v>1483</v>
      </c>
      <c r="K88" t="s">
        <v>910</v>
      </c>
      <c r="L88" t="s">
        <v>1310</v>
      </c>
      <c r="M88" t="s">
        <v>1134</v>
      </c>
      <c r="N88" t="s">
        <v>1315</v>
      </c>
      <c r="O88" t="s">
        <v>924</v>
      </c>
      <c r="P88" t="s">
        <v>909</v>
      </c>
      <c r="Q88" t="s">
        <v>1761</v>
      </c>
      <c r="R88" t="s">
        <v>1168</v>
      </c>
      <c r="S88" t="s">
        <v>945</v>
      </c>
      <c r="T88" t="s">
        <v>1029</v>
      </c>
      <c r="U88" t="s">
        <v>1762</v>
      </c>
      <c r="V88" t="s">
        <v>991</v>
      </c>
      <c r="W88" t="s">
        <v>1049</v>
      </c>
      <c r="X88" t="s">
        <v>947</v>
      </c>
      <c r="Y88" t="s">
        <v>1103</v>
      </c>
      <c r="Z88" t="s">
        <v>923</v>
      </c>
      <c r="AA88" t="s">
        <v>1119</v>
      </c>
      <c r="AB88" t="s">
        <v>956</v>
      </c>
      <c r="AC88" t="s">
        <v>1104</v>
      </c>
      <c r="AD88" t="s">
        <v>941</v>
      </c>
      <c r="AE88">
        <v>10.5</v>
      </c>
      <c r="AF88">
        <v>10.6038</v>
      </c>
    </row>
    <row r="89" spans="1:32" x14ac:dyDescent="0.25">
      <c r="A89" s="191" t="s">
        <v>1322</v>
      </c>
      <c r="B89" t="s">
        <v>1573</v>
      </c>
      <c r="C89" t="s">
        <v>1015</v>
      </c>
      <c r="D89" t="s">
        <v>83</v>
      </c>
      <c r="E89" t="s">
        <v>56</v>
      </c>
      <c r="F89" t="s">
        <v>1176</v>
      </c>
      <c r="G89" t="s">
        <v>1176</v>
      </c>
      <c r="H89" t="s">
        <v>1372</v>
      </c>
      <c r="I89" t="s">
        <v>1044</v>
      </c>
      <c r="J89" t="s">
        <v>1574</v>
      </c>
      <c r="K89" t="s">
        <v>1393</v>
      </c>
      <c r="L89" t="s">
        <v>922</v>
      </c>
      <c r="M89" t="s">
        <v>1092</v>
      </c>
      <c r="N89" t="s">
        <v>1298</v>
      </c>
      <c r="O89" t="s">
        <v>1211</v>
      </c>
      <c r="P89" t="s">
        <v>1038</v>
      </c>
      <c r="Q89" t="s">
        <v>1297</v>
      </c>
      <c r="R89" t="s">
        <v>1575</v>
      </c>
      <c r="S89" t="s">
        <v>970</v>
      </c>
      <c r="T89" t="s">
        <v>1228</v>
      </c>
      <c r="U89" t="s">
        <v>1276</v>
      </c>
      <c r="V89" t="s">
        <v>1065</v>
      </c>
      <c r="W89" t="s">
        <v>1126</v>
      </c>
      <c r="X89" t="s">
        <v>940</v>
      </c>
      <c r="Y89" t="s">
        <v>988</v>
      </c>
      <c r="Z89" t="s">
        <v>956</v>
      </c>
      <c r="AA89" t="s">
        <v>991</v>
      </c>
      <c r="AB89" t="s">
        <v>1000</v>
      </c>
      <c r="AC89" t="s">
        <v>956</v>
      </c>
      <c r="AD89" t="s">
        <v>1418</v>
      </c>
      <c r="AE89">
        <v>17.599999999999998</v>
      </c>
      <c r="AF89">
        <v>17.461599999999997</v>
      </c>
    </row>
    <row r="90" spans="1:32" x14ac:dyDescent="0.25">
      <c r="A90" s="191" t="s">
        <v>1138</v>
      </c>
      <c r="B90" t="s">
        <v>1576</v>
      </c>
      <c r="C90" t="s">
        <v>902</v>
      </c>
      <c r="D90" t="s">
        <v>121</v>
      </c>
      <c r="E90" t="s">
        <v>63</v>
      </c>
      <c r="F90" t="s">
        <v>1107</v>
      </c>
      <c r="G90" t="s">
        <v>1312</v>
      </c>
      <c r="H90" t="s">
        <v>1507</v>
      </c>
      <c r="I90" t="s">
        <v>1044</v>
      </c>
      <c r="J90" t="s">
        <v>1560</v>
      </c>
      <c r="K90" t="s">
        <v>1577</v>
      </c>
      <c r="L90" t="s">
        <v>908</v>
      </c>
      <c r="M90" t="s">
        <v>1006</v>
      </c>
      <c r="N90" t="s">
        <v>1578</v>
      </c>
      <c r="O90" t="s">
        <v>1081</v>
      </c>
      <c r="P90" t="s">
        <v>915</v>
      </c>
      <c r="Q90" t="s">
        <v>1226</v>
      </c>
      <c r="R90" t="s">
        <v>1235</v>
      </c>
      <c r="S90" t="s">
        <v>924</v>
      </c>
      <c r="T90" t="s">
        <v>1220</v>
      </c>
      <c r="U90" t="s">
        <v>1539</v>
      </c>
      <c r="V90" t="s">
        <v>1065</v>
      </c>
      <c r="W90" t="s">
        <v>970</v>
      </c>
      <c r="X90" t="s">
        <v>1155</v>
      </c>
      <c r="Y90" t="s">
        <v>1092</v>
      </c>
      <c r="Z90" t="s">
        <v>918</v>
      </c>
      <c r="AA90" t="s">
        <v>969</v>
      </c>
      <c r="AB90" t="s">
        <v>924</v>
      </c>
      <c r="AC90" t="s">
        <v>924</v>
      </c>
      <c r="AD90" t="s">
        <v>1579</v>
      </c>
      <c r="AE90">
        <v>17.099999999999998</v>
      </c>
      <c r="AF90">
        <v>17.100900000000003</v>
      </c>
    </row>
    <row r="91" spans="1:32" x14ac:dyDescent="0.25">
      <c r="A91" s="191" t="s">
        <v>903</v>
      </c>
      <c r="B91" t="s">
        <v>1580</v>
      </c>
      <c r="C91" t="s">
        <v>973</v>
      </c>
      <c r="D91" t="s">
        <v>163</v>
      </c>
      <c r="E91" t="s">
        <v>56</v>
      </c>
      <c r="F91" t="s">
        <v>1355</v>
      </c>
      <c r="G91" t="s">
        <v>1355</v>
      </c>
      <c r="H91" t="s">
        <v>1581</v>
      </c>
      <c r="I91" t="s">
        <v>1092</v>
      </c>
      <c r="J91" t="s">
        <v>1316</v>
      </c>
      <c r="K91" t="s">
        <v>1240</v>
      </c>
      <c r="L91" t="s">
        <v>1012</v>
      </c>
      <c r="M91" t="s">
        <v>1172</v>
      </c>
      <c r="N91" t="s">
        <v>1435</v>
      </c>
      <c r="O91" t="s">
        <v>1135</v>
      </c>
      <c r="P91" t="s">
        <v>940</v>
      </c>
      <c r="Q91" t="s">
        <v>1364</v>
      </c>
      <c r="R91" t="s">
        <v>1208</v>
      </c>
      <c r="S91" t="s">
        <v>1000</v>
      </c>
      <c r="T91" t="s">
        <v>1160</v>
      </c>
      <c r="U91" t="s">
        <v>1582</v>
      </c>
      <c r="V91" t="s">
        <v>1065</v>
      </c>
      <c r="W91" t="s">
        <v>946</v>
      </c>
      <c r="X91" t="s">
        <v>979</v>
      </c>
      <c r="Y91" t="s">
        <v>1079</v>
      </c>
      <c r="Z91" t="s">
        <v>1008</v>
      </c>
      <c r="AA91" t="s">
        <v>1119</v>
      </c>
      <c r="AB91" t="s">
        <v>968</v>
      </c>
      <c r="AC91" t="s">
        <v>968</v>
      </c>
      <c r="AD91" t="s">
        <v>1167</v>
      </c>
      <c r="AE91">
        <v>17.2</v>
      </c>
      <c r="AF91">
        <v>17.137499999999999</v>
      </c>
    </row>
    <row r="92" spans="1:32" x14ac:dyDescent="0.25">
      <c r="A92" s="191" t="s">
        <v>1285</v>
      </c>
      <c r="B92" t="s">
        <v>483</v>
      </c>
      <c r="C92" t="s">
        <v>1293</v>
      </c>
      <c r="D92" t="s">
        <v>974</v>
      </c>
      <c r="E92" t="s">
        <v>47</v>
      </c>
      <c r="F92" t="s">
        <v>1446</v>
      </c>
      <c r="G92" t="s">
        <v>1096</v>
      </c>
      <c r="H92" t="s">
        <v>1583</v>
      </c>
      <c r="I92" t="s">
        <v>1092</v>
      </c>
      <c r="J92" t="s">
        <v>944</v>
      </c>
      <c r="K92" t="s">
        <v>1584</v>
      </c>
      <c r="L92" t="s">
        <v>993</v>
      </c>
      <c r="M92" t="s">
        <v>1059</v>
      </c>
      <c r="N92" t="s">
        <v>1154</v>
      </c>
      <c r="O92" t="s">
        <v>946</v>
      </c>
      <c r="P92" t="s">
        <v>1079</v>
      </c>
      <c r="Q92" t="s">
        <v>1058</v>
      </c>
      <c r="R92" t="s">
        <v>1585</v>
      </c>
      <c r="S92" t="s">
        <v>1000</v>
      </c>
      <c r="T92" t="s">
        <v>1228</v>
      </c>
      <c r="U92" t="s">
        <v>1102</v>
      </c>
      <c r="V92" t="s">
        <v>1008</v>
      </c>
      <c r="W92" t="s">
        <v>970</v>
      </c>
      <c r="X92" t="s">
        <v>1228</v>
      </c>
      <c r="Y92" t="s">
        <v>1230</v>
      </c>
      <c r="Z92" t="s">
        <v>987</v>
      </c>
      <c r="AA92" t="s">
        <v>934</v>
      </c>
      <c r="AB92" t="s">
        <v>1195</v>
      </c>
      <c r="AC92" t="s">
        <v>924</v>
      </c>
      <c r="AD92" t="s">
        <v>1357</v>
      </c>
      <c r="AE92">
        <v>17.099999999999998</v>
      </c>
      <c r="AF92">
        <v>17.024700000000003</v>
      </c>
    </row>
    <row r="93" spans="1:32" x14ac:dyDescent="0.25">
      <c r="A93" s="191" t="s">
        <v>1285</v>
      </c>
      <c r="B93" t="s">
        <v>483</v>
      </c>
      <c r="C93" t="s">
        <v>1293</v>
      </c>
      <c r="D93" t="s">
        <v>111</v>
      </c>
      <c r="E93" t="s">
        <v>47</v>
      </c>
      <c r="F93" t="s">
        <v>1376</v>
      </c>
      <c r="G93" t="s">
        <v>972</v>
      </c>
      <c r="H93" t="s">
        <v>1465</v>
      </c>
      <c r="I93" t="s">
        <v>1059</v>
      </c>
      <c r="J93" t="s">
        <v>1316</v>
      </c>
      <c r="K93" t="s">
        <v>1141</v>
      </c>
      <c r="L93" t="s">
        <v>1012</v>
      </c>
      <c r="M93" t="s">
        <v>1112</v>
      </c>
      <c r="N93" t="s">
        <v>1393</v>
      </c>
      <c r="O93" t="s">
        <v>979</v>
      </c>
      <c r="P93" t="s">
        <v>1006</v>
      </c>
      <c r="Q93" t="s">
        <v>1275</v>
      </c>
      <c r="R93" t="s">
        <v>1192</v>
      </c>
      <c r="S93" t="s">
        <v>919</v>
      </c>
      <c r="T93" t="s">
        <v>1134</v>
      </c>
      <c r="U93" t="s">
        <v>1586</v>
      </c>
      <c r="V93" t="s">
        <v>1008</v>
      </c>
      <c r="W93" t="s">
        <v>1048</v>
      </c>
      <c r="X93" t="s">
        <v>1160</v>
      </c>
      <c r="Y93" t="s">
        <v>1310</v>
      </c>
      <c r="Z93" t="s">
        <v>987</v>
      </c>
      <c r="AA93" t="s">
        <v>1119</v>
      </c>
      <c r="AB93" t="s">
        <v>1029</v>
      </c>
      <c r="AC93" t="s">
        <v>924</v>
      </c>
      <c r="AD93" t="s">
        <v>1496</v>
      </c>
      <c r="AE93">
        <v>18.899999999999999</v>
      </c>
      <c r="AF93">
        <v>19.026899999999998</v>
      </c>
    </row>
    <row r="94" spans="1:32" x14ac:dyDescent="0.25">
      <c r="A94" s="191" t="s">
        <v>1285</v>
      </c>
      <c r="B94" t="s">
        <v>483</v>
      </c>
      <c r="C94" t="s">
        <v>1293</v>
      </c>
      <c r="D94" t="s">
        <v>85</v>
      </c>
      <c r="E94" t="s">
        <v>47</v>
      </c>
      <c r="F94" t="s">
        <v>1293</v>
      </c>
      <c r="G94" t="s">
        <v>1031</v>
      </c>
      <c r="H94" t="s">
        <v>1317</v>
      </c>
      <c r="I94" t="s">
        <v>1046</v>
      </c>
      <c r="J94" t="s">
        <v>1450</v>
      </c>
      <c r="K94" t="s">
        <v>1514</v>
      </c>
      <c r="L94" t="s">
        <v>925</v>
      </c>
      <c r="M94" t="s">
        <v>962</v>
      </c>
      <c r="N94" t="s">
        <v>1474</v>
      </c>
      <c r="O94" t="s">
        <v>1012</v>
      </c>
      <c r="P94" t="s">
        <v>1134</v>
      </c>
      <c r="Q94" t="s">
        <v>1442</v>
      </c>
      <c r="R94" t="s">
        <v>1542</v>
      </c>
      <c r="S94" t="s">
        <v>924</v>
      </c>
      <c r="T94" t="s">
        <v>964</v>
      </c>
      <c r="U94" t="s">
        <v>1117</v>
      </c>
      <c r="V94" t="s">
        <v>969</v>
      </c>
      <c r="W94" t="s">
        <v>992</v>
      </c>
      <c r="X94" t="s">
        <v>1081</v>
      </c>
      <c r="Y94" t="s">
        <v>1195</v>
      </c>
      <c r="Z94" t="s">
        <v>1008</v>
      </c>
      <c r="AA94" t="s">
        <v>1094</v>
      </c>
      <c r="AB94" t="s">
        <v>918</v>
      </c>
      <c r="AC94" t="s">
        <v>993</v>
      </c>
      <c r="AD94" t="s">
        <v>1544</v>
      </c>
      <c r="AE94">
        <v>14.4</v>
      </c>
      <c r="AF94">
        <v>14.3065</v>
      </c>
    </row>
    <row r="95" spans="1:32" x14ac:dyDescent="0.25">
      <c r="A95" s="194" t="s">
        <v>1459</v>
      </c>
      <c r="B95" t="s">
        <v>330</v>
      </c>
      <c r="C95" t="s">
        <v>1176</v>
      </c>
      <c r="D95" t="s">
        <v>1069</v>
      </c>
      <c r="E95" t="s">
        <v>63</v>
      </c>
      <c r="F95" t="s">
        <v>1399</v>
      </c>
      <c r="G95" t="s">
        <v>1384</v>
      </c>
      <c r="H95" t="s">
        <v>1554</v>
      </c>
      <c r="I95" t="s">
        <v>940</v>
      </c>
      <c r="J95" t="s">
        <v>1508</v>
      </c>
      <c r="K95" t="s">
        <v>1587</v>
      </c>
      <c r="L95" t="s">
        <v>1049</v>
      </c>
      <c r="M95" t="s">
        <v>920</v>
      </c>
      <c r="N95" t="s">
        <v>1588</v>
      </c>
      <c r="O95" t="s">
        <v>1211</v>
      </c>
      <c r="P95" t="s">
        <v>1027</v>
      </c>
      <c r="Q95" t="s">
        <v>1288</v>
      </c>
      <c r="R95" t="s">
        <v>913</v>
      </c>
      <c r="S95" t="s">
        <v>908</v>
      </c>
      <c r="T95" t="s">
        <v>1012</v>
      </c>
      <c r="U95" t="s">
        <v>1589</v>
      </c>
      <c r="V95" t="s">
        <v>969</v>
      </c>
      <c r="W95" t="s">
        <v>1220</v>
      </c>
      <c r="X95" t="s">
        <v>970</v>
      </c>
      <c r="Y95" t="s">
        <v>1030</v>
      </c>
      <c r="Z95" t="s">
        <v>1064</v>
      </c>
      <c r="AA95" t="s">
        <v>1065</v>
      </c>
      <c r="AB95" t="s">
        <v>1049</v>
      </c>
      <c r="AC95" t="s">
        <v>1012</v>
      </c>
      <c r="AD95" t="s">
        <v>1357</v>
      </c>
      <c r="AE95">
        <v>17</v>
      </c>
      <c r="AF95">
        <v>17.030799999999999</v>
      </c>
    </row>
    <row r="96" spans="1:32" x14ac:dyDescent="0.25">
      <c r="A96" s="191" t="s">
        <v>1033</v>
      </c>
      <c r="B96" t="s">
        <v>1590</v>
      </c>
      <c r="C96" t="s">
        <v>1084</v>
      </c>
      <c r="D96" t="s">
        <v>95</v>
      </c>
      <c r="E96" t="s">
        <v>47</v>
      </c>
      <c r="F96" t="s">
        <v>1052</v>
      </c>
      <c r="G96" t="s">
        <v>1477</v>
      </c>
      <c r="H96" t="s">
        <v>1591</v>
      </c>
      <c r="I96" t="s">
        <v>1092</v>
      </c>
      <c r="J96" t="s">
        <v>1207</v>
      </c>
      <c r="K96" t="s">
        <v>1249</v>
      </c>
      <c r="L96" t="s">
        <v>922</v>
      </c>
      <c r="M96" t="s">
        <v>1134</v>
      </c>
      <c r="N96" t="s">
        <v>1379</v>
      </c>
      <c r="O96" t="s">
        <v>1155</v>
      </c>
      <c r="P96" t="s">
        <v>1023</v>
      </c>
      <c r="Q96" t="s">
        <v>1592</v>
      </c>
      <c r="R96" t="s">
        <v>1442</v>
      </c>
      <c r="S96" t="s">
        <v>1228</v>
      </c>
      <c r="T96" t="s">
        <v>962</v>
      </c>
      <c r="U96" t="s">
        <v>1593</v>
      </c>
      <c r="V96" t="s">
        <v>1310</v>
      </c>
      <c r="W96" t="s">
        <v>909</v>
      </c>
      <c r="X96" t="s">
        <v>1118</v>
      </c>
      <c r="Y96" t="s">
        <v>1160</v>
      </c>
      <c r="Z96" t="s">
        <v>923</v>
      </c>
      <c r="AA96" t="s">
        <v>1065</v>
      </c>
      <c r="AB96" t="s">
        <v>1220</v>
      </c>
      <c r="AC96" t="s">
        <v>924</v>
      </c>
      <c r="AD96" t="s">
        <v>1197</v>
      </c>
      <c r="AE96">
        <v>16.899999999999999</v>
      </c>
      <c r="AF96">
        <v>16.929600000000001</v>
      </c>
    </row>
    <row r="97" spans="1:32" x14ac:dyDescent="0.25">
      <c r="A97" s="191" t="s">
        <v>1594</v>
      </c>
      <c r="B97" t="s">
        <v>44</v>
      </c>
      <c r="C97" t="s">
        <v>1245</v>
      </c>
      <c r="D97" t="s">
        <v>45</v>
      </c>
      <c r="E97" t="s">
        <v>56</v>
      </c>
      <c r="F97" t="s">
        <v>930</v>
      </c>
      <c r="G97" t="s">
        <v>1343</v>
      </c>
      <c r="H97" t="s">
        <v>1486</v>
      </c>
      <c r="I97" t="s">
        <v>1329</v>
      </c>
      <c r="J97" t="s">
        <v>1360</v>
      </c>
      <c r="K97" t="s">
        <v>1595</v>
      </c>
      <c r="L97" t="s">
        <v>1012</v>
      </c>
      <c r="M97" t="s">
        <v>1009</v>
      </c>
      <c r="N97" t="s">
        <v>1056</v>
      </c>
      <c r="O97" t="s">
        <v>1104</v>
      </c>
      <c r="P97" t="s">
        <v>1059</v>
      </c>
      <c r="Q97" t="s">
        <v>1596</v>
      </c>
      <c r="R97" t="s">
        <v>1514</v>
      </c>
      <c r="S97" t="s">
        <v>979</v>
      </c>
      <c r="T97" t="s">
        <v>1170</v>
      </c>
      <c r="U97" t="s">
        <v>1597</v>
      </c>
      <c r="V97" t="s">
        <v>991</v>
      </c>
      <c r="W97" t="s">
        <v>1000</v>
      </c>
      <c r="X97" t="s">
        <v>1155</v>
      </c>
      <c r="Y97" t="s">
        <v>1092</v>
      </c>
      <c r="Z97" t="s">
        <v>1008</v>
      </c>
      <c r="AA97" t="s">
        <v>1119</v>
      </c>
      <c r="AB97" t="s">
        <v>1220</v>
      </c>
      <c r="AC97" t="s">
        <v>922</v>
      </c>
      <c r="AD97" t="s">
        <v>1386</v>
      </c>
      <c r="AE97">
        <v>16.900000000000002</v>
      </c>
      <c r="AF97">
        <v>16.8156</v>
      </c>
    </row>
    <row r="98" spans="1:32" x14ac:dyDescent="0.25">
      <c r="A98" s="191" t="s">
        <v>1598</v>
      </c>
      <c r="B98" t="s">
        <v>78</v>
      </c>
      <c r="C98" t="s">
        <v>1293</v>
      </c>
      <c r="D98" t="s">
        <v>79</v>
      </c>
      <c r="E98" t="s">
        <v>72</v>
      </c>
      <c r="F98" t="s">
        <v>1594</v>
      </c>
      <c r="G98" t="s">
        <v>1594</v>
      </c>
      <c r="H98" t="s">
        <v>1469</v>
      </c>
      <c r="I98" t="s">
        <v>988</v>
      </c>
      <c r="J98" t="s">
        <v>931</v>
      </c>
      <c r="K98" t="s">
        <v>1599</v>
      </c>
      <c r="L98" t="s">
        <v>1600</v>
      </c>
      <c r="M98" t="s">
        <v>1600</v>
      </c>
      <c r="N98" t="s">
        <v>927</v>
      </c>
      <c r="O98" t="s">
        <v>988</v>
      </c>
      <c r="P98" t="s">
        <v>931</v>
      </c>
      <c r="Q98" t="s">
        <v>1599</v>
      </c>
      <c r="R98" t="s">
        <v>1599</v>
      </c>
      <c r="S98" t="s">
        <v>956</v>
      </c>
      <c r="T98" t="s">
        <v>1135</v>
      </c>
      <c r="U98" t="s">
        <v>1601</v>
      </c>
      <c r="V98" t="s">
        <v>1155</v>
      </c>
      <c r="W98" t="s">
        <v>1024</v>
      </c>
      <c r="X98" t="s">
        <v>1306</v>
      </c>
      <c r="Y98" t="s">
        <v>1220</v>
      </c>
      <c r="Z98" t="s">
        <v>1008</v>
      </c>
      <c r="AA98" t="s">
        <v>1064</v>
      </c>
      <c r="AB98" t="s">
        <v>1029</v>
      </c>
      <c r="AC98" t="s">
        <v>908</v>
      </c>
      <c r="AD98" t="s">
        <v>1386</v>
      </c>
      <c r="AE98">
        <v>16.8</v>
      </c>
      <c r="AF98" t="e">
        <v>#VALUE!</v>
      </c>
    </row>
    <row r="99" spans="1:32" x14ac:dyDescent="0.25">
      <c r="A99" s="191" t="s">
        <v>1416</v>
      </c>
      <c r="B99" t="s">
        <v>226</v>
      </c>
      <c r="C99" t="s">
        <v>929</v>
      </c>
      <c r="D99" t="s">
        <v>113</v>
      </c>
      <c r="E99" t="s">
        <v>63</v>
      </c>
      <c r="F99" t="s">
        <v>903</v>
      </c>
      <c r="G99" t="s">
        <v>903</v>
      </c>
      <c r="H99" t="s">
        <v>1602</v>
      </c>
      <c r="I99" t="s">
        <v>1092</v>
      </c>
      <c r="J99" t="s">
        <v>1306</v>
      </c>
      <c r="K99" t="s">
        <v>1603</v>
      </c>
      <c r="L99" t="s">
        <v>979</v>
      </c>
      <c r="M99" t="s">
        <v>1035</v>
      </c>
      <c r="N99" t="s">
        <v>1604</v>
      </c>
      <c r="O99" t="s">
        <v>908</v>
      </c>
      <c r="P99" t="s">
        <v>979</v>
      </c>
      <c r="Q99" t="s">
        <v>1605</v>
      </c>
      <c r="R99" t="s">
        <v>1606</v>
      </c>
      <c r="S99" t="s">
        <v>968</v>
      </c>
      <c r="T99" t="s">
        <v>908</v>
      </c>
      <c r="U99" t="s">
        <v>1080</v>
      </c>
      <c r="V99" t="s">
        <v>918</v>
      </c>
      <c r="W99" t="s">
        <v>992</v>
      </c>
      <c r="X99" t="s">
        <v>1047</v>
      </c>
      <c r="Y99" t="s">
        <v>1134</v>
      </c>
      <c r="Z99" t="s">
        <v>918</v>
      </c>
      <c r="AA99" t="s">
        <v>1064</v>
      </c>
      <c r="AB99" t="s">
        <v>922</v>
      </c>
      <c r="AC99" t="s">
        <v>968</v>
      </c>
      <c r="AD99" t="s">
        <v>1345</v>
      </c>
      <c r="AE99">
        <v>16.5</v>
      </c>
      <c r="AF99">
        <v>16.396100000000001</v>
      </c>
    </row>
    <row r="100" spans="1:32" x14ac:dyDescent="0.25">
      <c r="A100" s="194" t="s">
        <v>1607</v>
      </c>
      <c r="B100" t="s">
        <v>353</v>
      </c>
      <c r="C100" t="s">
        <v>1015</v>
      </c>
      <c r="D100" t="s">
        <v>97</v>
      </c>
      <c r="E100" t="s">
        <v>63</v>
      </c>
      <c r="F100" t="s">
        <v>1416</v>
      </c>
      <c r="G100" t="s">
        <v>1222</v>
      </c>
      <c r="H100" t="s">
        <v>1581</v>
      </c>
      <c r="I100" t="s">
        <v>1092</v>
      </c>
      <c r="J100" t="s">
        <v>1508</v>
      </c>
      <c r="K100" t="s">
        <v>1075</v>
      </c>
      <c r="L100" t="s">
        <v>1160</v>
      </c>
      <c r="M100" t="s">
        <v>959</v>
      </c>
      <c r="N100" t="s">
        <v>1608</v>
      </c>
      <c r="O100" t="s">
        <v>922</v>
      </c>
      <c r="P100" t="s">
        <v>1030</v>
      </c>
      <c r="Q100" t="s">
        <v>1609</v>
      </c>
      <c r="R100" t="s">
        <v>1610</v>
      </c>
      <c r="S100" t="s">
        <v>945</v>
      </c>
      <c r="T100" t="s">
        <v>922</v>
      </c>
      <c r="U100" t="s">
        <v>1611</v>
      </c>
      <c r="V100" t="s">
        <v>969</v>
      </c>
      <c r="W100" t="s">
        <v>956</v>
      </c>
      <c r="X100" t="s">
        <v>1012</v>
      </c>
      <c r="Y100" t="s">
        <v>922</v>
      </c>
      <c r="Z100" t="s">
        <v>918</v>
      </c>
      <c r="AA100" t="s">
        <v>1119</v>
      </c>
      <c r="AB100" t="s">
        <v>923</v>
      </c>
      <c r="AC100" t="s">
        <v>1310</v>
      </c>
      <c r="AD100" t="s">
        <v>1612</v>
      </c>
      <c r="AE100">
        <v>16.299999999999997</v>
      </c>
      <c r="AF100">
        <v>16.302299999999999</v>
      </c>
    </row>
    <row r="101" spans="1:32" x14ac:dyDescent="0.25">
      <c r="A101" s="191" t="s">
        <v>1613</v>
      </c>
      <c r="B101" t="s">
        <v>168</v>
      </c>
      <c r="C101" t="s">
        <v>1084</v>
      </c>
      <c r="D101" t="s">
        <v>70</v>
      </c>
      <c r="E101" t="s">
        <v>63</v>
      </c>
      <c r="F101" t="s">
        <v>1446</v>
      </c>
      <c r="G101" t="s">
        <v>1399</v>
      </c>
      <c r="H101" t="s">
        <v>1614</v>
      </c>
      <c r="I101" t="s">
        <v>985</v>
      </c>
      <c r="J101" t="s">
        <v>1129</v>
      </c>
      <c r="K101" t="s">
        <v>1273</v>
      </c>
      <c r="L101" t="s">
        <v>993</v>
      </c>
      <c r="M101" t="s">
        <v>1112</v>
      </c>
      <c r="N101" t="s">
        <v>981</v>
      </c>
      <c r="O101" t="s">
        <v>1030</v>
      </c>
      <c r="P101" t="s">
        <v>1026</v>
      </c>
      <c r="Q101" t="s">
        <v>1235</v>
      </c>
      <c r="R101" t="s">
        <v>1615</v>
      </c>
      <c r="S101" t="s">
        <v>1310</v>
      </c>
      <c r="T101" t="s">
        <v>1049</v>
      </c>
      <c r="U101" t="s">
        <v>1616</v>
      </c>
      <c r="V101" t="s">
        <v>1065</v>
      </c>
      <c r="W101" t="s">
        <v>979</v>
      </c>
      <c r="X101" t="s">
        <v>1228</v>
      </c>
      <c r="Y101" t="s">
        <v>964</v>
      </c>
      <c r="Z101" t="s">
        <v>1195</v>
      </c>
      <c r="AA101" t="s">
        <v>1065</v>
      </c>
      <c r="AB101" t="s">
        <v>1230</v>
      </c>
      <c r="AC101" t="s">
        <v>922</v>
      </c>
      <c r="AD101" t="s">
        <v>1612</v>
      </c>
      <c r="AE101">
        <v>16.399999999999999</v>
      </c>
      <c r="AF101">
        <v>16.288800000000002</v>
      </c>
    </row>
    <row r="102" spans="1:32" x14ac:dyDescent="0.25">
      <c r="A102" s="191" t="s">
        <v>1617</v>
      </c>
      <c r="B102" t="s">
        <v>1618</v>
      </c>
      <c r="C102" t="s">
        <v>1204</v>
      </c>
      <c r="D102" t="s">
        <v>45</v>
      </c>
      <c r="E102" t="s">
        <v>63</v>
      </c>
      <c r="F102" t="s">
        <v>1376</v>
      </c>
      <c r="G102" t="s">
        <v>1096</v>
      </c>
      <c r="H102" t="s">
        <v>1120</v>
      </c>
      <c r="I102" t="s">
        <v>1329</v>
      </c>
      <c r="J102" t="s">
        <v>1316</v>
      </c>
      <c r="K102" t="s">
        <v>1619</v>
      </c>
      <c r="L102" t="s">
        <v>947</v>
      </c>
      <c r="M102" t="s">
        <v>1044</v>
      </c>
      <c r="N102" t="s">
        <v>1620</v>
      </c>
      <c r="O102" t="s">
        <v>1048</v>
      </c>
      <c r="P102" t="s">
        <v>1128</v>
      </c>
      <c r="Q102" t="s">
        <v>1168</v>
      </c>
      <c r="R102" t="s">
        <v>1021</v>
      </c>
      <c r="S102" t="s">
        <v>946</v>
      </c>
      <c r="T102" t="s">
        <v>1160</v>
      </c>
      <c r="U102" t="s">
        <v>1330</v>
      </c>
      <c r="V102" t="s">
        <v>1008</v>
      </c>
      <c r="W102" t="s">
        <v>993</v>
      </c>
      <c r="X102" t="s">
        <v>1048</v>
      </c>
      <c r="Y102" t="s">
        <v>1030</v>
      </c>
      <c r="Z102" t="s">
        <v>987</v>
      </c>
      <c r="AA102" t="s">
        <v>934</v>
      </c>
      <c r="AB102" t="s">
        <v>947</v>
      </c>
      <c r="AC102" t="s">
        <v>1230</v>
      </c>
      <c r="AD102" t="s">
        <v>1621</v>
      </c>
      <c r="AE102">
        <v>16.200000000000003</v>
      </c>
      <c r="AF102">
        <v>16.222100000000001</v>
      </c>
    </row>
    <row r="103" spans="1:32" x14ac:dyDescent="0.25">
      <c r="A103" s="191" t="s">
        <v>1622</v>
      </c>
      <c r="B103" t="s">
        <v>1623</v>
      </c>
      <c r="C103" t="s">
        <v>1164</v>
      </c>
      <c r="D103" t="s">
        <v>108</v>
      </c>
      <c r="E103" t="s">
        <v>93</v>
      </c>
      <c r="F103" t="s">
        <v>1403</v>
      </c>
      <c r="G103" t="s">
        <v>1403</v>
      </c>
      <c r="H103" t="s">
        <v>1624</v>
      </c>
      <c r="I103" t="s">
        <v>1063</v>
      </c>
      <c r="J103" t="s">
        <v>1129</v>
      </c>
      <c r="K103" t="s">
        <v>1075</v>
      </c>
      <c r="L103" t="s">
        <v>947</v>
      </c>
      <c r="M103" t="s">
        <v>940</v>
      </c>
      <c r="N103" t="s">
        <v>1625</v>
      </c>
      <c r="O103" t="s">
        <v>992</v>
      </c>
      <c r="P103" t="s">
        <v>988</v>
      </c>
      <c r="Q103" t="s">
        <v>1021</v>
      </c>
      <c r="R103" t="s">
        <v>1308</v>
      </c>
      <c r="S103" t="s">
        <v>1049</v>
      </c>
      <c r="T103" t="s">
        <v>924</v>
      </c>
      <c r="U103" t="s">
        <v>1060</v>
      </c>
      <c r="V103" t="s">
        <v>969</v>
      </c>
      <c r="W103" t="s">
        <v>1134</v>
      </c>
      <c r="X103" t="s">
        <v>1043</v>
      </c>
      <c r="Y103" t="s">
        <v>1170</v>
      </c>
      <c r="Z103" t="s">
        <v>968</v>
      </c>
      <c r="AA103" t="s">
        <v>1065</v>
      </c>
      <c r="AB103" t="s">
        <v>1012</v>
      </c>
      <c r="AC103" t="s">
        <v>993</v>
      </c>
      <c r="AD103" t="s">
        <v>1621</v>
      </c>
      <c r="AE103">
        <v>16.2</v>
      </c>
      <c r="AF103">
        <v>16.231000000000002</v>
      </c>
    </row>
    <row r="104" spans="1:32" x14ac:dyDescent="0.25">
      <c r="A104" s="191" t="s">
        <v>1626</v>
      </c>
      <c r="B104" t="s">
        <v>1627</v>
      </c>
      <c r="C104" t="s">
        <v>1032</v>
      </c>
      <c r="D104" t="s">
        <v>142</v>
      </c>
      <c r="E104" t="s">
        <v>56</v>
      </c>
      <c r="F104" t="s">
        <v>1343</v>
      </c>
      <c r="G104" t="s">
        <v>1343</v>
      </c>
      <c r="H104" t="s">
        <v>1214</v>
      </c>
      <c r="I104" t="s">
        <v>1092</v>
      </c>
      <c r="J104" t="s">
        <v>1360</v>
      </c>
      <c r="K104" t="s">
        <v>1346</v>
      </c>
      <c r="L104" t="s">
        <v>925</v>
      </c>
      <c r="M104" t="s">
        <v>1116</v>
      </c>
      <c r="N104" t="s">
        <v>1628</v>
      </c>
      <c r="O104" t="s">
        <v>979</v>
      </c>
      <c r="P104" t="s">
        <v>1172</v>
      </c>
      <c r="Q104" t="s">
        <v>1283</v>
      </c>
      <c r="R104" t="s">
        <v>1629</v>
      </c>
      <c r="S104" t="s">
        <v>1104</v>
      </c>
      <c r="T104" t="s">
        <v>946</v>
      </c>
      <c r="U104" t="s">
        <v>1301</v>
      </c>
      <c r="V104" t="s">
        <v>1008</v>
      </c>
      <c r="W104" t="s">
        <v>1000</v>
      </c>
      <c r="X104" t="s">
        <v>1228</v>
      </c>
      <c r="Y104" t="s">
        <v>1030</v>
      </c>
      <c r="Z104" t="s">
        <v>1310</v>
      </c>
      <c r="AA104" t="s">
        <v>918</v>
      </c>
      <c r="AB104" t="s">
        <v>964</v>
      </c>
      <c r="AC104" t="s">
        <v>1104</v>
      </c>
      <c r="AD104" t="s">
        <v>1621</v>
      </c>
      <c r="AE104">
        <v>16.2</v>
      </c>
      <c r="AF104">
        <v>16.115600000000001</v>
      </c>
    </row>
    <row r="105" spans="1:32" x14ac:dyDescent="0.25">
      <c r="A105" s="191" t="s">
        <v>1630</v>
      </c>
      <c r="B105" t="s">
        <v>320</v>
      </c>
      <c r="C105" t="s">
        <v>995</v>
      </c>
      <c r="D105" t="s">
        <v>170</v>
      </c>
      <c r="E105" t="s">
        <v>47</v>
      </c>
      <c r="F105" t="s">
        <v>1052</v>
      </c>
      <c r="G105" t="s">
        <v>1453</v>
      </c>
      <c r="H105" t="s">
        <v>1367</v>
      </c>
      <c r="I105" t="s">
        <v>1329</v>
      </c>
      <c r="J105" t="s">
        <v>931</v>
      </c>
      <c r="K105" t="s">
        <v>1555</v>
      </c>
      <c r="L105" t="s">
        <v>1230</v>
      </c>
      <c r="M105" t="s">
        <v>1228</v>
      </c>
      <c r="N105" t="s">
        <v>1267</v>
      </c>
      <c r="O105" t="s">
        <v>919</v>
      </c>
      <c r="P105" t="s">
        <v>1011</v>
      </c>
      <c r="Q105" t="s">
        <v>907</v>
      </c>
      <c r="R105" t="s">
        <v>1180</v>
      </c>
      <c r="S105" t="s">
        <v>1155</v>
      </c>
      <c r="T105" t="s">
        <v>1211</v>
      </c>
      <c r="U105" t="s">
        <v>1631</v>
      </c>
      <c r="V105" t="s">
        <v>945</v>
      </c>
      <c r="W105" t="s">
        <v>919</v>
      </c>
      <c r="X105" t="s">
        <v>1043</v>
      </c>
      <c r="Y105" t="s">
        <v>1049</v>
      </c>
      <c r="Z105" t="s">
        <v>1008</v>
      </c>
      <c r="AA105" t="s">
        <v>1094</v>
      </c>
      <c r="AB105" t="s">
        <v>1049</v>
      </c>
      <c r="AC105" t="s">
        <v>947</v>
      </c>
      <c r="AD105" t="s">
        <v>912</v>
      </c>
      <c r="AE105">
        <v>16</v>
      </c>
      <c r="AF105">
        <v>15.999000000000001</v>
      </c>
    </row>
    <row r="106" spans="1:32" x14ac:dyDescent="0.25">
      <c r="A106" s="191" t="s">
        <v>1632</v>
      </c>
      <c r="B106" t="s">
        <v>169</v>
      </c>
      <c r="C106" t="s">
        <v>1015</v>
      </c>
      <c r="D106" t="s">
        <v>170</v>
      </c>
      <c r="E106" t="s">
        <v>72</v>
      </c>
      <c r="F106" t="s">
        <v>1052</v>
      </c>
      <c r="G106" t="s">
        <v>1052</v>
      </c>
      <c r="H106" t="s">
        <v>1295</v>
      </c>
      <c r="I106" t="s">
        <v>1329</v>
      </c>
      <c r="J106" t="s">
        <v>905</v>
      </c>
      <c r="K106" t="s">
        <v>1300</v>
      </c>
      <c r="L106" t="s">
        <v>925</v>
      </c>
      <c r="M106" t="s">
        <v>1291</v>
      </c>
      <c r="N106" t="s">
        <v>1633</v>
      </c>
      <c r="O106" t="s">
        <v>970</v>
      </c>
      <c r="P106" t="s">
        <v>1079</v>
      </c>
      <c r="Q106" t="s">
        <v>1559</v>
      </c>
      <c r="R106" t="s">
        <v>1493</v>
      </c>
      <c r="S106" t="s">
        <v>1012</v>
      </c>
      <c r="T106" t="s">
        <v>970</v>
      </c>
      <c r="U106" t="s">
        <v>1634</v>
      </c>
      <c r="V106" t="s">
        <v>1195</v>
      </c>
      <c r="W106" t="s">
        <v>1043</v>
      </c>
      <c r="X106" t="s">
        <v>940</v>
      </c>
      <c r="Y106" t="s">
        <v>1310</v>
      </c>
      <c r="Z106" t="s">
        <v>987</v>
      </c>
      <c r="AA106" t="s">
        <v>956</v>
      </c>
      <c r="AB106" t="s">
        <v>922</v>
      </c>
      <c r="AC106" t="s">
        <v>993</v>
      </c>
      <c r="AD106" t="s">
        <v>1635</v>
      </c>
      <c r="AE106">
        <v>15.6</v>
      </c>
      <c r="AF106">
        <v>15.592500000000003</v>
      </c>
    </row>
    <row r="107" spans="1:32" x14ac:dyDescent="0.25">
      <c r="A107" s="191" t="s">
        <v>1636</v>
      </c>
      <c r="B107" t="s">
        <v>369</v>
      </c>
      <c r="C107" t="s">
        <v>1032</v>
      </c>
      <c r="D107" t="s">
        <v>148</v>
      </c>
      <c r="E107" t="s">
        <v>63</v>
      </c>
      <c r="F107" t="s">
        <v>1033</v>
      </c>
      <c r="G107" t="s">
        <v>1285</v>
      </c>
      <c r="H107" t="s">
        <v>1602</v>
      </c>
      <c r="I107" t="s">
        <v>1063</v>
      </c>
      <c r="J107" t="s">
        <v>1020</v>
      </c>
      <c r="K107" t="s">
        <v>1606</v>
      </c>
      <c r="L107" t="s">
        <v>1064</v>
      </c>
      <c r="M107" t="s">
        <v>1104</v>
      </c>
      <c r="N107" t="s">
        <v>1225</v>
      </c>
      <c r="O107" t="s">
        <v>1046</v>
      </c>
      <c r="P107" t="s">
        <v>1009</v>
      </c>
      <c r="Q107" t="s">
        <v>1637</v>
      </c>
      <c r="R107" t="s">
        <v>1638</v>
      </c>
      <c r="S107" t="s">
        <v>925</v>
      </c>
      <c r="T107" t="s">
        <v>1220</v>
      </c>
      <c r="U107" t="s">
        <v>1309</v>
      </c>
      <c r="V107" t="s">
        <v>945</v>
      </c>
      <c r="W107" t="s">
        <v>1160</v>
      </c>
      <c r="X107" t="s">
        <v>962</v>
      </c>
      <c r="Y107" t="s">
        <v>1012</v>
      </c>
      <c r="Z107" t="s">
        <v>1064</v>
      </c>
      <c r="AA107" t="s">
        <v>1065</v>
      </c>
      <c r="AB107" t="s">
        <v>923</v>
      </c>
      <c r="AC107" t="s">
        <v>925</v>
      </c>
      <c r="AD107" t="s">
        <v>1183</v>
      </c>
      <c r="AE107">
        <v>15.3</v>
      </c>
      <c r="AF107">
        <v>15.417300000000001</v>
      </c>
    </row>
    <row r="108" spans="1:32" x14ac:dyDescent="0.25">
      <c r="A108" s="191" t="s">
        <v>1865</v>
      </c>
      <c r="B108" t="s">
        <v>288</v>
      </c>
      <c r="C108" t="s">
        <v>1245</v>
      </c>
      <c r="D108" t="s">
        <v>1223</v>
      </c>
      <c r="E108" t="s">
        <v>63</v>
      </c>
      <c r="F108" t="s">
        <v>1446</v>
      </c>
      <c r="G108" t="s">
        <v>1355</v>
      </c>
      <c r="H108" t="s">
        <v>1066</v>
      </c>
      <c r="I108" t="s">
        <v>1103</v>
      </c>
      <c r="J108" t="s">
        <v>997</v>
      </c>
      <c r="K108" t="s">
        <v>1575</v>
      </c>
      <c r="L108" t="s">
        <v>968</v>
      </c>
      <c r="M108" t="s">
        <v>1134</v>
      </c>
      <c r="N108" t="s">
        <v>1558</v>
      </c>
      <c r="O108" t="s">
        <v>1012</v>
      </c>
      <c r="P108" t="s">
        <v>920</v>
      </c>
      <c r="Q108" t="s">
        <v>1180</v>
      </c>
      <c r="R108" t="s">
        <v>1058</v>
      </c>
      <c r="S108" t="s">
        <v>1064</v>
      </c>
      <c r="T108" t="s">
        <v>1310</v>
      </c>
      <c r="U108" t="s">
        <v>1866</v>
      </c>
      <c r="V108" t="s">
        <v>923</v>
      </c>
      <c r="W108" t="s">
        <v>919</v>
      </c>
      <c r="X108" t="s">
        <v>1005</v>
      </c>
      <c r="Y108" t="s">
        <v>1000</v>
      </c>
      <c r="Z108" t="s">
        <v>1064</v>
      </c>
      <c r="AA108" t="s">
        <v>934</v>
      </c>
      <c r="AB108" t="s">
        <v>945</v>
      </c>
      <c r="AC108" t="s">
        <v>1310</v>
      </c>
      <c r="AD108" t="s">
        <v>1207</v>
      </c>
      <c r="AE108">
        <v>11.700000000000001</v>
      </c>
      <c r="AF108">
        <v>11.6538</v>
      </c>
    </row>
    <row r="109" spans="1:32" x14ac:dyDescent="0.25">
      <c r="A109" s="191" t="s">
        <v>1643</v>
      </c>
      <c r="B109" t="s">
        <v>1644</v>
      </c>
      <c r="C109" t="s">
        <v>1238</v>
      </c>
      <c r="D109" t="s">
        <v>108</v>
      </c>
      <c r="E109" t="s">
        <v>63</v>
      </c>
      <c r="F109" t="s">
        <v>1032</v>
      </c>
      <c r="G109" t="s">
        <v>1083</v>
      </c>
      <c r="H109" t="s">
        <v>1196</v>
      </c>
      <c r="I109" t="s">
        <v>1291</v>
      </c>
      <c r="J109" t="s">
        <v>944</v>
      </c>
      <c r="K109" t="s">
        <v>1455</v>
      </c>
      <c r="L109" t="s">
        <v>925</v>
      </c>
      <c r="M109" t="s">
        <v>1079</v>
      </c>
      <c r="N109" t="s">
        <v>1111</v>
      </c>
      <c r="O109" t="s">
        <v>970</v>
      </c>
      <c r="P109" t="s">
        <v>1059</v>
      </c>
      <c r="Q109" t="s">
        <v>1615</v>
      </c>
      <c r="R109" t="s">
        <v>1184</v>
      </c>
      <c r="S109" t="s">
        <v>908</v>
      </c>
      <c r="T109" t="s">
        <v>924</v>
      </c>
      <c r="U109" t="s">
        <v>1270</v>
      </c>
      <c r="V109" t="s">
        <v>969</v>
      </c>
      <c r="W109" t="s">
        <v>1049</v>
      </c>
      <c r="X109" t="s">
        <v>924</v>
      </c>
      <c r="Y109" t="s">
        <v>1012</v>
      </c>
      <c r="Z109" t="s">
        <v>1008</v>
      </c>
      <c r="AA109" t="s">
        <v>1600</v>
      </c>
      <c r="AB109" t="s">
        <v>1029</v>
      </c>
      <c r="AC109" t="s">
        <v>1029</v>
      </c>
      <c r="AD109" t="s">
        <v>1527</v>
      </c>
      <c r="AE109">
        <v>15.299999999999999</v>
      </c>
      <c r="AF109">
        <v>15.254600000000002</v>
      </c>
    </row>
    <row r="110" spans="1:32" x14ac:dyDescent="0.25">
      <c r="A110" s="194" t="s">
        <v>1645</v>
      </c>
      <c r="B110" t="s">
        <v>378</v>
      </c>
      <c r="C110" t="s">
        <v>1032</v>
      </c>
      <c r="D110" t="s">
        <v>1149</v>
      </c>
      <c r="E110" t="s">
        <v>72</v>
      </c>
      <c r="F110" t="s">
        <v>1422</v>
      </c>
      <c r="G110" t="s">
        <v>1403</v>
      </c>
      <c r="H110" t="s">
        <v>1082</v>
      </c>
      <c r="I110" t="s">
        <v>1059</v>
      </c>
      <c r="J110" t="s">
        <v>967</v>
      </c>
      <c r="K110" t="s">
        <v>1524</v>
      </c>
      <c r="L110" t="s">
        <v>1600</v>
      </c>
      <c r="M110" t="s">
        <v>1119</v>
      </c>
      <c r="N110" t="s">
        <v>1646</v>
      </c>
      <c r="O110" t="s">
        <v>1059</v>
      </c>
      <c r="P110" t="s">
        <v>1040</v>
      </c>
      <c r="Q110" t="s">
        <v>1325</v>
      </c>
      <c r="R110" t="s">
        <v>1524</v>
      </c>
      <c r="S110" t="s">
        <v>1135</v>
      </c>
      <c r="T110" t="s">
        <v>1030</v>
      </c>
      <c r="U110" t="s">
        <v>1375</v>
      </c>
      <c r="V110" t="s">
        <v>1135</v>
      </c>
      <c r="W110" t="s">
        <v>1026</v>
      </c>
      <c r="X110" t="s">
        <v>967</v>
      </c>
      <c r="Y110" t="s">
        <v>993</v>
      </c>
      <c r="Z110" t="s">
        <v>1008</v>
      </c>
      <c r="AA110" t="s">
        <v>945</v>
      </c>
      <c r="AB110" t="s">
        <v>1029</v>
      </c>
      <c r="AC110" t="s">
        <v>924</v>
      </c>
      <c r="AD110" t="s">
        <v>1527</v>
      </c>
      <c r="AE110">
        <v>15.2</v>
      </c>
      <c r="AF110">
        <v>15.2766</v>
      </c>
    </row>
    <row r="111" spans="1:32" x14ac:dyDescent="0.25">
      <c r="A111" s="191" t="s">
        <v>1647</v>
      </c>
      <c r="B111" t="s">
        <v>1648</v>
      </c>
      <c r="C111" t="s">
        <v>950</v>
      </c>
      <c r="D111" t="s">
        <v>108</v>
      </c>
      <c r="E111" t="s">
        <v>47</v>
      </c>
      <c r="F111" t="s">
        <v>1255</v>
      </c>
      <c r="G111" t="s">
        <v>1489</v>
      </c>
      <c r="H111" t="s">
        <v>1649</v>
      </c>
      <c r="I111" t="s">
        <v>1079</v>
      </c>
      <c r="J111" t="s">
        <v>1113</v>
      </c>
      <c r="K111" t="s">
        <v>1584</v>
      </c>
      <c r="L111" t="s">
        <v>945</v>
      </c>
      <c r="M111" t="s">
        <v>1228</v>
      </c>
      <c r="N111" t="s">
        <v>1650</v>
      </c>
      <c r="O111" t="s">
        <v>1211</v>
      </c>
      <c r="P111" t="s">
        <v>1010</v>
      </c>
      <c r="Q111" t="s">
        <v>1003</v>
      </c>
      <c r="R111" t="s">
        <v>1395</v>
      </c>
      <c r="S111" t="s">
        <v>947</v>
      </c>
      <c r="T111" t="s">
        <v>946</v>
      </c>
      <c r="U111" t="s">
        <v>1651</v>
      </c>
      <c r="V111" t="s">
        <v>1029</v>
      </c>
      <c r="W111" t="s">
        <v>1047</v>
      </c>
      <c r="X111" t="s">
        <v>1059</v>
      </c>
      <c r="Y111" t="s">
        <v>968</v>
      </c>
      <c r="Z111" t="s">
        <v>1310</v>
      </c>
      <c r="AA111" t="s">
        <v>1065</v>
      </c>
      <c r="AB111" t="s">
        <v>1195</v>
      </c>
      <c r="AC111" t="s">
        <v>1135</v>
      </c>
      <c r="AD111" t="s">
        <v>1439</v>
      </c>
      <c r="AE111">
        <v>15.099999999999998</v>
      </c>
      <c r="AF111">
        <v>15.168100000000003</v>
      </c>
    </row>
    <row r="112" spans="1:32" x14ac:dyDescent="0.25">
      <c r="A112" s="191" t="s">
        <v>1652</v>
      </c>
      <c r="B112" t="s">
        <v>1653</v>
      </c>
      <c r="C112" t="s">
        <v>995</v>
      </c>
      <c r="D112" t="s">
        <v>48</v>
      </c>
      <c r="E112" t="s">
        <v>72</v>
      </c>
      <c r="F112" t="s">
        <v>1204</v>
      </c>
      <c r="G112" t="s">
        <v>1204</v>
      </c>
      <c r="H112" t="s">
        <v>1654</v>
      </c>
      <c r="I112" t="s">
        <v>962</v>
      </c>
      <c r="J112" t="s">
        <v>1655</v>
      </c>
      <c r="K112" t="s">
        <v>1565</v>
      </c>
      <c r="L112" t="s">
        <v>1230</v>
      </c>
      <c r="M112" t="s">
        <v>992</v>
      </c>
      <c r="N112" t="s">
        <v>1019</v>
      </c>
      <c r="O112" t="s">
        <v>1155</v>
      </c>
      <c r="P112" t="s">
        <v>1023</v>
      </c>
      <c r="Q112" t="s">
        <v>1042</v>
      </c>
      <c r="R112" t="s">
        <v>1656</v>
      </c>
      <c r="S112" t="s">
        <v>1048</v>
      </c>
      <c r="T112" t="s">
        <v>1081</v>
      </c>
      <c r="U112" t="s">
        <v>1484</v>
      </c>
      <c r="V112" t="s">
        <v>1310</v>
      </c>
      <c r="W112" t="s">
        <v>940</v>
      </c>
      <c r="X112" t="s">
        <v>1061</v>
      </c>
      <c r="Y112" t="s">
        <v>956</v>
      </c>
      <c r="Z112" t="s">
        <v>1008</v>
      </c>
      <c r="AA112" t="s">
        <v>925</v>
      </c>
      <c r="AB112" t="s">
        <v>968</v>
      </c>
      <c r="AC112" t="s">
        <v>947</v>
      </c>
      <c r="AD112" t="s">
        <v>1487</v>
      </c>
      <c r="AE112">
        <v>15</v>
      </c>
      <c r="AF112">
        <v>15.027400000000002</v>
      </c>
    </row>
    <row r="113" spans="1:32" x14ac:dyDescent="0.25">
      <c r="A113" s="191" t="s">
        <v>1657</v>
      </c>
      <c r="B113" t="s">
        <v>233</v>
      </c>
      <c r="C113" t="s">
        <v>950</v>
      </c>
      <c r="D113" t="s">
        <v>974</v>
      </c>
      <c r="E113" t="s">
        <v>93</v>
      </c>
      <c r="F113" t="s">
        <v>1107</v>
      </c>
      <c r="G113" t="s">
        <v>1070</v>
      </c>
      <c r="H113" t="s">
        <v>1367</v>
      </c>
      <c r="I113" t="s">
        <v>909</v>
      </c>
      <c r="J113" t="s">
        <v>1658</v>
      </c>
      <c r="K113" t="s">
        <v>1659</v>
      </c>
      <c r="L113" t="s">
        <v>1310</v>
      </c>
      <c r="M113" t="s">
        <v>1134</v>
      </c>
      <c r="N113" t="s">
        <v>1660</v>
      </c>
      <c r="O113" t="s">
        <v>1081</v>
      </c>
      <c r="P113" t="s">
        <v>989</v>
      </c>
      <c r="Q113" t="s">
        <v>1274</v>
      </c>
      <c r="R113" t="s">
        <v>1021</v>
      </c>
      <c r="S113" t="s">
        <v>956</v>
      </c>
      <c r="T113" t="s">
        <v>946</v>
      </c>
      <c r="U113" t="s">
        <v>1638</v>
      </c>
      <c r="V113" t="s">
        <v>987</v>
      </c>
      <c r="W113" t="s">
        <v>1046</v>
      </c>
      <c r="X113" t="s">
        <v>909</v>
      </c>
      <c r="Y113" t="s">
        <v>947</v>
      </c>
      <c r="Z113" t="s">
        <v>969</v>
      </c>
      <c r="AA113" t="s">
        <v>1094</v>
      </c>
      <c r="AB113" t="s">
        <v>925</v>
      </c>
      <c r="AC113" t="s">
        <v>968</v>
      </c>
      <c r="AD113" t="s">
        <v>960</v>
      </c>
      <c r="AE113">
        <v>14.9</v>
      </c>
      <c r="AF113">
        <v>14.782999999999999</v>
      </c>
    </row>
    <row r="114" spans="1:32" x14ac:dyDescent="0.25">
      <c r="A114" s="191" t="s">
        <v>874</v>
      </c>
      <c r="B114" t="s">
        <v>171</v>
      </c>
      <c r="C114" t="s">
        <v>875</v>
      </c>
      <c r="D114" t="s">
        <v>172</v>
      </c>
      <c r="E114" t="s">
        <v>876</v>
      </c>
      <c r="F114" t="s">
        <v>392</v>
      </c>
      <c r="G114" t="s">
        <v>877</v>
      </c>
      <c r="H114" t="s">
        <v>878</v>
      </c>
      <c r="I114" t="s">
        <v>879</v>
      </c>
      <c r="J114" t="s">
        <v>880</v>
      </c>
      <c r="K114" t="s">
        <v>881</v>
      </c>
      <c r="L114" t="s">
        <v>882</v>
      </c>
      <c r="M114" t="s">
        <v>883</v>
      </c>
      <c r="N114" t="s">
        <v>884</v>
      </c>
      <c r="O114" t="s">
        <v>885</v>
      </c>
      <c r="P114" t="s">
        <v>886</v>
      </c>
      <c r="Q114" t="s">
        <v>887</v>
      </c>
      <c r="R114" t="s">
        <v>888</v>
      </c>
      <c r="S114" t="s">
        <v>889</v>
      </c>
      <c r="T114" t="s">
        <v>890</v>
      </c>
      <c r="U114" t="s">
        <v>891</v>
      </c>
      <c r="V114" t="s">
        <v>892</v>
      </c>
      <c r="W114" t="s">
        <v>893</v>
      </c>
      <c r="X114" t="s">
        <v>894</v>
      </c>
      <c r="Y114" t="s">
        <v>895</v>
      </c>
      <c r="Z114" t="s">
        <v>896</v>
      </c>
      <c r="AA114" t="s">
        <v>897</v>
      </c>
      <c r="AB114" t="s">
        <v>898</v>
      </c>
      <c r="AC114" t="s">
        <v>93</v>
      </c>
      <c r="AD114" t="s">
        <v>899</v>
      </c>
      <c r="AE114" t="e">
        <v>#VALUE!</v>
      </c>
      <c r="AF114" t="e">
        <v>#VALUE!</v>
      </c>
    </row>
    <row r="115" spans="1:32" x14ac:dyDescent="0.25">
      <c r="A115" s="194" t="s">
        <v>1657</v>
      </c>
      <c r="B115" t="s">
        <v>233</v>
      </c>
      <c r="C115" t="s">
        <v>950</v>
      </c>
      <c r="D115" t="s">
        <v>77</v>
      </c>
      <c r="E115" t="s">
        <v>93</v>
      </c>
      <c r="F115" t="s">
        <v>1204</v>
      </c>
      <c r="G115" t="s">
        <v>929</v>
      </c>
      <c r="H115" t="s">
        <v>1661</v>
      </c>
      <c r="I115" t="s">
        <v>1063</v>
      </c>
      <c r="J115" t="s">
        <v>1454</v>
      </c>
      <c r="K115" t="s">
        <v>1240</v>
      </c>
      <c r="L115" t="s">
        <v>1230</v>
      </c>
      <c r="M115" t="s">
        <v>920</v>
      </c>
      <c r="N115" t="s">
        <v>1662</v>
      </c>
      <c r="O115" t="s">
        <v>1211</v>
      </c>
      <c r="P115" t="s">
        <v>911</v>
      </c>
      <c r="Q115" t="s">
        <v>1451</v>
      </c>
      <c r="R115" t="s">
        <v>1099</v>
      </c>
      <c r="S115" t="s">
        <v>968</v>
      </c>
      <c r="T115" t="s">
        <v>946</v>
      </c>
      <c r="U115" t="s">
        <v>1663</v>
      </c>
      <c r="V115" t="s">
        <v>987</v>
      </c>
      <c r="W115" t="s">
        <v>1046</v>
      </c>
      <c r="X115" t="s">
        <v>1079</v>
      </c>
      <c r="Y115" t="s">
        <v>993</v>
      </c>
      <c r="Z115" t="s">
        <v>969</v>
      </c>
      <c r="AA115" t="s">
        <v>934</v>
      </c>
      <c r="AB115" t="s">
        <v>947</v>
      </c>
      <c r="AC115" t="s">
        <v>1029</v>
      </c>
      <c r="AD115" t="s">
        <v>1460</v>
      </c>
      <c r="AE115">
        <v>15.2</v>
      </c>
      <c r="AF115">
        <v>15.1892</v>
      </c>
    </row>
    <row r="116" spans="1:32" x14ac:dyDescent="0.25">
      <c r="A116" s="191" t="s">
        <v>1657</v>
      </c>
      <c r="B116" t="s">
        <v>233</v>
      </c>
      <c r="C116" t="s">
        <v>950</v>
      </c>
      <c r="D116" t="s">
        <v>105</v>
      </c>
      <c r="E116" t="s">
        <v>93</v>
      </c>
      <c r="F116" t="s">
        <v>1355</v>
      </c>
      <c r="G116" t="s">
        <v>1204</v>
      </c>
      <c r="H116" t="s">
        <v>1664</v>
      </c>
      <c r="I116" t="s">
        <v>1329</v>
      </c>
      <c r="J116" t="s">
        <v>944</v>
      </c>
      <c r="K116" t="s">
        <v>1665</v>
      </c>
      <c r="L116" t="s">
        <v>1310</v>
      </c>
      <c r="M116" t="s">
        <v>1211</v>
      </c>
      <c r="N116" t="s">
        <v>1666</v>
      </c>
      <c r="O116" t="s">
        <v>1160</v>
      </c>
      <c r="P116" t="s">
        <v>1118</v>
      </c>
      <c r="Q116" t="s">
        <v>1381</v>
      </c>
      <c r="R116" t="s">
        <v>1667</v>
      </c>
      <c r="S116" t="s">
        <v>908</v>
      </c>
      <c r="T116" t="s">
        <v>1048</v>
      </c>
      <c r="U116" t="s">
        <v>1668</v>
      </c>
      <c r="V116" t="s">
        <v>987</v>
      </c>
      <c r="W116" t="s">
        <v>1134</v>
      </c>
      <c r="X116" t="s">
        <v>1092</v>
      </c>
      <c r="Y116" t="s">
        <v>925</v>
      </c>
      <c r="Z116" t="s">
        <v>1065</v>
      </c>
      <c r="AA116" t="s">
        <v>991</v>
      </c>
      <c r="AB116" t="s">
        <v>925</v>
      </c>
      <c r="AC116" t="s">
        <v>956</v>
      </c>
      <c r="AD116" t="s">
        <v>1669</v>
      </c>
      <c r="AE116">
        <v>14.4</v>
      </c>
      <c r="AF116">
        <v>14.498800000000003</v>
      </c>
    </row>
    <row r="117" spans="1:32" x14ac:dyDescent="0.25">
      <c r="A117" s="191" t="s">
        <v>1670</v>
      </c>
      <c r="B117" t="s">
        <v>103</v>
      </c>
      <c r="C117" t="s">
        <v>1238</v>
      </c>
      <c r="D117" t="s">
        <v>70</v>
      </c>
      <c r="E117" t="s">
        <v>56</v>
      </c>
      <c r="F117" t="s">
        <v>1598</v>
      </c>
      <c r="G117" t="s">
        <v>1150</v>
      </c>
      <c r="H117" t="s">
        <v>1671</v>
      </c>
      <c r="I117" t="s">
        <v>962</v>
      </c>
      <c r="J117" t="s">
        <v>1241</v>
      </c>
      <c r="K117" t="s">
        <v>1672</v>
      </c>
      <c r="L117" t="s">
        <v>945</v>
      </c>
      <c r="M117" t="s">
        <v>919</v>
      </c>
      <c r="N117" t="s">
        <v>1673</v>
      </c>
      <c r="O117" t="s">
        <v>1228</v>
      </c>
      <c r="P117" t="s">
        <v>1027</v>
      </c>
      <c r="Q117" t="s">
        <v>1041</v>
      </c>
      <c r="R117" t="s">
        <v>1249</v>
      </c>
      <c r="S117" t="s">
        <v>946</v>
      </c>
      <c r="T117" t="s">
        <v>1081</v>
      </c>
      <c r="U117" t="s">
        <v>1674</v>
      </c>
      <c r="V117" t="s">
        <v>1064</v>
      </c>
      <c r="W117" t="s">
        <v>1012</v>
      </c>
      <c r="X117" t="s">
        <v>1030</v>
      </c>
      <c r="Y117" t="s">
        <v>919</v>
      </c>
      <c r="Z117" t="s">
        <v>918</v>
      </c>
      <c r="AA117" t="s">
        <v>1094</v>
      </c>
      <c r="AB117" t="s">
        <v>925</v>
      </c>
      <c r="AC117" t="s">
        <v>956</v>
      </c>
      <c r="AD117" t="s">
        <v>1675</v>
      </c>
      <c r="AE117">
        <v>14.7</v>
      </c>
      <c r="AF117">
        <v>14.662499999999998</v>
      </c>
    </row>
    <row r="118" spans="1:32" x14ac:dyDescent="0.25">
      <c r="A118" s="191" t="s">
        <v>1676</v>
      </c>
      <c r="B118" t="s">
        <v>347</v>
      </c>
      <c r="C118" t="s">
        <v>950</v>
      </c>
      <c r="D118" t="s">
        <v>148</v>
      </c>
      <c r="E118" t="s">
        <v>93</v>
      </c>
      <c r="F118" t="s">
        <v>1177</v>
      </c>
      <c r="G118" t="s">
        <v>1187</v>
      </c>
      <c r="H118" t="s">
        <v>1677</v>
      </c>
      <c r="I118" t="s">
        <v>962</v>
      </c>
      <c r="J118" t="s">
        <v>943</v>
      </c>
      <c r="K118" t="s">
        <v>1275</v>
      </c>
      <c r="L118" t="s">
        <v>1310</v>
      </c>
      <c r="M118" t="s">
        <v>1000</v>
      </c>
      <c r="N118" t="s">
        <v>1659</v>
      </c>
      <c r="O118" t="s">
        <v>1030</v>
      </c>
      <c r="P118" t="s">
        <v>921</v>
      </c>
      <c r="Q118" t="s">
        <v>1510</v>
      </c>
      <c r="R118" t="s">
        <v>939</v>
      </c>
      <c r="S118" t="s">
        <v>1104</v>
      </c>
      <c r="T118" t="s">
        <v>979</v>
      </c>
      <c r="U118" t="s">
        <v>1388</v>
      </c>
      <c r="V118" t="s">
        <v>1029</v>
      </c>
      <c r="W118" t="s">
        <v>970</v>
      </c>
      <c r="X118" t="s">
        <v>1134</v>
      </c>
      <c r="Y118" t="s">
        <v>1048</v>
      </c>
      <c r="Z118" t="s">
        <v>1065</v>
      </c>
      <c r="AA118" t="s">
        <v>1094</v>
      </c>
      <c r="AB118" t="s">
        <v>1230</v>
      </c>
      <c r="AC118" t="s">
        <v>1029</v>
      </c>
      <c r="AD118" t="s">
        <v>1675</v>
      </c>
      <c r="AE118">
        <v>14.7</v>
      </c>
      <c r="AF118">
        <v>14.615399999999998</v>
      </c>
    </row>
    <row r="119" spans="1:32" x14ac:dyDescent="0.25">
      <c r="A119" s="191" t="s">
        <v>1678</v>
      </c>
      <c r="B119" t="s">
        <v>324</v>
      </c>
      <c r="C119" t="s">
        <v>902</v>
      </c>
      <c r="D119" t="s">
        <v>151</v>
      </c>
      <c r="E119" t="s">
        <v>93</v>
      </c>
      <c r="F119" t="s">
        <v>1489</v>
      </c>
      <c r="G119" t="s">
        <v>1410</v>
      </c>
      <c r="H119" t="s">
        <v>1224</v>
      </c>
      <c r="I119" t="s">
        <v>1043</v>
      </c>
      <c r="J119" t="s">
        <v>1207</v>
      </c>
      <c r="K119" t="s">
        <v>1440</v>
      </c>
      <c r="L119" t="s">
        <v>1029</v>
      </c>
      <c r="M119" t="s">
        <v>1081</v>
      </c>
      <c r="N119" t="s">
        <v>1679</v>
      </c>
      <c r="O119" t="s">
        <v>1030</v>
      </c>
      <c r="P119" t="s">
        <v>1028</v>
      </c>
      <c r="Q119" t="s">
        <v>1021</v>
      </c>
      <c r="R119" t="s">
        <v>1101</v>
      </c>
      <c r="S119" t="s">
        <v>993</v>
      </c>
      <c r="T119" t="s">
        <v>979</v>
      </c>
      <c r="U119" t="s">
        <v>1680</v>
      </c>
      <c r="V119" t="s">
        <v>1230</v>
      </c>
      <c r="W119" t="s">
        <v>1044</v>
      </c>
      <c r="X119" t="s">
        <v>1011</v>
      </c>
      <c r="Y119" t="s">
        <v>947</v>
      </c>
      <c r="Z119" t="s">
        <v>1064</v>
      </c>
      <c r="AA119" t="s">
        <v>1064</v>
      </c>
      <c r="AB119" t="s">
        <v>908</v>
      </c>
      <c r="AC119" t="s">
        <v>947</v>
      </c>
      <c r="AD119" t="s">
        <v>1675</v>
      </c>
      <c r="AE119">
        <v>14.7</v>
      </c>
      <c r="AF119">
        <v>14.7226</v>
      </c>
    </row>
    <row r="120" spans="1:32" x14ac:dyDescent="0.25">
      <c r="A120" s="194" t="s">
        <v>1681</v>
      </c>
      <c r="B120" t="s">
        <v>258</v>
      </c>
      <c r="C120" t="s">
        <v>1084</v>
      </c>
      <c r="D120" t="s">
        <v>974</v>
      </c>
      <c r="E120" t="s">
        <v>63</v>
      </c>
      <c r="F120" t="s">
        <v>1138</v>
      </c>
      <c r="G120" t="s">
        <v>1376</v>
      </c>
      <c r="H120" t="s">
        <v>1066</v>
      </c>
      <c r="I120" t="s">
        <v>1005</v>
      </c>
      <c r="J120" t="s">
        <v>1253</v>
      </c>
      <c r="K120" t="s">
        <v>1682</v>
      </c>
      <c r="L120" t="s">
        <v>925</v>
      </c>
      <c r="M120" t="s">
        <v>1092</v>
      </c>
      <c r="N120" t="s">
        <v>1683</v>
      </c>
      <c r="O120" t="s">
        <v>1135</v>
      </c>
      <c r="P120" t="s">
        <v>1329</v>
      </c>
      <c r="Q120" t="s">
        <v>1592</v>
      </c>
      <c r="R120" t="s">
        <v>1288</v>
      </c>
      <c r="S120" t="s">
        <v>925</v>
      </c>
      <c r="T120" t="s">
        <v>964</v>
      </c>
      <c r="U120" t="s">
        <v>1684</v>
      </c>
      <c r="V120" t="s">
        <v>987</v>
      </c>
      <c r="W120" t="s">
        <v>979</v>
      </c>
      <c r="X120" t="s">
        <v>1170</v>
      </c>
      <c r="Y120" t="s">
        <v>1135</v>
      </c>
      <c r="Z120" t="s">
        <v>923</v>
      </c>
      <c r="AA120" t="s">
        <v>1094</v>
      </c>
      <c r="AB120" t="s">
        <v>1049</v>
      </c>
      <c r="AC120" t="s">
        <v>968</v>
      </c>
      <c r="AD120" t="s">
        <v>1685</v>
      </c>
      <c r="AE120">
        <v>14.599999999999998</v>
      </c>
      <c r="AF120">
        <v>14.6249</v>
      </c>
    </row>
    <row r="121" spans="1:32" x14ac:dyDescent="0.25">
      <c r="A121" s="191" t="s">
        <v>1681</v>
      </c>
      <c r="B121" t="s">
        <v>258</v>
      </c>
      <c r="C121" t="s">
        <v>1084</v>
      </c>
      <c r="D121" t="s">
        <v>151</v>
      </c>
      <c r="E121" t="s">
        <v>63</v>
      </c>
      <c r="F121" t="s">
        <v>1150</v>
      </c>
      <c r="G121" t="s">
        <v>1137</v>
      </c>
      <c r="H121" t="s">
        <v>1347</v>
      </c>
      <c r="I121" t="s">
        <v>992</v>
      </c>
      <c r="J121" t="s">
        <v>1011</v>
      </c>
      <c r="K121" t="s">
        <v>1258</v>
      </c>
      <c r="L121" t="s">
        <v>922</v>
      </c>
      <c r="M121" t="s">
        <v>1170</v>
      </c>
      <c r="N121" t="s">
        <v>1686</v>
      </c>
      <c r="O121" t="s">
        <v>1049</v>
      </c>
      <c r="P121" t="s">
        <v>979</v>
      </c>
      <c r="Q121" t="s">
        <v>1396</v>
      </c>
      <c r="R121" t="s">
        <v>1585</v>
      </c>
      <c r="S121" t="s">
        <v>1195</v>
      </c>
      <c r="T121" t="s">
        <v>922</v>
      </c>
      <c r="U121" t="s">
        <v>1547</v>
      </c>
      <c r="V121" t="s">
        <v>969</v>
      </c>
      <c r="W121" t="s">
        <v>1048</v>
      </c>
      <c r="X121" t="s">
        <v>1155</v>
      </c>
      <c r="Y121" t="s">
        <v>908</v>
      </c>
      <c r="Z121" t="s">
        <v>1008</v>
      </c>
      <c r="AA121" t="s">
        <v>934</v>
      </c>
      <c r="AB121" t="s">
        <v>1195</v>
      </c>
      <c r="AC121" t="s">
        <v>922</v>
      </c>
      <c r="AD121" t="s">
        <v>967</v>
      </c>
      <c r="AE121">
        <v>10.200000000000001</v>
      </c>
      <c r="AF121">
        <v>10.2357</v>
      </c>
    </row>
    <row r="122" spans="1:32" x14ac:dyDescent="0.25">
      <c r="A122" s="191" t="s">
        <v>1681</v>
      </c>
      <c r="B122" t="s">
        <v>258</v>
      </c>
      <c r="C122" t="s">
        <v>1084</v>
      </c>
      <c r="D122" t="s">
        <v>108</v>
      </c>
      <c r="E122" t="s">
        <v>63</v>
      </c>
      <c r="F122" t="s">
        <v>1015</v>
      </c>
      <c r="G122" t="s">
        <v>973</v>
      </c>
      <c r="H122" t="s">
        <v>1256</v>
      </c>
      <c r="I122" t="s">
        <v>990</v>
      </c>
      <c r="J122" t="s">
        <v>1345</v>
      </c>
      <c r="K122" t="s">
        <v>1099</v>
      </c>
      <c r="L122" t="s">
        <v>964</v>
      </c>
      <c r="M122" t="s">
        <v>915</v>
      </c>
      <c r="N122" t="s">
        <v>1411</v>
      </c>
      <c r="O122" t="s">
        <v>1134</v>
      </c>
      <c r="P122" t="s">
        <v>1182</v>
      </c>
      <c r="Q122" t="s">
        <v>1057</v>
      </c>
      <c r="R122" t="s">
        <v>1057</v>
      </c>
      <c r="S122" t="s">
        <v>992</v>
      </c>
      <c r="T122" t="s">
        <v>1134</v>
      </c>
      <c r="U122" t="s">
        <v>1687</v>
      </c>
      <c r="V122" t="s">
        <v>923</v>
      </c>
      <c r="W122" t="s">
        <v>919</v>
      </c>
      <c r="X122" t="s">
        <v>962</v>
      </c>
      <c r="Y122" t="s">
        <v>1047</v>
      </c>
      <c r="Z122" t="s">
        <v>1310</v>
      </c>
      <c r="AA122" t="s">
        <v>991</v>
      </c>
      <c r="AB122" t="s">
        <v>964</v>
      </c>
      <c r="AC122" t="s">
        <v>908</v>
      </c>
      <c r="AD122" t="s">
        <v>1688</v>
      </c>
      <c r="AE122">
        <v>21.900000000000002</v>
      </c>
      <c r="AF122">
        <v>21.9527</v>
      </c>
    </row>
    <row r="123" spans="1:32" x14ac:dyDescent="0.25">
      <c r="A123" s="191" t="s">
        <v>1689</v>
      </c>
      <c r="B123" t="s">
        <v>207</v>
      </c>
      <c r="C123" t="s">
        <v>995</v>
      </c>
      <c r="D123" t="s">
        <v>131</v>
      </c>
      <c r="E123" t="s">
        <v>56</v>
      </c>
      <c r="F123" t="s">
        <v>951</v>
      </c>
      <c r="G123" t="s">
        <v>1377</v>
      </c>
      <c r="H123" t="s">
        <v>1295</v>
      </c>
      <c r="I123" t="s">
        <v>1043</v>
      </c>
      <c r="J123" t="s">
        <v>1546</v>
      </c>
      <c r="K123" t="s">
        <v>1364</v>
      </c>
      <c r="L123" t="s">
        <v>1310</v>
      </c>
      <c r="M123" t="s">
        <v>1228</v>
      </c>
      <c r="N123" t="s">
        <v>1435</v>
      </c>
      <c r="O123" t="s">
        <v>1155</v>
      </c>
      <c r="P123" t="s">
        <v>988</v>
      </c>
      <c r="Q123" t="s">
        <v>1274</v>
      </c>
      <c r="R123" t="s">
        <v>1275</v>
      </c>
      <c r="S123" t="s">
        <v>993</v>
      </c>
      <c r="T123" t="s">
        <v>1048</v>
      </c>
      <c r="U123" t="s">
        <v>1371</v>
      </c>
      <c r="V123" t="s">
        <v>968</v>
      </c>
      <c r="W123" t="s">
        <v>1044</v>
      </c>
      <c r="X123" t="s">
        <v>1027</v>
      </c>
      <c r="Y123" t="s">
        <v>1026</v>
      </c>
      <c r="Z123" t="s">
        <v>945</v>
      </c>
      <c r="AA123" t="s">
        <v>969</v>
      </c>
      <c r="AB123" t="s">
        <v>964</v>
      </c>
      <c r="AC123" t="s">
        <v>922</v>
      </c>
      <c r="AD123" t="s">
        <v>1685</v>
      </c>
      <c r="AE123">
        <v>14.6</v>
      </c>
      <c r="AF123">
        <v>14.6128</v>
      </c>
    </row>
    <row r="124" spans="1:32" x14ac:dyDescent="0.25">
      <c r="A124" s="191" t="s">
        <v>1690</v>
      </c>
      <c r="B124" t="s">
        <v>1691</v>
      </c>
      <c r="C124" t="s">
        <v>950</v>
      </c>
      <c r="D124" t="s">
        <v>163</v>
      </c>
      <c r="E124" t="s">
        <v>72</v>
      </c>
      <c r="F124" t="s">
        <v>1489</v>
      </c>
      <c r="G124" t="s">
        <v>1410</v>
      </c>
      <c r="H124" t="s">
        <v>971</v>
      </c>
      <c r="I124" t="s">
        <v>921</v>
      </c>
      <c r="J124" t="s">
        <v>967</v>
      </c>
      <c r="K124" t="s">
        <v>961</v>
      </c>
      <c r="L124" t="s">
        <v>1600</v>
      </c>
      <c r="M124" t="s">
        <v>1119</v>
      </c>
      <c r="N124" t="s">
        <v>1666</v>
      </c>
      <c r="O124" t="s">
        <v>921</v>
      </c>
      <c r="P124" t="s">
        <v>1040</v>
      </c>
      <c r="Q124" t="s">
        <v>1599</v>
      </c>
      <c r="R124" t="s">
        <v>1599</v>
      </c>
      <c r="S124" t="s">
        <v>922</v>
      </c>
      <c r="T124" t="s">
        <v>993</v>
      </c>
      <c r="U124" t="s">
        <v>1692</v>
      </c>
      <c r="V124" t="s">
        <v>970</v>
      </c>
      <c r="W124" t="s">
        <v>1044</v>
      </c>
      <c r="X124" t="s">
        <v>980</v>
      </c>
      <c r="Y124" t="s">
        <v>1104</v>
      </c>
      <c r="Z124" t="s">
        <v>945</v>
      </c>
      <c r="AA124" t="s">
        <v>945</v>
      </c>
      <c r="AB124" t="s">
        <v>1049</v>
      </c>
      <c r="AC124" t="s">
        <v>946</v>
      </c>
      <c r="AD124" t="s">
        <v>1669</v>
      </c>
      <c r="AE124">
        <v>14.5</v>
      </c>
      <c r="AF124">
        <v>14.470499999999999</v>
      </c>
    </row>
    <row r="125" spans="1:32" x14ac:dyDescent="0.25">
      <c r="A125" s="191" t="s">
        <v>1693</v>
      </c>
      <c r="B125" t="s">
        <v>1694</v>
      </c>
      <c r="C125" t="s">
        <v>902</v>
      </c>
      <c r="D125" t="s">
        <v>95</v>
      </c>
      <c r="E125" t="s">
        <v>72</v>
      </c>
      <c r="F125" t="s">
        <v>1233</v>
      </c>
      <c r="G125" t="s">
        <v>1233</v>
      </c>
      <c r="H125" t="s">
        <v>1295</v>
      </c>
      <c r="I125" t="s">
        <v>1006</v>
      </c>
      <c r="J125" t="s">
        <v>1207</v>
      </c>
      <c r="K125" t="s">
        <v>1504</v>
      </c>
      <c r="L125" t="s">
        <v>934</v>
      </c>
      <c r="M125" t="s">
        <v>987</v>
      </c>
      <c r="N125" t="s">
        <v>1695</v>
      </c>
      <c r="O125" t="s">
        <v>940</v>
      </c>
      <c r="P125" t="s">
        <v>982</v>
      </c>
      <c r="Q125" t="s">
        <v>1561</v>
      </c>
      <c r="R125" t="s">
        <v>1585</v>
      </c>
      <c r="S125" t="s">
        <v>923</v>
      </c>
      <c r="T125" t="s">
        <v>1310</v>
      </c>
      <c r="U125" t="s">
        <v>1696</v>
      </c>
      <c r="V125" t="s">
        <v>946</v>
      </c>
      <c r="W125" t="s">
        <v>1128</v>
      </c>
      <c r="X125" t="s">
        <v>967</v>
      </c>
      <c r="Y125" t="s">
        <v>1029</v>
      </c>
      <c r="Z125" t="s">
        <v>987</v>
      </c>
      <c r="AA125" t="s">
        <v>923</v>
      </c>
      <c r="AB125" t="s">
        <v>922</v>
      </c>
      <c r="AC125" t="s">
        <v>925</v>
      </c>
      <c r="AD125" t="s">
        <v>1560</v>
      </c>
      <c r="AE125">
        <v>14.399999999999999</v>
      </c>
      <c r="AF125">
        <v>14.400899999999998</v>
      </c>
    </row>
    <row r="126" spans="1:32" x14ac:dyDescent="0.25">
      <c r="A126" s="194" t="s">
        <v>1697</v>
      </c>
      <c r="B126" t="s">
        <v>1698</v>
      </c>
      <c r="C126" t="s">
        <v>1245</v>
      </c>
      <c r="D126" t="s">
        <v>163</v>
      </c>
      <c r="E126" t="s">
        <v>63</v>
      </c>
      <c r="F126" t="s">
        <v>1477</v>
      </c>
      <c r="G126" t="s">
        <v>1477</v>
      </c>
      <c r="H126" t="s">
        <v>1432</v>
      </c>
      <c r="I126" t="s">
        <v>1046</v>
      </c>
      <c r="J126" t="s">
        <v>1380</v>
      </c>
      <c r="K126" t="s">
        <v>1346</v>
      </c>
      <c r="L126" t="s">
        <v>908</v>
      </c>
      <c r="M126" t="s">
        <v>1063</v>
      </c>
      <c r="N126" t="s">
        <v>1406</v>
      </c>
      <c r="O126" t="s">
        <v>1104</v>
      </c>
      <c r="P126" t="s">
        <v>1126</v>
      </c>
      <c r="Q126" t="s">
        <v>1584</v>
      </c>
      <c r="R126" t="s">
        <v>1387</v>
      </c>
      <c r="S126" t="s">
        <v>993</v>
      </c>
      <c r="T126" t="s">
        <v>964</v>
      </c>
      <c r="U126" t="s">
        <v>1586</v>
      </c>
      <c r="V126" t="s">
        <v>987</v>
      </c>
      <c r="W126" t="s">
        <v>1104</v>
      </c>
      <c r="X126" t="s">
        <v>992</v>
      </c>
      <c r="Y126" t="s">
        <v>968</v>
      </c>
      <c r="Z126" t="s">
        <v>918</v>
      </c>
      <c r="AA126" t="s">
        <v>934</v>
      </c>
      <c r="AB126" t="s">
        <v>1310</v>
      </c>
      <c r="AC126" t="s">
        <v>925</v>
      </c>
      <c r="AD126" t="s">
        <v>1560</v>
      </c>
      <c r="AE126">
        <v>14.400000000000002</v>
      </c>
      <c r="AF126">
        <v>14.428199999999997</v>
      </c>
    </row>
    <row r="127" spans="1:32" x14ac:dyDescent="0.25">
      <c r="A127" s="191" t="s">
        <v>1699</v>
      </c>
      <c r="B127" t="s">
        <v>1700</v>
      </c>
      <c r="C127" t="s">
        <v>929</v>
      </c>
      <c r="D127" t="s">
        <v>95</v>
      </c>
      <c r="E127" t="s">
        <v>93</v>
      </c>
      <c r="F127" t="s">
        <v>1150</v>
      </c>
      <c r="G127" t="s">
        <v>1150</v>
      </c>
      <c r="H127" t="s">
        <v>1378</v>
      </c>
      <c r="I127" t="s">
        <v>1211</v>
      </c>
      <c r="J127" t="s">
        <v>1241</v>
      </c>
      <c r="K127" t="s">
        <v>1411</v>
      </c>
      <c r="L127" t="s">
        <v>947</v>
      </c>
      <c r="M127" t="s">
        <v>1044</v>
      </c>
      <c r="N127" t="s">
        <v>1379</v>
      </c>
      <c r="O127" t="s">
        <v>947</v>
      </c>
      <c r="P127" t="s">
        <v>1126</v>
      </c>
      <c r="Q127" t="s">
        <v>1679</v>
      </c>
      <c r="R127" t="s">
        <v>1682</v>
      </c>
      <c r="S127" t="s">
        <v>1135</v>
      </c>
      <c r="T127" t="s">
        <v>979</v>
      </c>
      <c r="U127" t="s">
        <v>1701</v>
      </c>
      <c r="V127" t="s">
        <v>969</v>
      </c>
      <c r="W127" t="s">
        <v>964</v>
      </c>
      <c r="X127" t="s">
        <v>979</v>
      </c>
      <c r="Y127" t="s">
        <v>908</v>
      </c>
      <c r="Z127" t="s">
        <v>918</v>
      </c>
      <c r="AA127" t="s">
        <v>923</v>
      </c>
      <c r="AB127" t="s">
        <v>1230</v>
      </c>
      <c r="AC127" t="s">
        <v>947</v>
      </c>
      <c r="AD127" t="s">
        <v>1560</v>
      </c>
      <c r="AE127">
        <v>14.5</v>
      </c>
      <c r="AF127">
        <v>14.3658</v>
      </c>
    </row>
    <row r="128" spans="1:32" x14ac:dyDescent="0.25">
      <c r="A128" s="191" t="s">
        <v>1702</v>
      </c>
      <c r="B128" t="s">
        <v>1703</v>
      </c>
      <c r="C128" t="s">
        <v>1293</v>
      </c>
      <c r="D128" t="s">
        <v>113</v>
      </c>
      <c r="E128" t="s">
        <v>56</v>
      </c>
      <c r="F128" t="s">
        <v>1594</v>
      </c>
      <c r="G128" t="s">
        <v>949</v>
      </c>
      <c r="H128" t="s">
        <v>1677</v>
      </c>
      <c r="I128" t="s">
        <v>1005</v>
      </c>
      <c r="J128" t="s">
        <v>1394</v>
      </c>
      <c r="K128" t="s">
        <v>1287</v>
      </c>
      <c r="L128" t="s">
        <v>1048</v>
      </c>
      <c r="M128" t="s">
        <v>1011</v>
      </c>
      <c r="N128" t="s">
        <v>1704</v>
      </c>
      <c r="O128" t="s">
        <v>1049</v>
      </c>
      <c r="P128" t="s">
        <v>1135</v>
      </c>
      <c r="Q128" t="s">
        <v>1705</v>
      </c>
      <c r="R128" t="s">
        <v>938</v>
      </c>
      <c r="S128" t="s">
        <v>918</v>
      </c>
      <c r="T128" t="s">
        <v>1064</v>
      </c>
      <c r="U128" t="s">
        <v>1706</v>
      </c>
      <c r="V128" t="s">
        <v>1195</v>
      </c>
      <c r="W128" t="s">
        <v>1012</v>
      </c>
      <c r="X128" t="s">
        <v>1155</v>
      </c>
      <c r="Y128" t="s">
        <v>979</v>
      </c>
      <c r="Z128" t="s">
        <v>918</v>
      </c>
      <c r="AA128" t="s">
        <v>934</v>
      </c>
      <c r="AB128" t="s">
        <v>923</v>
      </c>
      <c r="AC128" t="s">
        <v>1310</v>
      </c>
      <c r="AD128" t="s">
        <v>1544</v>
      </c>
      <c r="AE128">
        <v>14.3</v>
      </c>
      <c r="AF128">
        <v>14.305300000000003</v>
      </c>
    </row>
    <row r="129" spans="1:32" x14ac:dyDescent="0.25">
      <c r="A129" s="191" t="s">
        <v>1707</v>
      </c>
      <c r="B129" t="s">
        <v>122</v>
      </c>
      <c r="C129" t="s">
        <v>973</v>
      </c>
      <c r="D129" t="s">
        <v>102</v>
      </c>
      <c r="E129" t="s">
        <v>72</v>
      </c>
      <c r="F129" t="s">
        <v>1594</v>
      </c>
      <c r="G129" t="s">
        <v>1212</v>
      </c>
      <c r="H129" t="s">
        <v>1708</v>
      </c>
      <c r="I129" t="s">
        <v>1043</v>
      </c>
      <c r="J129" t="s">
        <v>1002</v>
      </c>
      <c r="K129" t="s">
        <v>1709</v>
      </c>
      <c r="L129" t="s">
        <v>925</v>
      </c>
      <c r="M129" t="s">
        <v>1079</v>
      </c>
      <c r="N129" t="s">
        <v>1019</v>
      </c>
      <c r="O129" t="s">
        <v>946</v>
      </c>
      <c r="P129" t="s">
        <v>1079</v>
      </c>
      <c r="Q129" t="s">
        <v>1004</v>
      </c>
      <c r="R129" t="s">
        <v>1401</v>
      </c>
      <c r="S129" t="s">
        <v>1230</v>
      </c>
      <c r="T129" t="s">
        <v>968</v>
      </c>
      <c r="U129" t="s">
        <v>1710</v>
      </c>
      <c r="V129" t="s">
        <v>945</v>
      </c>
      <c r="W129" t="s">
        <v>1046</v>
      </c>
      <c r="X129" t="s">
        <v>1063</v>
      </c>
      <c r="Y129" t="s">
        <v>947</v>
      </c>
      <c r="Z129" t="s">
        <v>1008</v>
      </c>
      <c r="AA129" t="s">
        <v>918</v>
      </c>
      <c r="AB129" t="s">
        <v>1230</v>
      </c>
      <c r="AC129" t="s">
        <v>924</v>
      </c>
      <c r="AD129" t="s">
        <v>1454</v>
      </c>
      <c r="AE129">
        <v>14.200000000000001</v>
      </c>
      <c r="AF129">
        <v>14.193000000000001</v>
      </c>
    </row>
    <row r="130" spans="1:32" x14ac:dyDescent="0.25">
      <c r="A130" s="191" t="s">
        <v>1711</v>
      </c>
      <c r="B130" t="s">
        <v>152</v>
      </c>
      <c r="C130" t="s">
        <v>1245</v>
      </c>
      <c r="D130" t="s">
        <v>111</v>
      </c>
      <c r="E130" t="s">
        <v>63</v>
      </c>
      <c r="F130" t="s">
        <v>903</v>
      </c>
      <c r="G130" t="s">
        <v>903</v>
      </c>
      <c r="H130" t="s">
        <v>1712</v>
      </c>
      <c r="I130" t="s">
        <v>1063</v>
      </c>
      <c r="J130" t="s">
        <v>1076</v>
      </c>
      <c r="K130" t="s">
        <v>1021</v>
      </c>
      <c r="L130" t="s">
        <v>1064</v>
      </c>
      <c r="M130" t="s">
        <v>946</v>
      </c>
      <c r="N130" t="s">
        <v>1267</v>
      </c>
      <c r="O130" t="s">
        <v>1046</v>
      </c>
      <c r="P130" t="s">
        <v>1035</v>
      </c>
      <c r="Q130" t="s">
        <v>1713</v>
      </c>
      <c r="R130" t="s">
        <v>984</v>
      </c>
      <c r="S130" t="s">
        <v>1064</v>
      </c>
      <c r="T130" t="s">
        <v>968</v>
      </c>
      <c r="U130" t="s">
        <v>1605</v>
      </c>
      <c r="V130" t="s">
        <v>1029</v>
      </c>
      <c r="W130" t="s">
        <v>1170</v>
      </c>
      <c r="X130" t="s">
        <v>1126</v>
      </c>
      <c r="Y130" t="s">
        <v>1103</v>
      </c>
      <c r="Z130" t="s">
        <v>1135</v>
      </c>
      <c r="AA130" t="s">
        <v>1008</v>
      </c>
      <c r="AB130" t="s">
        <v>956</v>
      </c>
      <c r="AC130" t="s">
        <v>947</v>
      </c>
      <c r="AD130" t="s">
        <v>1714</v>
      </c>
      <c r="AE130">
        <v>14.200000000000001</v>
      </c>
      <c r="AF130">
        <v>14.039400000000001</v>
      </c>
    </row>
    <row r="131" spans="1:32" x14ac:dyDescent="0.25">
      <c r="A131" s="194" t="s">
        <v>1715</v>
      </c>
      <c r="B131" t="s">
        <v>1716</v>
      </c>
      <c r="C131" t="s">
        <v>1032</v>
      </c>
      <c r="D131" t="s">
        <v>1149</v>
      </c>
      <c r="E131" t="s">
        <v>56</v>
      </c>
      <c r="F131" t="s">
        <v>1147</v>
      </c>
      <c r="G131" t="s">
        <v>1717</v>
      </c>
      <c r="H131" t="s">
        <v>1231</v>
      </c>
      <c r="I131" t="s">
        <v>1329</v>
      </c>
      <c r="J131" t="s">
        <v>1113</v>
      </c>
      <c r="K131" t="s">
        <v>1718</v>
      </c>
      <c r="L131" t="s">
        <v>968</v>
      </c>
      <c r="M131" t="s">
        <v>1211</v>
      </c>
      <c r="N131" t="s">
        <v>1719</v>
      </c>
      <c r="O131" t="s">
        <v>979</v>
      </c>
      <c r="P131" t="s">
        <v>1011</v>
      </c>
      <c r="Q131" t="s">
        <v>1665</v>
      </c>
      <c r="R131" t="s">
        <v>1130</v>
      </c>
      <c r="S131" t="s">
        <v>1310</v>
      </c>
      <c r="T131" t="s">
        <v>1029</v>
      </c>
      <c r="U131" t="s">
        <v>1720</v>
      </c>
      <c r="V131" t="s">
        <v>918</v>
      </c>
      <c r="W131" t="s">
        <v>956</v>
      </c>
      <c r="X131" t="s">
        <v>964</v>
      </c>
      <c r="Y131" t="s">
        <v>1135</v>
      </c>
      <c r="Z131" t="s">
        <v>1065</v>
      </c>
      <c r="AA131" t="s">
        <v>1094</v>
      </c>
      <c r="AB131" t="s">
        <v>1049</v>
      </c>
      <c r="AC131" t="s">
        <v>968</v>
      </c>
      <c r="AD131" t="s">
        <v>1714</v>
      </c>
      <c r="AE131">
        <v>14.100000000000001</v>
      </c>
      <c r="AF131">
        <v>14.066000000000001</v>
      </c>
    </row>
    <row r="132" spans="1:32" x14ac:dyDescent="0.25">
      <c r="A132" s="191" t="s">
        <v>1881</v>
      </c>
      <c r="B132" t="s">
        <v>1882</v>
      </c>
      <c r="C132" t="s">
        <v>1204</v>
      </c>
      <c r="D132" t="s">
        <v>1223</v>
      </c>
      <c r="E132" t="s">
        <v>63</v>
      </c>
      <c r="F132" t="s">
        <v>1416</v>
      </c>
      <c r="G132" t="s">
        <v>995</v>
      </c>
      <c r="H132" t="s">
        <v>1883</v>
      </c>
      <c r="I132" t="s">
        <v>1228</v>
      </c>
      <c r="J132" t="s">
        <v>980</v>
      </c>
      <c r="K132" t="s">
        <v>958</v>
      </c>
      <c r="L132" t="s">
        <v>993</v>
      </c>
      <c r="M132" t="s">
        <v>1112</v>
      </c>
      <c r="N132" t="s">
        <v>1441</v>
      </c>
      <c r="O132" t="s">
        <v>1310</v>
      </c>
      <c r="P132" t="s">
        <v>964</v>
      </c>
      <c r="Q132" t="s">
        <v>1074</v>
      </c>
      <c r="R132" t="s">
        <v>1193</v>
      </c>
      <c r="S132" t="s">
        <v>969</v>
      </c>
      <c r="T132" t="s">
        <v>987</v>
      </c>
      <c r="U132" t="s">
        <v>1884</v>
      </c>
      <c r="V132" t="s">
        <v>969</v>
      </c>
      <c r="W132" t="s">
        <v>1012</v>
      </c>
      <c r="X132" t="s">
        <v>1048</v>
      </c>
      <c r="Y132" t="s">
        <v>1029</v>
      </c>
      <c r="Z132" t="s">
        <v>987</v>
      </c>
      <c r="AA132" t="s">
        <v>1094</v>
      </c>
      <c r="AB132" t="s">
        <v>1064</v>
      </c>
      <c r="AC132" t="s">
        <v>1029</v>
      </c>
      <c r="AD132" t="s">
        <v>1368</v>
      </c>
      <c r="AE132">
        <v>11.1</v>
      </c>
      <c r="AF132">
        <v>11.156000000000001</v>
      </c>
    </row>
    <row r="133" spans="1:32" x14ac:dyDescent="0.25">
      <c r="A133" s="191" t="s">
        <v>1961</v>
      </c>
      <c r="B133" t="s">
        <v>1962</v>
      </c>
      <c r="C133" t="s">
        <v>902</v>
      </c>
      <c r="D133" t="s">
        <v>1223</v>
      </c>
      <c r="E133" t="s">
        <v>63</v>
      </c>
      <c r="F133" t="s">
        <v>1051</v>
      </c>
      <c r="G133" t="s">
        <v>928</v>
      </c>
      <c r="H133" t="s">
        <v>1458</v>
      </c>
      <c r="I133" t="s">
        <v>1030</v>
      </c>
      <c r="J133" t="s">
        <v>1108</v>
      </c>
      <c r="K133" t="s">
        <v>1704</v>
      </c>
      <c r="L133" t="s">
        <v>925</v>
      </c>
      <c r="M133" t="s">
        <v>1079</v>
      </c>
      <c r="N133" t="s">
        <v>1909</v>
      </c>
      <c r="O133" t="s">
        <v>1310</v>
      </c>
      <c r="P133" t="s">
        <v>1048</v>
      </c>
      <c r="Q133" t="s">
        <v>1268</v>
      </c>
      <c r="R133" t="s">
        <v>1171</v>
      </c>
      <c r="S133" t="s">
        <v>987</v>
      </c>
      <c r="T133" t="s">
        <v>1195</v>
      </c>
      <c r="U133" t="s">
        <v>1842</v>
      </c>
      <c r="V133" t="s">
        <v>923</v>
      </c>
      <c r="W133" t="s">
        <v>947</v>
      </c>
      <c r="X133" t="s">
        <v>970</v>
      </c>
      <c r="Y133" t="s">
        <v>1104</v>
      </c>
      <c r="Z133" t="s">
        <v>945</v>
      </c>
      <c r="AA133" t="s">
        <v>1094</v>
      </c>
      <c r="AB133" t="s">
        <v>922</v>
      </c>
      <c r="AC133" t="s">
        <v>1135</v>
      </c>
      <c r="AD133" t="s">
        <v>1038</v>
      </c>
      <c r="AE133">
        <v>10.400000000000002</v>
      </c>
      <c r="AF133">
        <v>10.301499999999999</v>
      </c>
    </row>
    <row r="134" spans="1:32" x14ac:dyDescent="0.25">
      <c r="A134" s="191" t="s">
        <v>2016</v>
      </c>
      <c r="B134" t="s">
        <v>242</v>
      </c>
      <c r="C134" t="s">
        <v>995</v>
      </c>
      <c r="D134" t="s">
        <v>1223</v>
      </c>
      <c r="E134" t="s">
        <v>63</v>
      </c>
      <c r="F134" t="s">
        <v>1322</v>
      </c>
      <c r="G134" t="s">
        <v>1164</v>
      </c>
      <c r="H134" t="s">
        <v>2017</v>
      </c>
      <c r="I134" t="s">
        <v>970</v>
      </c>
      <c r="J134" t="s">
        <v>990</v>
      </c>
      <c r="K134" t="s">
        <v>1784</v>
      </c>
      <c r="L134" t="s">
        <v>922</v>
      </c>
      <c r="M134" t="s">
        <v>1211</v>
      </c>
      <c r="N134" t="s">
        <v>1365</v>
      </c>
      <c r="O134" t="s">
        <v>1029</v>
      </c>
      <c r="P134" t="s">
        <v>946</v>
      </c>
      <c r="Q134" t="s">
        <v>907</v>
      </c>
      <c r="R134" t="s">
        <v>1004</v>
      </c>
      <c r="S134" t="s">
        <v>1230</v>
      </c>
      <c r="T134" t="s">
        <v>968</v>
      </c>
      <c r="U134" t="s">
        <v>1330</v>
      </c>
      <c r="V134" t="s">
        <v>1008</v>
      </c>
      <c r="W134" t="s">
        <v>1049</v>
      </c>
      <c r="X134" t="s">
        <v>1012</v>
      </c>
      <c r="Y134" t="s">
        <v>1195</v>
      </c>
      <c r="Z134" t="s">
        <v>987</v>
      </c>
      <c r="AA134" t="s">
        <v>991</v>
      </c>
      <c r="AB134" t="s">
        <v>1008</v>
      </c>
      <c r="AC134" t="s">
        <v>1029</v>
      </c>
      <c r="AD134" t="s">
        <v>997</v>
      </c>
      <c r="AE134">
        <v>9.6999999999999993</v>
      </c>
      <c r="AF134">
        <v>9.813600000000001</v>
      </c>
    </row>
    <row r="135" spans="1:32" x14ac:dyDescent="0.25">
      <c r="A135" s="191" t="s">
        <v>1730</v>
      </c>
      <c r="B135" t="s">
        <v>1731</v>
      </c>
      <c r="C135" t="s">
        <v>1084</v>
      </c>
      <c r="D135" t="s">
        <v>97</v>
      </c>
      <c r="E135" t="s">
        <v>93</v>
      </c>
      <c r="F135" t="s">
        <v>901</v>
      </c>
      <c r="G135" t="s">
        <v>1717</v>
      </c>
      <c r="H135" t="s">
        <v>1732</v>
      </c>
      <c r="I135" t="s">
        <v>1063</v>
      </c>
      <c r="J135" t="s">
        <v>1108</v>
      </c>
      <c r="K135" t="s">
        <v>1696</v>
      </c>
      <c r="L135" t="s">
        <v>1600</v>
      </c>
      <c r="M135" t="s">
        <v>1600</v>
      </c>
      <c r="N135" t="s">
        <v>927</v>
      </c>
      <c r="O135" t="s">
        <v>1063</v>
      </c>
      <c r="P135" t="s">
        <v>1108</v>
      </c>
      <c r="Q135" t="s">
        <v>1696</v>
      </c>
      <c r="R135" t="s">
        <v>1696</v>
      </c>
      <c r="S135" t="s">
        <v>956</v>
      </c>
      <c r="T135" t="s">
        <v>1135</v>
      </c>
      <c r="U135" t="s">
        <v>1696</v>
      </c>
      <c r="V135" t="s">
        <v>1228</v>
      </c>
      <c r="W135" t="s">
        <v>1228</v>
      </c>
      <c r="X135" t="s">
        <v>1061</v>
      </c>
      <c r="Y135" t="s">
        <v>1600</v>
      </c>
      <c r="Z135" t="s">
        <v>1600</v>
      </c>
      <c r="AA135" t="s">
        <v>1600</v>
      </c>
      <c r="AB135" t="s">
        <v>956</v>
      </c>
      <c r="AC135" t="s">
        <v>1135</v>
      </c>
      <c r="AD135" t="s">
        <v>1548</v>
      </c>
      <c r="AE135">
        <v>14</v>
      </c>
      <c r="AF135" t="e">
        <v>#VALUE!</v>
      </c>
    </row>
    <row r="136" spans="1:32" x14ac:dyDescent="0.25">
      <c r="A136" s="194" t="s">
        <v>1733</v>
      </c>
      <c r="B136" t="s">
        <v>236</v>
      </c>
      <c r="C136" t="s">
        <v>1164</v>
      </c>
      <c r="D136" t="s">
        <v>151</v>
      </c>
      <c r="E136" t="s">
        <v>47</v>
      </c>
      <c r="F136" t="s">
        <v>1052</v>
      </c>
      <c r="G136" t="s">
        <v>1052</v>
      </c>
      <c r="H136" t="s">
        <v>1734</v>
      </c>
      <c r="I136" t="s">
        <v>920</v>
      </c>
      <c r="J136" t="s">
        <v>1241</v>
      </c>
      <c r="K136" t="s">
        <v>1467</v>
      </c>
      <c r="L136" t="s">
        <v>1135</v>
      </c>
      <c r="M136" t="s">
        <v>990</v>
      </c>
      <c r="N136" t="s">
        <v>1595</v>
      </c>
      <c r="O136" t="s">
        <v>956</v>
      </c>
      <c r="P136" t="s">
        <v>1047</v>
      </c>
      <c r="Q136" t="s">
        <v>1168</v>
      </c>
      <c r="R136" t="s">
        <v>1261</v>
      </c>
      <c r="S136" t="s">
        <v>918</v>
      </c>
      <c r="T136" t="s">
        <v>923</v>
      </c>
      <c r="U136" t="s">
        <v>1720</v>
      </c>
      <c r="V136" t="s">
        <v>969</v>
      </c>
      <c r="W136" t="s">
        <v>1104</v>
      </c>
      <c r="X136" t="s">
        <v>1000</v>
      </c>
      <c r="Y136" t="s">
        <v>956</v>
      </c>
      <c r="Z136" t="s">
        <v>1008</v>
      </c>
      <c r="AA136" t="s">
        <v>991</v>
      </c>
      <c r="AB136" t="s">
        <v>945</v>
      </c>
      <c r="AC136" t="s">
        <v>1064</v>
      </c>
      <c r="AD136" t="s">
        <v>1548</v>
      </c>
      <c r="AE136">
        <v>13.9</v>
      </c>
      <c r="AF136">
        <v>13.969099999999999</v>
      </c>
    </row>
    <row r="137" spans="1:32" x14ac:dyDescent="0.25">
      <c r="A137" s="191" t="s">
        <v>1735</v>
      </c>
      <c r="B137" t="s">
        <v>354</v>
      </c>
      <c r="C137" t="s">
        <v>950</v>
      </c>
      <c r="D137" t="s">
        <v>105</v>
      </c>
      <c r="E137" t="s">
        <v>93</v>
      </c>
      <c r="F137" t="s">
        <v>1453</v>
      </c>
      <c r="G137" t="s">
        <v>1067</v>
      </c>
      <c r="H137" t="s">
        <v>1736</v>
      </c>
      <c r="I137" t="s">
        <v>909</v>
      </c>
      <c r="J137" t="s">
        <v>1076</v>
      </c>
      <c r="K137" t="s">
        <v>1609</v>
      </c>
      <c r="L137" t="s">
        <v>1195</v>
      </c>
      <c r="M137" t="s">
        <v>992</v>
      </c>
      <c r="N137" t="s">
        <v>1379</v>
      </c>
      <c r="O137" t="s">
        <v>1170</v>
      </c>
      <c r="P137" t="s">
        <v>1182</v>
      </c>
      <c r="Q137" t="s">
        <v>1471</v>
      </c>
      <c r="R137" t="s">
        <v>1667</v>
      </c>
      <c r="S137" t="s">
        <v>945</v>
      </c>
      <c r="T137" t="s">
        <v>1310</v>
      </c>
      <c r="U137" t="s">
        <v>1252</v>
      </c>
      <c r="V137" t="s">
        <v>968</v>
      </c>
      <c r="W137" t="s">
        <v>1006</v>
      </c>
      <c r="X137" t="s">
        <v>1132</v>
      </c>
      <c r="Y137" t="s">
        <v>908</v>
      </c>
      <c r="Z137" t="s">
        <v>1008</v>
      </c>
      <c r="AA137" t="s">
        <v>1065</v>
      </c>
      <c r="AB137" t="s">
        <v>945</v>
      </c>
      <c r="AC137" t="s">
        <v>1049</v>
      </c>
      <c r="AD137" t="s">
        <v>1129</v>
      </c>
      <c r="AE137">
        <v>13.9</v>
      </c>
      <c r="AF137">
        <v>13.831999999999999</v>
      </c>
    </row>
    <row r="138" spans="1:32" x14ac:dyDescent="0.25">
      <c r="A138" s="191" t="s">
        <v>1737</v>
      </c>
      <c r="B138" t="s">
        <v>348</v>
      </c>
      <c r="C138" t="s">
        <v>1204</v>
      </c>
      <c r="D138" t="s">
        <v>97</v>
      </c>
      <c r="E138" t="s">
        <v>93</v>
      </c>
      <c r="F138" t="s">
        <v>1438</v>
      </c>
      <c r="G138" t="s">
        <v>1438</v>
      </c>
      <c r="H138" t="s">
        <v>1507</v>
      </c>
      <c r="I138" t="s">
        <v>1043</v>
      </c>
      <c r="J138" t="s">
        <v>1253</v>
      </c>
      <c r="K138" t="s">
        <v>1358</v>
      </c>
      <c r="L138" t="s">
        <v>945</v>
      </c>
      <c r="M138" t="s">
        <v>992</v>
      </c>
      <c r="N138" t="s">
        <v>1726</v>
      </c>
      <c r="O138" t="s">
        <v>1228</v>
      </c>
      <c r="P138" t="s">
        <v>988</v>
      </c>
      <c r="Q138" t="s">
        <v>1143</v>
      </c>
      <c r="R138" t="s">
        <v>1226</v>
      </c>
      <c r="S138" t="s">
        <v>956</v>
      </c>
      <c r="T138" t="s">
        <v>947</v>
      </c>
      <c r="U138" t="s">
        <v>1427</v>
      </c>
      <c r="V138" t="s">
        <v>918</v>
      </c>
      <c r="W138" t="s">
        <v>920</v>
      </c>
      <c r="X138" t="s">
        <v>1126</v>
      </c>
      <c r="Y138" t="s">
        <v>925</v>
      </c>
      <c r="Z138" t="s">
        <v>923</v>
      </c>
      <c r="AA138" t="s">
        <v>987</v>
      </c>
      <c r="AB138" t="s">
        <v>945</v>
      </c>
      <c r="AC138" t="s">
        <v>1049</v>
      </c>
      <c r="AD138" t="s">
        <v>1360</v>
      </c>
      <c r="AE138">
        <v>13.799999999999999</v>
      </c>
      <c r="AF138">
        <v>13.727900000000002</v>
      </c>
    </row>
    <row r="139" spans="1:32" x14ac:dyDescent="0.25">
      <c r="A139" s="191" t="s">
        <v>1738</v>
      </c>
      <c r="B139" t="s">
        <v>407</v>
      </c>
      <c r="C139" t="s">
        <v>950</v>
      </c>
      <c r="D139" t="s">
        <v>129</v>
      </c>
      <c r="E139" t="s">
        <v>63</v>
      </c>
      <c r="F139" t="s">
        <v>1285</v>
      </c>
      <c r="G139" t="s">
        <v>1285</v>
      </c>
      <c r="H139" t="s">
        <v>1739</v>
      </c>
      <c r="I139" t="s">
        <v>962</v>
      </c>
      <c r="J139" t="s">
        <v>1450</v>
      </c>
      <c r="K139" t="s">
        <v>1144</v>
      </c>
      <c r="L139" t="s">
        <v>1064</v>
      </c>
      <c r="M139" t="s">
        <v>970</v>
      </c>
      <c r="N139" t="s">
        <v>1666</v>
      </c>
      <c r="O139" t="s">
        <v>1081</v>
      </c>
      <c r="P139" t="s">
        <v>1112</v>
      </c>
      <c r="Q139" t="s">
        <v>1740</v>
      </c>
      <c r="R139" t="s">
        <v>1610</v>
      </c>
      <c r="S139" t="s">
        <v>908</v>
      </c>
      <c r="T139" t="s">
        <v>1220</v>
      </c>
      <c r="U139" t="s">
        <v>1710</v>
      </c>
      <c r="V139" t="s">
        <v>908</v>
      </c>
      <c r="W139" t="s">
        <v>1028</v>
      </c>
      <c r="X139" t="s">
        <v>980</v>
      </c>
      <c r="Y139" t="s">
        <v>1126</v>
      </c>
      <c r="Z139" t="s">
        <v>1310</v>
      </c>
      <c r="AA139" t="s">
        <v>991</v>
      </c>
      <c r="AB139" t="s">
        <v>908</v>
      </c>
      <c r="AC139" t="s">
        <v>1012</v>
      </c>
      <c r="AD139" t="s">
        <v>1199</v>
      </c>
      <c r="AE139">
        <v>13.6</v>
      </c>
      <c r="AF139">
        <v>13.6731</v>
      </c>
    </row>
    <row r="140" spans="1:32" x14ac:dyDescent="0.25">
      <c r="A140" s="191" t="s">
        <v>1741</v>
      </c>
      <c r="B140" t="s">
        <v>84</v>
      </c>
      <c r="C140" t="s">
        <v>902</v>
      </c>
      <c r="D140" t="s">
        <v>85</v>
      </c>
      <c r="E140" t="s">
        <v>72</v>
      </c>
      <c r="F140" t="s">
        <v>1416</v>
      </c>
      <c r="G140" t="s">
        <v>1416</v>
      </c>
      <c r="H140" t="s">
        <v>1742</v>
      </c>
      <c r="I140" t="s">
        <v>1291</v>
      </c>
      <c r="J140" t="s">
        <v>1011</v>
      </c>
      <c r="K140" t="s">
        <v>1743</v>
      </c>
      <c r="L140" t="s">
        <v>1600</v>
      </c>
      <c r="M140" t="s">
        <v>1119</v>
      </c>
      <c r="N140" t="s">
        <v>1646</v>
      </c>
      <c r="O140" t="s">
        <v>1291</v>
      </c>
      <c r="P140" t="s">
        <v>990</v>
      </c>
      <c r="Q140" t="s">
        <v>1744</v>
      </c>
      <c r="R140" t="s">
        <v>1743</v>
      </c>
      <c r="S140" t="s">
        <v>924</v>
      </c>
      <c r="T140" t="s">
        <v>1000</v>
      </c>
      <c r="U140" t="s">
        <v>1745</v>
      </c>
      <c r="V140" t="s">
        <v>1012</v>
      </c>
      <c r="W140" t="s">
        <v>1128</v>
      </c>
      <c r="X140" t="s">
        <v>943</v>
      </c>
      <c r="Y140" t="s">
        <v>1049</v>
      </c>
      <c r="Z140" t="s">
        <v>918</v>
      </c>
      <c r="AA140" t="s">
        <v>918</v>
      </c>
      <c r="AB140" t="s">
        <v>945</v>
      </c>
      <c r="AC140" t="s">
        <v>1310</v>
      </c>
      <c r="AD140" t="s">
        <v>1260</v>
      </c>
      <c r="AE140">
        <v>13.4</v>
      </c>
      <c r="AF140">
        <v>13.406000000000001</v>
      </c>
    </row>
    <row r="141" spans="1:32" x14ac:dyDescent="0.25">
      <c r="A141" s="194" t="s">
        <v>1746</v>
      </c>
      <c r="B141" t="s">
        <v>328</v>
      </c>
      <c r="C141" t="s">
        <v>1084</v>
      </c>
      <c r="D141" t="s">
        <v>111</v>
      </c>
      <c r="E141" t="s">
        <v>72</v>
      </c>
      <c r="F141" t="s">
        <v>1322</v>
      </c>
      <c r="G141" t="s">
        <v>1233</v>
      </c>
      <c r="H141" t="s">
        <v>1536</v>
      </c>
      <c r="I141" t="s">
        <v>962</v>
      </c>
      <c r="J141" t="s">
        <v>911</v>
      </c>
      <c r="K141" t="s">
        <v>1215</v>
      </c>
      <c r="L141" t="s">
        <v>969</v>
      </c>
      <c r="M141" t="s">
        <v>956</v>
      </c>
      <c r="N141" t="s">
        <v>1351</v>
      </c>
      <c r="O141" t="s">
        <v>1211</v>
      </c>
      <c r="P141" t="s">
        <v>1026</v>
      </c>
      <c r="Q141" t="s">
        <v>1638</v>
      </c>
      <c r="R141" t="s">
        <v>1663</v>
      </c>
      <c r="S141" t="s">
        <v>925</v>
      </c>
      <c r="T141" t="s">
        <v>964</v>
      </c>
      <c r="U141" t="s">
        <v>1747</v>
      </c>
      <c r="V141" t="s">
        <v>1135</v>
      </c>
      <c r="W141" t="s">
        <v>1126</v>
      </c>
      <c r="X141" t="s">
        <v>1024</v>
      </c>
      <c r="Y141" t="s">
        <v>947</v>
      </c>
      <c r="Z141" t="s">
        <v>918</v>
      </c>
      <c r="AA141" t="s">
        <v>918</v>
      </c>
      <c r="AB141" t="s">
        <v>945</v>
      </c>
      <c r="AC141" t="s">
        <v>1012</v>
      </c>
      <c r="AD141" t="s">
        <v>1748</v>
      </c>
      <c r="AE141">
        <v>13.2</v>
      </c>
      <c r="AF141">
        <v>13.274699999999999</v>
      </c>
    </row>
    <row r="142" spans="1:32" x14ac:dyDescent="0.25">
      <c r="A142" s="191" t="s">
        <v>1749</v>
      </c>
      <c r="B142" t="s">
        <v>271</v>
      </c>
      <c r="C142" t="s">
        <v>1068</v>
      </c>
      <c r="D142" t="s">
        <v>148</v>
      </c>
      <c r="E142" t="s">
        <v>56</v>
      </c>
      <c r="F142" t="s">
        <v>1138</v>
      </c>
      <c r="G142" t="s">
        <v>1068</v>
      </c>
      <c r="H142" t="s">
        <v>1536</v>
      </c>
      <c r="I142" t="s">
        <v>920</v>
      </c>
      <c r="J142" t="s">
        <v>1368</v>
      </c>
      <c r="K142" t="s">
        <v>1596</v>
      </c>
      <c r="L142" t="s">
        <v>1195</v>
      </c>
      <c r="M142" t="s">
        <v>1160</v>
      </c>
      <c r="N142" t="s">
        <v>1750</v>
      </c>
      <c r="O142" t="s">
        <v>1030</v>
      </c>
      <c r="P142" t="s">
        <v>1026</v>
      </c>
      <c r="Q142" t="s">
        <v>1208</v>
      </c>
      <c r="R142" t="s">
        <v>1412</v>
      </c>
      <c r="S142" t="s">
        <v>908</v>
      </c>
      <c r="T142" t="s">
        <v>946</v>
      </c>
      <c r="U142" t="s">
        <v>1601</v>
      </c>
      <c r="V142" t="s">
        <v>1230</v>
      </c>
      <c r="W142" t="s">
        <v>992</v>
      </c>
      <c r="X142" t="s">
        <v>1046</v>
      </c>
      <c r="Y142" t="s">
        <v>1059</v>
      </c>
      <c r="Z142" t="s">
        <v>1230</v>
      </c>
      <c r="AA142" t="s">
        <v>1065</v>
      </c>
      <c r="AB142" t="s">
        <v>1048</v>
      </c>
      <c r="AC142" t="s">
        <v>993</v>
      </c>
      <c r="AD142" t="s">
        <v>1316</v>
      </c>
      <c r="AE142">
        <v>13.4</v>
      </c>
      <c r="AF142">
        <v>13.273</v>
      </c>
    </row>
    <row r="143" spans="1:32" x14ac:dyDescent="0.25">
      <c r="A143" s="191" t="s">
        <v>1751</v>
      </c>
      <c r="B143" t="s">
        <v>366</v>
      </c>
      <c r="C143" t="s">
        <v>1293</v>
      </c>
      <c r="D143" t="s">
        <v>151</v>
      </c>
      <c r="E143" t="s">
        <v>47</v>
      </c>
      <c r="F143" t="s">
        <v>1377</v>
      </c>
      <c r="G143" t="s">
        <v>1176</v>
      </c>
      <c r="H143" t="s">
        <v>1581</v>
      </c>
      <c r="I143" t="s">
        <v>962</v>
      </c>
      <c r="J143" t="s">
        <v>1038</v>
      </c>
      <c r="K143" t="s">
        <v>1471</v>
      </c>
      <c r="L143" t="s">
        <v>918</v>
      </c>
      <c r="M143" t="s">
        <v>1048</v>
      </c>
      <c r="N143" t="s">
        <v>1722</v>
      </c>
      <c r="O143" t="s">
        <v>1103</v>
      </c>
      <c r="P143" t="s">
        <v>1026</v>
      </c>
      <c r="Q143" t="s">
        <v>1334</v>
      </c>
      <c r="R143" t="s">
        <v>1115</v>
      </c>
      <c r="S143" t="s">
        <v>1049</v>
      </c>
      <c r="T143" t="s">
        <v>947</v>
      </c>
      <c r="U143" t="s">
        <v>1421</v>
      </c>
      <c r="V143" t="s">
        <v>1064</v>
      </c>
      <c r="W143" t="s">
        <v>1030</v>
      </c>
      <c r="X143" t="s">
        <v>1134</v>
      </c>
      <c r="Y143" t="s">
        <v>1135</v>
      </c>
      <c r="Z143" t="s">
        <v>923</v>
      </c>
      <c r="AA143" t="s">
        <v>934</v>
      </c>
      <c r="AB143" t="s">
        <v>1029</v>
      </c>
      <c r="AC143" t="s">
        <v>1029</v>
      </c>
      <c r="AD143" t="s">
        <v>1752</v>
      </c>
      <c r="AE143">
        <v>13.200000000000001</v>
      </c>
      <c r="AF143">
        <v>13.1861</v>
      </c>
    </row>
    <row r="144" spans="1:32" x14ac:dyDescent="0.25">
      <c r="A144" s="191" t="s">
        <v>1753</v>
      </c>
      <c r="B144" t="s">
        <v>1754</v>
      </c>
      <c r="C144" t="s">
        <v>1176</v>
      </c>
      <c r="D144" t="s">
        <v>1755</v>
      </c>
      <c r="E144" t="s">
        <v>56</v>
      </c>
      <c r="F144" t="s">
        <v>1138</v>
      </c>
      <c r="G144" t="s">
        <v>1453</v>
      </c>
      <c r="H144" t="s">
        <v>1013</v>
      </c>
      <c r="I144" t="s">
        <v>1047</v>
      </c>
      <c r="J144" t="s">
        <v>1253</v>
      </c>
      <c r="K144" t="s">
        <v>1538</v>
      </c>
      <c r="L144" t="s">
        <v>922</v>
      </c>
      <c r="M144" t="s">
        <v>1046</v>
      </c>
      <c r="N144" t="s">
        <v>1756</v>
      </c>
      <c r="O144" t="s">
        <v>1104</v>
      </c>
      <c r="P144" t="s">
        <v>1059</v>
      </c>
      <c r="Q144" t="s">
        <v>1555</v>
      </c>
      <c r="R144" t="s">
        <v>1466</v>
      </c>
      <c r="S144" t="s">
        <v>924</v>
      </c>
      <c r="T144" t="s">
        <v>964</v>
      </c>
      <c r="U144" t="s">
        <v>1757</v>
      </c>
      <c r="V144" t="s">
        <v>991</v>
      </c>
      <c r="W144" t="s">
        <v>947</v>
      </c>
      <c r="X144" t="s">
        <v>1012</v>
      </c>
      <c r="Y144" t="s">
        <v>1329</v>
      </c>
      <c r="Z144" t="s">
        <v>918</v>
      </c>
      <c r="AA144" t="s">
        <v>934</v>
      </c>
      <c r="AB144" t="s">
        <v>1049</v>
      </c>
      <c r="AC144" t="s">
        <v>924</v>
      </c>
      <c r="AD144" t="s">
        <v>1508</v>
      </c>
      <c r="AE144">
        <v>13.1</v>
      </c>
      <c r="AF144">
        <v>13.045199999999999</v>
      </c>
    </row>
    <row r="145" spans="1:32" x14ac:dyDescent="0.25">
      <c r="A145" s="191" t="s">
        <v>1753</v>
      </c>
      <c r="B145" t="s">
        <v>1754</v>
      </c>
      <c r="C145" t="s">
        <v>1176</v>
      </c>
      <c r="D145" t="s">
        <v>1279</v>
      </c>
      <c r="E145" t="s">
        <v>56</v>
      </c>
      <c r="F145" t="s">
        <v>1032</v>
      </c>
      <c r="G145" t="s">
        <v>1032</v>
      </c>
      <c r="H145" t="s">
        <v>1517</v>
      </c>
      <c r="I145" t="s">
        <v>921</v>
      </c>
      <c r="J145" t="s">
        <v>1714</v>
      </c>
      <c r="K145" t="s">
        <v>1055</v>
      </c>
      <c r="L145" t="s">
        <v>993</v>
      </c>
      <c r="M145" t="s">
        <v>940</v>
      </c>
      <c r="N145" t="s">
        <v>1758</v>
      </c>
      <c r="O145" t="s">
        <v>1160</v>
      </c>
      <c r="P145" t="s">
        <v>1009</v>
      </c>
      <c r="Q145" t="s">
        <v>1130</v>
      </c>
      <c r="R145" t="s">
        <v>1143</v>
      </c>
      <c r="S145" t="s">
        <v>946</v>
      </c>
      <c r="T145" t="s">
        <v>979</v>
      </c>
      <c r="U145" t="s">
        <v>1759</v>
      </c>
      <c r="V145" t="s">
        <v>934</v>
      </c>
      <c r="W145" t="s">
        <v>1104</v>
      </c>
      <c r="X145" t="s">
        <v>1135</v>
      </c>
      <c r="Y145" t="s">
        <v>1006</v>
      </c>
      <c r="Z145" t="s">
        <v>1064</v>
      </c>
      <c r="AA145" t="s">
        <v>934</v>
      </c>
      <c r="AB145" t="s">
        <v>1012</v>
      </c>
      <c r="AC145" t="s">
        <v>924</v>
      </c>
      <c r="AD145" t="s">
        <v>1540</v>
      </c>
      <c r="AE145">
        <v>18.400000000000002</v>
      </c>
      <c r="AF145">
        <v>18.3948</v>
      </c>
    </row>
    <row r="146" spans="1:32" x14ac:dyDescent="0.25">
      <c r="A146" s="191" t="s">
        <v>2083</v>
      </c>
      <c r="B146" t="s">
        <v>323</v>
      </c>
      <c r="C146" t="s">
        <v>1164</v>
      </c>
      <c r="D146" t="s">
        <v>1223</v>
      </c>
      <c r="E146" t="s">
        <v>93</v>
      </c>
      <c r="F146" t="s">
        <v>1431</v>
      </c>
      <c r="G146" t="s">
        <v>1535</v>
      </c>
      <c r="H146" t="s">
        <v>1979</v>
      </c>
      <c r="I146" t="s">
        <v>1048</v>
      </c>
      <c r="J146" t="s">
        <v>1028</v>
      </c>
      <c r="K146" t="s">
        <v>2040</v>
      </c>
      <c r="L146" t="s">
        <v>945</v>
      </c>
      <c r="M146" t="s">
        <v>992</v>
      </c>
      <c r="N146" t="s">
        <v>1578</v>
      </c>
      <c r="O146" t="s">
        <v>956</v>
      </c>
      <c r="P146" t="s">
        <v>1160</v>
      </c>
      <c r="Q146" t="s">
        <v>1208</v>
      </c>
      <c r="R146" t="s">
        <v>2084</v>
      </c>
      <c r="S146" t="s">
        <v>1310</v>
      </c>
      <c r="T146" t="s">
        <v>925</v>
      </c>
      <c r="U146" t="s">
        <v>2056</v>
      </c>
      <c r="V146" t="s">
        <v>1064</v>
      </c>
      <c r="W146" t="s">
        <v>920</v>
      </c>
      <c r="X146" t="s">
        <v>1059</v>
      </c>
      <c r="Y146" t="s">
        <v>1092</v>
      </c>
      <c r="Z146" t="s">
        <v>1310</v>
      </c>
      <c r="AA146" t="s">
        <v>923</v>
      </c>
      <c r="AB146" t="s">
        <v>1012</v>
      </c>
      <c r="AC146" t="s">
        <v>1048</v>
      </c>
      <c r="AD146" t="s">
        <v>1108</v>
      </c>
      <c r="AE146">
        <v>9.1</v>
      </c>
      <c r="AF146">
        <v>9.054000000000002</v>
      </c>
    </row>
    <row r="147" spans="1:32" x14ac:dyDescent="0.25">
      <c r="A147" s="191" t="s">
        <v>1753</v>
      </c>
      <c r="B147" t="s">
        <v>1754</v>
      </c>
      <c r="C147" t="s">
        <v>1176</v>
      </c>
      <c r="D147" t="s">
        <v>97</v>
      </c>
      <c r="E147" t="s">
        <v>56</v>
      </c>
      <c r="F147" t="s">
        <v>1015</v>
      </c>
      <c r="G147" t="s">
        <v>1083</v>
      </c>
      <c r="H147" t="s">
        <v>1161</v>
      </c>
      <c r="I147" t="s">
        <v>1000</v>
      </c>
      <c r="J147" t="s">
        <v>1108</v>
      </c>
      <c r="K147" t="s">
        <v>1435</v>
      </c>
      <c r="L147" t="s">
        <v>1064</v>
      </c>
      <c r="M147" t="s">
        <v>1155</v>
      </c>
      <c r="N147" t="s">
        <v>1763</v>
      </c>
      <c r="O147" t="s">
        <v>947</v>
      </c>
      <c r="P147" t="s">
        <v>962</v>
      </c>
      <c r="Q147" t="s">
        <v>1764</v>
      </c>
      <c r="R147" t="s">
        <v>1603</v>
      </c>
      <c r="S147" t="s">
        <v>964</v>
      </c>
      <c r="T147" t="s">
        <v>1000</v>
      </c>
      <c r="U147" t="s">
        <v>1765</v>
      </c>
      <c r="V147" t="s">
        <v>1065</v>
      </c>
      <c r="W147" t="s">
        <v>925</v>
      </c>
      <c r="X147" t="s">
        <v>1012</v>
      </c>
      <c r="Y147" t="s">
        <v>1043</v>
      </c>
      <c r="Z147" t="s">
        <v>1065</v>
      </c>
      <c r="AA147" t="s">
        <v>934</v>
      </c>
      <c r="AB147" t="s">
        <v>1195</v>
      </c>
      <c r="AC147" t="s">
        <v>956</v>
      </c>
      <c r="AD147" t="s">
        <v>1394</v>
      </c>
      <c r="AE147">
        <v>10.8</v>
      </c>
      <c r="AF147">
        <v>10.788600000000001</v>
      </c>
    </row>
    <row r="148" spans="1:32" x14ac:dyDescent="0.25">
      <c r="A148" s="191" t="s">
        <v>1766</v>
      </c>
      <c r="B148" t="s">
        <v>322</v>
      </c>
      <c r="C148" t="s">
        <v>902</v>
      </c>
      <c r="D148" t="s">
        <v>1014</v>
      </c>
      <c r="E148" t="s">
        <v>93</v>
      </c>
      <c r="F148" t="s">
        <v>1501</v>
      </c>
      <c r="G148" t="s">
        <v>1489</v>
      </c>
      <c r="H148" t="s">
        <v>1447</v>
      </c>
      <c r="I148" t="s">
        <v>920</v>
      </c>
      <c r="J148" t="s">
        <v>997</v>
      </c>
      <c r="K148" t="s">
        <v>1130</v>
      </c>
      <c r="L148" t="s">
        <v>922</v>
      </c>
      <c r="M148" t="s">
        <v>1081</v>
      </c>
      <c r="N148" t="s">
        <v>1767</v>
      </c>
      <c r="O148" t="s">
        <v>1048</v>
      </c>
      <c r="P148" t="s">
        <v>1092</v>
      </c>
      <c r="Q148" t="s">
        <v>1520</v>
      </c>
      <c r="R148" t="s">
        <v>1768</v>
      </c>
      <c r="S148" t="s">
        <v>1310</v>
      </c>
      <c r="T148" t="s">
        <v>1049</v>
      </c>
      <c r="U148" t="s">
        <v>1769</v>
      </c>
      <c r="V148" t="s">
        <v>1195</v>
      </c>
      <c r="W148" t="s">
        <v>1030</v>
      </c>
      <c r="X148" t="s">
        <v>920</v>
      </c>
      <c r="Y148" t="s">
        <v>1230</v>
      </c>
      <c r="Z148" t="s">
        <v>987</v>
      </c>
      <c r="AA148" t="s">
        <v>991</v>
      </c>
      <c r="AB148" t="s">
        <v>987</v>
      </c>
      <c r="AC148" t="s">
        <v>968</v>
      </c>
      <c r="AD148" t="s">
        <v>1508</v>
      </c>
      <c r="AE148">
        <v>13.2</v>
      </c>
      <c r="AF148">
        <v>13.173999999999998</v>
      </c>
    </row>
    <row r="149" spans="1:32" x14ac:dyDescent="0.25">
      <c r="A149" s="191" t="s">
        <v>1770</v>
      </c>
      <c r="B149" t="s">
        <v>263</v>
      </c>
      <c r="C149" t="s">
        <v>1068</v>
      </c>
      <c r="D149" t="s">
        <v>105</v>
      </c>
      <c r="E149" t="s">
        <v>72</v>
      </c>
      <c r="F149" t="s">
        <v>1594</v>
      </c>
      <c r="G149" t="s">
        <v>1594</v>
      </c>
      <c r="H149" t="s">
        <v>1664</v>
      </c>
      <c r="I149" t="s">
        <v>1046</v>
      </c>
      <c r="J149" t="s">
        <v>943</v>
      </c>
      <c r="K149" t="s">
        <v>1130</v>
      </c>
      <c r="L149" t="s">
        <v>922</v>
      </c>
      <c r="M149" t="s">
        <v>957</v>
      </c>
      <c r="N149" t="s">
        <v>1411</v>
      </c>
      <c r="O149" t="s">
        <v>1048</v>
      </c>
      <c r="P149" t="s">
        <v>920</v>
      </c>
      <c r="Q149" t="s">
        <v>1771</v>
      </c>
      <c r="R149" t="s">
        <v>1541</v>
      </c>
      <c r="S149" t="s">
        <v>1230</v>
      </c>
      <c r="T149" t="s">
        <v>922</v>
      </c>
      <c r="U149" t="s">
        <v>1772</v>
      </c>
      <c r="V149" t="s">
        <v>1230</v>
      </c>
      <c r="W149" t="s">
        <v>992</v>
      </c>
      <c r="X149" t="s">
        <v>920</v>
      </c>
      <c r="Y149" t="s">
        <v>968</v>
      </c>
      <c r="Z149" t="s">
        <v>969</v>
      </c>
      <c r="AA149" t="s">
        <v>1049</v>
      </c>
      <c r="AB149" t="s">
        <v>1064</v>
      </c>
      <c r="AC149" t="s">
        <v>908</v>
      </c>
      <c r="AD149" t="s">
        <v>1658</v>
      </c>
      <c r="AE149">
        <v>12.9</v>
      </c>
      <c r="AF149">
        <v>13.023499999999999</v>
      </c>
    </row>
    <row r="150" spans="1:32" x14ac:dyDescent="0.25">
      <c r="A150" s="191" t="s">
        <v>1773</v>
      </c>
      <c r="B150" t="s">
        <v>198</v>
      </c>
      <c r="C150" t="s">
        <v>1232</v>
      </c>
      <c r="D150" t="s">
        <v>77</v>
      </c>
      <c r="E150" t="s">
        <v>72</v>
      </c>
      <c r="F150" t="s">
        <v>930</v>
      </c>
      <c r="G150" t="s">
        <v>930</v>
      </c>
      <c r="H150" t="s">
        <v>1774</v>
      </c>
      <c r="I150" t="s">
        <v>1046</v>
      </c>
      <c r="J150" t="s">
        <v>1113</v>
      </c>
      <c r="K150" t="s">
        <v>1775</v>
      </c>
      <c r="L150" t="s">
        <v>1029</v>
      </c>
      <c r="M150" t="s">
        <v>1005</v>
      </c>
      <c r="N150" t="s">
        <v>1567</v>
      </c>
      <c r="O150" t="s">
        <v>970</v>
      </c>
      <c r="P150" t="s">
        <v>1118</v>
      </c>
      <c r="Q150" t="s">
        <v>1337</v>
      </c>
      <c r="R150" t="s">
        <v>1776</v>
      </c>
      <c r="S150" t="s">
        <v>922</v>
      </c>
      <c r="T150" t="s">
        <v>993</v>
      </c>
      <c r="U150" t="s">
        <v>1611</v>
      </c>
      <c r="V150" t="s">
        <v>1049</v>
      </c>
      <c r="W150" t="s">
        <v>1211</v>
      </c>
      <c r="X150" t="s">
        <v>940</v>
      </c>
      <c r="Y150" t="s">
        <v>924</v>
      </c>
      <c r="Z150" t="s">
        <v>1008</v>
      </c>
      <c r="AA150" t="s">
        <v>1310</v>
      </c>
      <c r="AB150" t="s">
        <v>922</v>
      </c>
      <c r="AC150" t="s">
        <v>925</v>
      </c>
      <c r="AD150" t="s">
        <v>1658</v>
      </c>
      <c r="AE150">
        <v>13.100000000000001</v>
      </c>
      <c r="AF150">
        <v>13.038300000000001</v>
      </c>
    </row>
    <row r="151" spans="1:32" x14ac:dyDescent="0.25">
      <c r="A151" s="194" t="s">
        <v>1777</v>
      </c>
      <c r="B151" t="s">
        <v>1778</v>
      </c>
      <c r="C151" t="s">
        <v>1293</v>
      </c>
      <c r="D151" t="s">
        <v>142</v>
      </c>
      <c r="E151" t="s">
        <v>72</v>
      </c>
      <c r="F151" t="s">
        <v>929</v>
      </c>
      <c r="G151" t="s">
        <v>901</v>
      </c>
      <c r="H151" t="s">
        <v>1304</v>
      </c>
      <c r="I151" t="s">
        <v>957</v>
      </c>
      <c r="J151" t="s">
        <v>1010</v>
      </c>
      <c r="K151" t="s">
        <v>1324</v>
      </c>
      <c r="L151" t="s">
        <v>918</v>
      </c>
      <c r="M151" t="s">
        <v>993</v>
      </c>
      <c r="N151" t="s">
        <v>1556</v>
      </c>
      <c r="O151" t="s">
        <v>1155</v>
      </c>
      <c r="P151" t="s">
        <v>1079</v>
      </c>
      <c r="Q151" t="s">
        <v>1779</v>
      </c>
      <c r="R151" t="s">
        <v>1780</v>
      </c>
      <c r="S151" t="s">
        <v>1012</v>
      </c>
      <c r="T151" t="s">
        <v>1030</v>
      </c>
      <c r="U151" t="s">
        <v>1745</v>
      </c>
      <c r="V151" t="s">
        <v>1195</v>
      </c>
      <c r="W151" t="s">
        <v>992</v>
      </c>
      <c r="X151" t="s">
        <v>1046</v>
      </c>
      <c r="Y151" t="s">
        <v>1230</v>
      </c>
      <c r="Z151" t="s">
        <v>987</v>
      </c>
      <c r="AA151" t="s">
        <v>991</v>
      </c>
      <c r="AB151" t="s">
        <v>1029</v>
      </c>
      <c r="AC151" t="s">
        <v>968</v>
      </c>
      <c r="AD151" t="s">
        <v>1781</v>
      </c>
      <c r="AE151">
        <v>12.9</v>
      </c>
      <c r="AF151">
        <v>12.885000000000002</v>
      </c>
    </row>
    <row r="152" spans="1:32" x14ac:dyDescent="0.25">
      <c r="A152" s="191" t="s">
        <v>1782</v>
      </c>
      <c r="B152" t="s">
        <v>1783</v>
      </c>
      <c r="C152" t="s">
        <v>1204</v>
      </c>
      <c r="D152" t="s">
        <v>77</v>
      </c>
      <c r="E152" t="s">
        <v>56</v>
      </c>
      <c r="F152" t="s">
        <v>1084</v>
      </c>
      <c r="G152" t="s">
        <v>1147</v>
      </c>
      <c r="H152" t="s">
        <v>1311</v>
      </c>
      <c r="I152" t="s">
        <v>1170</v>
      </c>
      <c r="J152" t="s">
        <v>1450</v>
      </c>
      <c r="K152" t="s">
        <v>1784</v>
      </c>
      <c r="L152" t="s">
        <v>1008</v>
      </c>
      <c r="M152" t="s">
        <v>947</v>
      </c>
      <c r="N152" t="s">
        <v>1785</v>
      </c>
      <c r="O152" t="s">
        <v>1030</v>
      </c>
      <c r="P152" t="s">
        <v>990</v>
      </c>
      <c r="Q152" t="s">
        <v>1157</v>
      </c>
      <c r="R152" t="s">
        <v>1682</v>
      </c>
      <c r="S152" t="s">
        <v>1000</v>
      </c>
      <c r="T152" t="s">
        <v>1155</v>
      </c>
      <c r="U152" t="s">
        <v>1786</v>
      </c>
      <c r="V152" t="s">
        <v>918</v>
      </c>
      <c r="W152" t="s">
        <v>964</v>
      </c>
      <c r="X152" t="s">
        <v>1155</v>
      </c>
      <c r="Y152" t="s">
        <v>919</v>
      </c>
      <c r="Z152" t="s">
        <v>1065</v>
      </c>
      <c r="AA152" t="s">
        <v>934</v>
      </c>
      <c r="AB152" t="s">
        <v>1029</v>
      </c>
      <c r="AC152" t="s">
        <v>1195</v>
      </c>
      <c r="AD152" t="s">
        <v>966</v>
      </c>
      <c r="AE152">
        <v>12.7</v>
      </c>
      <c r="AF152">
        <v>12.678599999999999</v>
      </c>
    </row>
    <row r="153" spans="1:32" x14ac:dyDescent="0.25">
      <c r="A153" s="191" t="s">
        <v>1787</v>
      </c>
      <c r="B153" t="s">
        <v>1788</v>
      </c>
      <c r="C153" t="s">
        <v>1238</v>
      </c>
      <c r="D153" t="s">
        <v>95</v>
      </c>
      <c r="E153" t="s">
        <v>56</v>
      </c>
      <c r="F153" t="s">
        <v>1535</v>
      </c>
      <c r="G153" t="s">
        <v>1106</v>
      </c>
      <c r="H153" t="s">
        <v>1671</v>
      </c>
      <c r="I153" t="s">
        <v>1170</v>
      </c>
      <c r="J153" t="s">
        <v>1020</v>
      </c>
      <c r="K153" t="s">
        <v>1761</v>
      </c>
      <c r="L153" t="s">
        <v>1029</v>
      </c>
      <c r="M153" t="s">
        <v>1047</v>
      </c>
      <c r="N153" t="s">
        <v>1001</v>
      </c>
      <c r="O153" t="s">
        <v>1104</v>
      </c>
      <c r="P153" t="s">
        <v>1126</v>
      </c>
      <c r="Q153" t="s">
        <v>1099</v>
      </c>
      <c r="R153" t="s">
        <v>1476</v>
      </c>
      <c r="S153" t="s">
        <v>924</v>
      </c>
      <c r="T153" t="s">
        <v>946</v>
      </c>
      <c r="U153" t="s">
        <v>1007</v>
      </c>
      <c r="V153" t="s">
        <v>987</v>
      </c>
      <c r="W153" t="s">
        <v>925</v>
      </c>
      <c r="X153" t="s">
        <v>1135</v>
      </c>
      <c r="Y153" t="s">
        <v>1005</v>
      </c>
      <c r="Z153" t="s">
        <v>923</v>
      </c>
      <c r="AA153" t="s">
        <v>934</v>
      </c>
      <c r="AB153" t="s">
        <v>1220</v>
      </c>
      <c r="AC153" t="s">
        <v>1220</v>
      </c>
      <c r="AD153" t="s">
        <v>966</v>
      </c>
      <c r="AE153">
        <v>12.6</v>
      </c>
      <c r="AF153">
        <v>12.690899999999999</v>
      </c>
    </row>
    <row r="154" spans="1:32" x14ac:dyDescent="0.25">
      <c r="A154" s="191" t="s">
        <v>1789</v>
      </c>
      <c r="B154" t="s">
        <v>1790</v>
      </c>
      <c r="C154" t="s">
        <v>973</v>
      </c>
      <c r="D154" t="s">
        <v>70</v>
      </c>
      <c r="E154" t="s">
        <v>47</v>
      </c>
      <c r="F154" t="s">
        <v>1285</v>
      </c>
      <c r="G154" t="s">
        <v>1717</v>
      </c>
      <c r="H154" t="s">
        <v>1292</v>
      </c>
      <c r="I154" t="s">
        <v>1134</v>
      </c>
      <c r="J154" t="s">
        <v>1450</v>
      </c>
      <c r="K154" t="s">
        <v>1420</v>
      </c>
      <c r="L154" t="s">
        <v>1064</v>
      </c>
      <c r="M154" t="s">
        <v>992</v>
      </c>
      <c r="N154" t="s">
        <v>1791</v>
      </c>
      <c r="O154" t="s">
        <v>1030</v>
      </c>
      <c r="P154" t="s">
        <v>921</v>
      </c>
      <c r="Q154" t="s">
        <v>1585</v>
      </c>
      <c r="R154" t="s">
        <v>1307</v>
      </c>
      <c r="S154" t="s">
        <v>1049</v>
      </c>
      <c r="T154" t="s">
        <v>993</v>
      </c>
      <c r="U154" t="s">
        <v>1634</v>
      </c>
      <c r="V154" t="s">
        <v>1310</v>
      </c>
      <c r="W154" t="s">
        <v>1000</v>
      </c>
      <c r="X154" t="s">
        <v>1134</v>
      </c>
      <c r="Y154" t="s">
        <v>1029</v>
      </c>
      <c r="Z154" t="s">
        <v>969</v>
      </c>
      <c r="AA154" t="s">
        <v>1094</v>
      </c>
      <c r="AB154" t="s">
        <v>923</v>
      </c>
      <c r="AC154" t="s">
        <v>1310</v>
      </c>
      <c r="AD154" t="s">
        <v>966</v>
      </c>
      <c r="AE154">
        <v>12.6</v>
      </c>
      <c r="AF154">
        <v>12.7013</v>
      </c>
    </row>
    <row r="155" spans="1:32" x14ac:dyDescent="0.25">
      <c r="A155" s="191" t="s">
        <v>1792</v>
      </c>
      <c r="B155" t="s">
        <v>1793</v>
      </c>
      <c r="C155" t="s">
        <v>1015</v>
      </c>
      <c r="D155" t="s">
        <v>974</v>
      </c>
      <c r="E155" t="s">
        <v>56</v>
      </c>
      <c r="F155" t="s">
        <v>1165</v>
      </c>
      <c r="G155" t="s">
        <v>1068</v>
      </c>
      <c r="H155" t="s">
        <v>1794</v>
      </c>
      <c r="I155" t="s">
        <v>1170</v>
      </c>
      <c r="J155" t="s">
        <v>1253</v>
      </c>
      <c r="K155" t="s">
        <v>1509</v>
      </c>
      <c r="L155" t="s">
        <v>1049</v>
      </c>
      <c r="M155" t="s">
        <v>985</v>
      </c>
      <c r="N155" t="s">
        <v>1628</v>
      </c>
      <c r="O155" t="s">
        <v>947</v>
      </c>
      <c r="P155" t="s">
        <v>1134</v>
      </c>
      <c r="Q155" t="s">
        <v>1629</v>
      </c>
      <c r="R155" t="s">
        <v>1795</v>
      </c>
      <c r="S155" t="s">
        <v>908</v>
      </c>
      <c r="T155" t="s">
        <v>993</v>
      </c>
      <c r="U155" t="s">
        <v>1796</v>
      </c>
      <c r="V155" t="s">
        <v>1094</v>
      </c>
      <c r="W155" t="s">
        <v>924</v>
      </c>
      <c r="X155" t="s">
        <v>1104</v>
      </c>
      <c r="Y155" t="s">
        <v>1005</v>
      </c>
      <c r="Z155" t="s">
        <v>923</v>
      </c>
      <c r="AA155" t="s">
        <v>991</v>
      </c>
      <c r="AB155" t="s">
        <v>1049</v>
      </c>
      <c r="AC155" t="s">
        <v>956</v>
      </c>
      <c r="AD155" t="s">
        <v>1306</v>
      </c>
      <c r="AE155">
        <v>12.6</v>
      </c>
      <c r="AF155">
        <v>12.619800000000001</v>
      </c>
    </row>
    <row r="156" spans="1:32" x14ac:dyDescent="0.25">
      <c r="A156" s="191" t="s">
        <v>1792</v>
      </c>
      <c r="B156" t="s">
        <v>1793</v>
      </c>
      <c r="C156" t="s">
        <v>1015</v>
      </c>
      <c r="D156" t="s">
        <v>1014</v>
      </c>
      <c r="E156" t="s">
        <v>56</v>
      </c>
      <c r="F156" t="s">
        <v>950</v>
      </c>
      <c r="G156" t="s">
        <v>1106</v>
      </c>
      <c r="H156" t="s">
        <v>1095</v>
      </c>
      <c r="I156" t="s">
        <v>1103</v>
      </c>
      <c r="J156" t="s">
        <v>1655</v>
      </c>
      <c r="K156" t="s">
        <v>1797</v>
      </c>
      <c r="L156" t="s">
        <v>1049</v>
      </c>
      <c r="M156" t="s">
        <v>1079</v>
      </c>
      <c r="N156" t="s">
        <v>1666</v>
      </c>
      <c r="O156" t="s">
        <v>993</v>
      </c>
      <c r="P156" t="s">
        <v>1046</v>
      </c>
      <c r="Q156" t="s">
        <v>1436</v>
      </c>
      <c r="R156" t="s">
        <v>1412</v>
      </c>
      <c r="S156" t="s">
        <v>1029</v>
      </c>
      <c r="T156" t="s">
        <v>968</v>
      </c>
      <c r="U156" t="s">
        <v>1701</v>
      </c>
      <c r="V156" t="s">
        <v>1094</v>
      </c>
      <c r="W156" t="s">
        <v>993</v>
      </c>
      <c r="X156" t="s">
        <v>1104</v>
      </c>
      <c r="Y156" t="s">
        <v>957</v>
      </c>
      <c r="Z156" t="s">
        <v>987</v>
      </c>
      <c r="AA156" t="s">
        <v>1119</v>
      </c>
      <c r="AB156" t="s">
        <v>922</v>
      </c>
      <c r="AC156" t="s">
        <v>968</v>
      </c>
      <c r="AD156" t="s">
        <v>1113</v>
      </c>
      <c r="AE156">
        <v>12.299999999999999</v>
      </c>
      <c r="AF156">
        <v>12.320399999999999</v>
      </c>
    </row>
    <row r="157" spans="1:32" x14ac:dyDescent="0.25">
      <c r="A157" s="191" t="s">
        <v>1792</v>
      </c>
      <c r="B157" t="s">
        <v>1793</v>
      </c>
      <c r="C157" t="s">
        <v>1015</v>
      </c>
      <c r="D157" t="s">
        <v>1279</v>
      </c>
      <c r="E157" t="s">
        <v>56</v>
      </c>
      <c r="F157" t="s">
        <v>950</v>
      </c>
      <c r="G157" t="s">
        <v>902</v>
      </c>
      <c r="H157" t="s">
        <v>1186</v>
      </c>
      <c r="I157" t="s">
        <v>919</v>
      </c>
      <c r="J157" t="s">
        <v>905</v>
      </c>
      <c r="K157" t="s">
        <v>1798</v>
      </c>
      <c r="L157" t="s">
        <v>956</v>
      </c>
      <c r="M157" t="s">
        <v>1006</v>
      </c>
      <c r="N157" t="s">
        <v>1799</v>
      </c>
      <c r="O157" t="s">
        <v>925</v>
      </c>
      <c r="P157" t="s">
        <v>957</v>
      </c>
      <c r="Q157" t="s">
        <v>1682</v>
      </c>
      <c r="R157" t="s">
        <v>1337</v>
      </c>
      <c r="S157" t="s">
        <v>1012</v>
      </c>
      <c r="T157" t="s">
        <v>1048</v>
      </c>
      <c r="U157" t="s">
        <v>1772</v>
      </c>
      <c r="V157" t="s">
        <v>991</v>
      </c>
      <c r="W157" t="s">
        <v>924</v>
      </c>
      <c r="X157" t="s">
        <v>1104</v>
      </c>
      <c r="Y157" t="s">
        <v>1092</v>
      </c>
      <c r="Z157" t="s">
        <v>1064</v>
      </c>
      <c r="AA157" t="s">
        <v>1008</v>
      </c>
      <c r="AB157" t="s">
        <v>956</v>
      </c>
      <c r="AC157" t="s">
        <v>908</v>
      </c>
      <c r="AD157" t="s">
        <v>1781</v>
      </c>
      <c r="AE157">
        <v>12.799999999999999</v>
      </c>
      <c r="AF157">
        <v>12.913600000000001</v>
      </c>
    </row>
    <row r="158" spans="1:32" x14ac:dyDescent="0.25">
      <c r="A158" s="191" t="s">
        <v>1800</v>
      </c>
      <c r="B158" t="s">
        <v>231</v>
      </c>
      <c r="C158" t="s">
        <v>1232</v>
      </c>
      <c r="D158" t="s">
        <v>111</v>
      </c>
      <c r="E158" t="s">
        <v>47</v>
      </c>
      <c r="F158" t="s">
        <v>1138</v>
      </c>
      <c r="G158" t="s">
        <v>1438</v>
      </c>
      <c r="H158" t="s">
        <v>1221</v>
      </c>
      <c r="I158" t="s">
        <v>1134</v>
      </c>
      <c r="J158" t="s">
        <v>1020</v>
      </c>
      <c r="K158" t="s">
        <v>1555</v>
      </c>
      <c r="L158" t="s">
        <v>1029</v>
      </c>
      <c r="M158" t="s">
        <v>1211</v>
      </c>
      <c r="N158" t="s">
        <v>1425</v>
      </c>
      <c r="O158" t="s">
        <v>946</v>
      </c>
      <c r="P158" t="s">
        <v>1079</v>
      </c>
      <c r="Q158" t="s">
        <v>1570</v>
      </c>
      <c r="R158" t="s">
        <v>1058</v>
      </c>
      <c r="S158" t="s">
        <v>1230</v>
      </c>
      <c r="T158" t="s">
        <v>956</v>
      </c>
      <c r="U158" t="s">
        <v>1801</v>
      </c>
      <c r="V158" t="s">
        <v>1064</v>
      </c>
      <c r="W158" t="s">
        <v>924</v>
      </c>
      <c r="X158" t="s">
        <v>992</v>
      </c>
      <c r="Y158" t="s">
        <v>945</v>
      </c>
      <c r="Z158" t="s">
        <v>1008</v>
      </c>
      <c r="AA158" t="s">
        <v>1065</v>
      </c>
      <c r="AB158" t="s">
        <v>945</v>
      </c>
      <c r="AC158" t="s">
        <v>956</v>
      </c>
      <c r="AD158" t="s">
        <v>1306</v>
      </c>
      <c r="AE158">
        <v>12.6</v>
      </c>
      <c r="AF158">
        <v>12.585000000000001</v>
      </c>
    </row>
    <row r="159" spans="1:32" x14ac:dyDescent="0.25">
      <c r="A159" s="191" t="s">
        <v>1802</v>
      </c>
      <c r="B159" t="s">
        <v>319</v>
      </c>
      <c r="C159" t="s">
        <v>1084</v>
      </c>
      <c r="D159" t="s">
        <v>156</v>
      </c>
      <c r="E159" t="s">
        <v>93</v>
      </c>
      <c r="F159" t="s">
        <v>1107</v>
      </c>
      <c r="G159" t="s">
        <v>1202</v>
      </c>
      <c r="H159" t="s">
        <v>1794</v>
      </c>
      <c r="I159" t="s">
        <v>1134</v>
      </c>
      <c r="J159" t="s">
        <v>1450</v>
      </c>
      <c r="K159" t="s">
        <v>1466</v>
      </c>
      <c r="L159" t="s">
        <v>968</v>
      </c>
      <c r="M159" t="s">
        <v>920</v>
      </c>
      <c r="N159" t="s">
        <v>981</v>
      </c>
      <c r="O159" t="s">
        <v>1135</v>
      </c>
      <c r="P159" t="s">
        <v>920</v>
      </c>
      <c r="Q159" t="s">
        <v>1541</v>
      </c>
      <c r="R159" t="s">
        <v>955</v>
      </c>
      <c r="S159" t="s">
        <v>923</v>
      </c>
      <c r="T159" t="s">
        <v>1230</v>
      </c>
      <c r="U159" t="s">
        <v>1803</v>
      </c>
      <c r="V159" t="s">
        <v>1230</v>
      </c>
      <c r="W159" t="s">
        <v>920</v>
      </c>
      <c r="X159" t="s">
        <v>921</v>
      </c>
      <c r="Y159" t="s">
        <v>964</v>
      </c>
      <c r="Z159" t="s">
        <v>987</v>
      </c>
      <c r="AA159" t="s">
        <v>991</v>
      </c>
      <c r="AB159" t="s">
        <v>1064</v>
      </c>
      <c r="AC159" t="s">
        <v>945</v>
      </c>
      <c r="AD159" t="s">
        <v>1236</v>
      </c>
      <c r="AE159">
        <v>12.4</v>
      </c>
      <c r="AF159">
        <v>12.477399999999999</v>
      </c>
    </row>
    <row r="160" spans="1:32" x14ac:dyDescent="0.25">
      <c r="A160" s="191" t="s">
        <v>1804</v>
      </c>
      <c r="B160" t="s">
        <v>1805</v>
      </c>
      <c r="C160" t="s">
        <v>1293</v>
      </c>
      <c r="D160" t="s">
        <v>85</v>
      </c>
      <c r="E160" t="s">
        <v>63</v>
      </c>
      <c r="F160" t="s">
        <v>951</v>
      </c>
      <c r="G160" t="s">
        <v>949</v>
      </c>
      <c r="H160" t="s">
        <v>1806</v>
      </c>
      <c r="I160" t="s">
        <v>1211</v>
      </c>
      <c r="J160" t="s">
        <v>916</v>
      </c>
      <c r="K160" t="s">
        <v>1180</v>
      </c>
      <c r="L160" t="s">
        <v>1029</v>
      </c>
      <c r="M160" t="s">
        <v>992</v>
      </c>
      <c r="N160" t="s">
        <v>1577</v>
      </c>
      <c r="O160" t="s">
        <v>1135</v>
      </c>
      <c r="P160" t="s">
        <v>962</v>
      </c>
      <c r="Q160" t="s">
        <v>1218</v>
      </c>
      <c r="R160" t="s">
        <v>1807</v>
      </c>
      <c r="S160" t="s">
        <v>968</v>
      </c>
      <c r="T160" t="s">
        <v>908</v>
      </c>
      <c r="U160" t="s">
        <v>1808</v>
      </c>
      <c r="V160" t="s">
        <v>1008</v>
      </c>
      <c r="W160" t="s">
        <v>968</v>
      </c>
      <c r="X160" t="s">
        <v>993</v>
      </c>
      <c r="Y160" t="s">
        <v>1000</v>
      </c>
      <c r="Z160" t="s">
        <v>1064</v>
      </c>
      <c r="AA160" t="s">
        <v>1600</v>
      </c>
      <c r="AB160" t="s">
        <v>1195</v>
      </c>
      <c r="AC160" t="s">
        <v>1310</v>
      </c>
      <c r="AD160" t="s">
        <v>1236</v>
      </c>
      <c r="AE160">
        <v>12.600000000000001</v>
      </c>
      <c r="AF160">
        <v>12.500400000000001</v>
      </c>
    </row>
    <row r="161" spans="1:32" x14ac:dyDescent="0.25">
      <c r="A161" s="191" t="s">
        <v>1809</v>
      </c>
      <c r="B161" t="s">
        <v>340</v>
      </c>
      <c r="C161" t="s">
        <v>1084</v>
      </c>
      <c r="D161" t="s">
        <v>121</v>
      </c>
      <c r="E161" t="s">
        <v>93</v>
      </c>
      <c r="F161" t="s">
        <v>903</v>
      </c>
      <c r="G161" t="s">
        <v>903</v>
      </c>
      <c r="H161" t="s">
        <v>1188</v>
      </c>
      <c r="I161" t="s">
        <v>1134</v>
      </c>
      <c r="J161" t="s">
        <v>1394</v>
      </c>
      <c r="K161" t="s">
        <v>1297</v>
      </c>
      <c r="L161" t="s">
        <v>956</v>
      </c>
      <c r="M161" t="s">
        <v>1126</v>
      </c>
      <c r="N161" t="s">
        <v>1056</v>
      </c>
      <c r="O161" t="s">
        <v>1104</v>
      </c>
      <c r="P161" t="s">
        <v>1046</v>
      </c>
      <c r="Q161" t="s">
        <v>1504</v>
      </c>
      <c r="R161" t="s">
        <v>1307</v>
      </c>
      <c r="S161" t="s">
        <v>987</v>
      </c>
      <c r="T161" t="s">
        <v>918</v>
      </c>
      <c r="U161" t="s">
        <v>1765</v>
      </c>
      <c r="V161" t="s">
        <v>1049</v>
      </c>
      <c r="W161" t="s">
        <v>1134</v>
      </c>
      <c r="X161" t="s">
        <v>1112</v>
      </c>
      <c r="Y161" t="s">
        <v>1230</v>
      </c>
      <c r="Z161" t="s">
        <v>987</v>
      </c>
      <c r="AA161" t="s">
        <v>918</v>
      </c>
      <c r="AB161" t="s">
        <v>987</v>
      </c>
      <c r="AC161" t="s">
        <v>924</v>
      </c>
      <c r="AD161" t="s">
        <v>1113</v>
      </c>
      <c r="AE161">
        <v>12.4</v>
      </c>
      <c r="AF161">
        <v>12.367600000000003</v>
      </c>
    </row>
    <row r="162" spans="1:32" x14ac:dyDescent="0.25">
      <c r="A162" s="191" t="s">
        <v>1810</v>
      </c>
      <c r="B162" t="s">
        <v>1811</v>
      </c>
      <c r="C162" t="s">
        <v>902</v>
      </c>
      <c r="D162" t="s">
        <v>108</v>
      </c>
      <c r="E162" t="s">
        <v>63</v>
      </c>
      <c r="F162" t="s">
        <v>1238</v>
      </c>
      <c r="G162" t="s">
        <v>1067</v>
      </c>
      <c r="H162" t="s">
        <v>1292</v>
      </c>
      <c r="I162" t="s">
        <v>1047</v>
      </c>
      <c r="J162" t="s">
        <v>941</v>
      </c>
      <c r="K162" t="s">
        <v>1240</v>
      </c>
      <c r="L162" t="s">
        <v>947</v>
      </c>
      <c r="M162" t="s">
        <v>921</v>
      </c>
      <c r="N162" t="s">
        <v>1001</v>
      </c>
      <c r="O162" t="s">
        <v>925</v>
      </c>
      <c r="P162" t="s">
        <v>1170</v>
      </c>
      <c r="Q162" t="s">
        <v>1395</v>
      </c>
      <c r="R162" t="s">
        <v>1239</v>
      </c>
      <c r="S162" t="s">
        <v>945</v>
      </c>
      <c r="T162" t="s">
        <v>1310</v>
      </c>
      <c r="U162" t="s">
        <v>963</v>
      </c>
      <c r="V162" t="s">
        <v>1094</v>
      </c>
      <c r="W162" t="s">
        <v>964</v>
      </c>
      <c r="X162" t="s">
        <v>1048</v>
      </c>
      <c r="Y162" t="s">
        <v>993</v>
      </c>
      <c r="Z162" t="s">
        <v>1065</v>
      </c>
      <c r="AA162" t="s">
        <v>1094</v>
      </c>
      <c r="AB162" t="s">
        <v>1195</v>
      </c>
      <c r="AC162" t="s">
        <v>1230</v>
      </c>
      <c r="AD162" t="s">
        <v>1113</v>
      </c>
      <c r="AE162">
        <v>12.5</v>
      </c>
      <c r="AF162">
        <v>12.347999999999999</v>
      </c>
    </row>
    <row r="163" spans="1:32" x14ac:dyDescent="0.25">
      <c r="A163" s="191" t="s">
        <v>1812</v>
      </c>
      <c r="B163" t="s">
        <v>69</v>
      </c>
      <c r="C163" t="s">
        <v>1204</v>
      </c>
      <c r="D163" t="s">
        <v>70</v>
      </c>
      <c r="E163" t="s">
        <v>93</v>
      </c>
      <c r="F163" t="s">
        <v>1416</v>
      </c>
      <c r="G163" t="s">
        <v>1416</v>
      </c>
      <c r="H163" t="s">
        <v>1583</v>
      </c>
      <c r="I163" t="s">
        <v>1081</v>
      </c>
      <c r="J163" t="s">
        <v>1010</v>
      </c>
      <c r="K163" t="s">
        <v>1471</v>
      </c>
      <c r="L163" t="s">
        <v>1049</v>
      </c>
      <c r="M163" t="s">
        <v>1103</v>
      </c>
      <c r="N163" t="s">
        <v>1784</v>
      </c>
      <c r="O163" t="s">
        <v>947</v>
      </c>
      <c r="P163" t="s">
        <v>1160</v>
      </c>
      <c r="Q163" t="s">
        <v>1813</v>
      </c>
      <c r="R163" t="s">
        <v>1814</v>
      </c>
      <c r="S163" t="s">
        <v>956</v>
      </c>
      <c r="T163" t="s">
        <v>924</v>
      </c>
      <c r="U163" t="s">
        <v>1468</v>
      </c>
      <c r="V163" t="s">
        <v>945</v>
      </c>
      <c r="W163" t="s">
        <v>1012</v>
      </c>
      <c r="X163" t="s">
        <v>1155</v>
      </c>
      <c r="Y163" t="s">
        <v>922</v>
      </c>
      <c r="Z163" t="s">
        <v>1065</v>
      </c>
      <c r="AA163" t="s">
        <v>934</v>
      </c>
      <c r="AB163" t="s">
        <v>969</v>
      </c>
      <c r="AC163" t="s">
        <v>918</v>
      </c>
      <c r="AD163" t="s">
        <v>1815</v>
      </c>
      <c r="AE163">
        <v>12.3</v>
      </c>
      <c r="AF163">
        <v>12.266999999999999</v>
      </c>
    </row>
    <row r="164" spans="1:32" x14ac:dyDescent="0.25">
      <c r="A164" s="191" t="s">
        <v>1816</v>
      </c>
      <c r="B164" t="s">
        <v>100</v>
      </c>
      <c r="C164" t="s">
        <v>1238</v>
      </c>
      <c r="D164" t="s">
        <v>77</v>
      </c>
      <c r="E164" t="s">
        <v>47</v>
      </c>
      <c r="F164" t="s">
        <v>1501</v>
      </c>
      <c r="G164" t="s">
        <v>1501</v>
      </c>
      <c r="H164" t="s">
        <v>1817</v>
      </c>
      <c r="I164" t="s">
        <v>1047</v>
      </c>
      <c r="J164" t="s">
        <v>941</v>
      </c>
      <c r="K164" t="s">
        <v>1818</v>
      </c>
      <c r="L164" t="s">
        <v>1064</v>
      </c>
      <c r="M164" t="s">
        <v>1155</v>
      </c>
      <c r="N164" t="s">
        <v>1662</v>
      </c>
      <c r="O164" t="s">
        <v>1000</v>
      </c>
      <c r="P164" t="s">
        <v>1172</v>
      </c>
      <c r="Q164" t="s">
        <v>1131</v>
      </c>
      <c r="R164" t="s">
        <v>1287</v>
      </c>
      <c r="S164" t="s">
        <v>947</v>
      </c>
      <c r="T164" t="s">
        <v>946</v>
      </c>
      <c r="U164" t="s">
        <v>1505</v>
      </c>
      <c r="V164" t="s">
        <v>1310</v>
      </c>
      <c r="W164" t="s">
        <v>1000</v>
      </c>
      <c r="X164" t="s">
        <v>920</v>
      </c>
      <c r="Y164" t="s">
        <v>1000</v>
      </c>
      <c r="Z164" t="s">
        <v>1195</v>
      </c>
      <c r="AA164" t="s">
        <v>1008</v>
      </c>
      <c r="AB164" t="s">
        <v>908</v>
      </c>
      <c r="AC164" t="s">
        <v>924</v>
      </c>
      <c r="AD164" t="s">
        <v>1815</v>
      </c>
      <c r="AE164">
        <v>12.399999999999999</v>
      </c>
      <c r="AF164">
        <v>12.315999999999999</v>
      </c>
    </row>
    <row r="165" spans="1:32" x14ac:dyDescent="0.25">
      <c r="A165" s="191" t="s">
        <v>1819</v>
      </c>
      <c r="B165" t="s">
        <v>1820</v>
      </c>
      <c r="C165" t="s">
        <v>973</v>
      </c>
      <c r="D165" t="s">
        <v>131</v>
      </c>
      <c r="E165" t="s">
        <v>63</v>
      </c>
      <c r="F165" t="s">
        <v>1123</v>
      </c>
      <c r="G165" t="s">
        <v>902</v>
      </c>
      <c r="H165" t="s">
        <v>1821</v>
      </c>
      <c r="I165" t="s">
        <v>1134</v>
      </c>
      <c r="J165" t="s">
        <v>997</v>
      </c>
      <c r="K165" t="s">
        <v>1299</v>
      </c>
      <c r="L165" t="s">
        <v>1195</v>
      </c>
      <c r="M165" t="s">
        <v>919</v>
      </c>
      <c r="N165" t="s">
        <v>1359</v>
      </c>
      <c r="O165" t="s">
        <v>979</v>
      </c>
      <c r="P165" t="s">
        <v>909</v>
      </c>
      <c r="Q165" t="s">
        <v>1822</v>
      </c>
      <c r="R165" t="s">
        <v>1559</v>
      </c>
      <c r="S165" t="s">
        <v>1195</v>
      </c>
      <c r="T165" t="s">
        <v>922</v>
      </c>
      <c r="U165" t="s">
        <v>1529</v>
      </c>
      <c r="V165" t="s">
        <v>969</v>
      </c>
      <c r="W165" t="s">
        <v>964</v>
      </c>
      <c r="X165" t="s">
        <v>979</v>
      </c>
      <c r="Y165" t="s">
        <v>1047</v>
      </c>
      <c r="Z165" t="s">
        <v>918</v>
      </c>
      <c r="AA165" t="s">
        <v>991</v>
      </c>
      <c r="AB165" t="s">
        <v>1310</v>
      </c>
      <c r="AC165" t="s">
        <v>947</v>
      </c>
      <c r="AD165" t="s">
        <v>1815</v>
      </c>
      <c r="AE165">
        <v>12.200000000000001</v>
      </c>
      <c r="AF165">
        <v>12.345700000000001</v>
      </c>
    </row>
    <row r="166" spans="1:32" x14ac:dyDescent="0.25">
      <c r="A166" s="194" t="s">
        <v>1823</v>
      </c>
      <c r="B166" t="s">
        <v>1824</v>
      </c>
      <c r="C166" t="s">
        <v>902</v>
      </c>
      <c r="D166" t="s">
        <v>151</v>
      </c>
      <c r="E166" t="s">
        <v>72</v>
      </c>
      <c r="F166" t="s">
        <v>1489</v>
      </c>
      <c r="G166" t="s">
        <v>1176</v>
      </c>
      <c r="H166" t="s">
        <v>1389</v>
      </c>
      <c r="I166" t="s">
        <v>920</v>
      </c>
      <c r="J166" t="s">
        <v>1128</v>
      </c>
      <c r="K166" t="s">
        <v>1825</v>
      </c>
      <c r="L166" t="s">
        <v>1600</v>
      </c>
      <c r="M166" t="s">
        <v>1600</v>
      </c>
      <c r="N166" t="s">
        <v>927</v>
      </c>
      <c r="O166" t="s">
        <v>920</v>
      </c>
      <c r="P166" t="s">
        <v>1128</v>
      </c>
      <c r="Q166" t="s">
        <v>1825</v>
      </c>
      <c r="R166" t="s">
        <v>1825</v>
      </c>
      <c r="S166" t="s">
        <v>924</v>
      </c>
      <c r="T166" t="s">
        <v>1000</v>
      </c>
      <c r="U166" t="s">
        <v>1826</v>
      </c>
      <c r="V166" t="s">
        <v>1220</v>
      </c>
      <c r="W166" t="s">
        <v>919</v>
      </c>
      <c r="X166" t="s">
        <v>1172</v>
      </c>
      <c r="Y166" t="s">
        <v>1230</v>
      </c>
      <c r="Z166" t="s">
        <v>991</v>
      </c>
      <c r="AA166" t="s">
        <v>968</v>
      </c>
      <c r="AB166" t="s">
        <v>945</v>
      </c>
      <c r="AC166" t="s">
        <v>1220</v>
      </c>
      <c r="AD166" t="s">
        <v>1815</v>
      </c>
      <c r="AE166">
        <v>12.4</v>
      </c>
      <c r="AF166" t="e">
        <v>#VALUE!</v>
      </c>
    </row>
    <row r="167" spans="1:32" x14ac:dyDescent="0.25">
      <c r="A167" s="191" t="s">
        <v>1827</v>
      </c>
      <c r="B167" t="s">
        <v>135</v>
      </c>
      <c r="C167" t="s">
        <v>1084</v>
      </c>
      <c r="D167" t="s">
        <v>102</v>
      </c>
      <c r="E167" t="s">
        <v>93</v>
      </c>
      <c r="F167" t="s">
        <v>1416</v>
      </c>
      <c r="G167" t="s">
        <v>1416</v>
      </c>
      <c r="H167" t="s">
        <v>1385</v>
      </c>
      <c r="I167" t="s">
        <v>1046</v>
      </c>
      <c r="J167" t="s">
        <v>967</v>
      </c>
      <c r="K167" t="s">
        <v>1358</v>
      </c>
      <c r="L167" t="s">
        <v>945</v>
      </c>
      <c r="M167" t="s">
        <v>1030</v>
      </c>
      <c r="N167" t="s">
        <v>1828</v>
      </c>
      <c r="O167" t="s">
        <v>992</v>
      </c>
      <c r="P167" t="s">
        <v>940</v>
      </c>
      <c r="Q167" t="s">
        <v>1559</v>
      </c>
      <c r="R167" t="s">
        <v>1058</v>
      </c>
      <c r="S167" t="s">
        <v>1195</v>
      </c>
      <c r="T167" t="s">
        <v>1029</v>
      </c>
      <c r="U167" t="s">
        <v>1421</v>
      </c>
      <c r="V167" t="s">
        <v>1029</v>
      </c>
      <c r="W167" t="s">
        <v>1081</v>
      </c>
      <c r="X167" t="s">
        <v>909</v>
      </c>
      <c r="Y167" t="s">
        <v>956</v>
      </c>
      <c r="Z167" t="s">
        <v>1195</v>
      </c>
      <c r="AA167" t="s">
        <v>918</v>
      </c>
      <c r="AB167" t="s">
        <v>945</v>
      </c>
      <c r="AC167" t="s">
        <v>1220</v>
      </c>
      <c r="AD167" t="s">
        <v>1241</v>
      </c>
      <c r="AE167">
        <v>12.3</v>
      </c>
      <c r="AF167">
        <v>12.2568</v>
      </c>
    </row>
    <row r="168" spans="1:32" x14ac:dyDescent="0.25">
      <c r="A168" s="191" t="s">
        <v>2180</v>
      </c>
      <c r="B168" t="s">
        <v>2181</v>
      </c>
      <c r="C168" t="s">
        <v>1084</v>
      </c>
      <c r="D168" t="s">
        <v>1223</v>
      </c>
      <c r="E168" t="s">
        <v>93</v>
      </c>
      <c r="F168" t="s">
        <v>1187</v>
      </c>
      <c r="G168" t="s">
        <v>1162</v>
      </c>
      <c r="H168" t="s">
        <v>1612</v>
      </c>
      <c r="I168" t="s">
        <v>964</v>
      </c>
      <c r="J168" t="s">
        <v>940</v>
      </c>
      <c r="K168" t="s">
        <v>1596</v>
      </c>
      <c r="L168" t="s">
        <v>922</v>
      </c>
      <c r="M168" t="s">
        <v>1170</v>
      </c>
      <c r="N168" t="s">
        <v>1619</v>
      </c>
      <c r="O168" t="s">
        <v>945</v>
      </c>
      <c r="P168" t="s">
        <v>947</v>
      </c>
      <c r="Q168" t="s">
        <v>1239</v>
      </c>
      <c r="R168" t="s">
        <v>1510</v>
      </c>
      <c r="S168" t="s">
        <v>1065</v>
      </c>
      <c r="T168" t="s">
        <v>969</v>
      </c>
      <c r="U168" t="s">
        <v>1864</v>
      </c>
      <c r="V168" t="s">
        <v>987</v>
      </c>
      <c r="W168" t="s">
        <v>1220</v>
      </c>
      <c r="X168" t="s">
        <v>979</v>
      </c>
      <c r="Y168" t="s">
        <v>1195</v>
      </c>
      <c r="Z168" t="s">
        <v>991</v>
      </c>
      <c r="AA168" t="s">
        <v>991</v>
      </c>
      <c r="AB168" t="s">
        <v>987</v>
      </c>
      <c r="AC168" t="s">
        <v>956</v>
      </c>
      <c r="AD168" t="s">
        <v>1027</v>
      </c>
      <c r="AE168">
        <v>8</v>
      </c>
      <c r="AF168">
        <v>8.0443999999999996</v>
      </c>
    </row>
    <row r="169" spans="1:32" x14ac:dyDescent="0.25">
      <c r="A169" s="191" t="s">
        <v>1831</v>
      </c>
      <c r="B169" t="s">
        <v>268</v>
      </c>
      <c r="C169" t="s">
        <v>929</v>
      </c>
      <c r="D169" t="s">
        <v>974</v>
      </c>
      <c r="E169" t="s">
        <v>63</v>
      </c>
      <c r="F169" t="s">
        <v>1446</v>
      </c>
      <c r="G169" t="s">
        <v>949</v>
      </c>
      <c r="H169" t="s">
        <v>1174</v>
      </c>
      <c r="I169" t="s">
        <v>1103</v>
      </c>
      <c r="J169" t="s">
        <v>1832</v>
      </c>
      <c r="K169" t="s">
        <v>1682</v>
      </c>
      <c r="L169" t="s">
        <v>922</v>
      </c>
      <c r="M169" t="s">
        <v>1103</v>
      </c>
      <c r="N169" t="s">
        <v>1411</v>
      </c>
      <c r="O169" t="s">
        <v>1220</v>
      </c>
      <c r="P169" t="s">
        <v>1046</v>
      </c>
      <c r="Q169" t="s">
        <v>1592</v>
      </c>
      <c r="R169" t="s">
        <v>1401</v>
      </c>
      <c r="S169" t="s">
        <v>922</v>
      </c>
      <c r="T169" t="s">
        <v>924</v>
      </c>
      <c r="U169" t="s">
        <v>1833</v>
      </c>
      <c r="V169" t="s">
        <v>969</v>
      </c>
      <c r="W169" t="s">
        <v>993</v>
      </c>
      <c r="X169" t="s">
        <v>1048</v>
      </c>
      <c r="Y169" t="s">
        <v>1000</v>
      </c>
      <c r="Z169" t="s">
        <v>918</v>
      </c>
      <c r="AA169" t="s">
        <v>1065</v>
      </c>
      <c r="AB169" t="s">
        <v>945</v>
      </c>
      <c r="AC169" t="s">
        <v>1310</v>
      </c>
      <c r="AD169" t="s">
        <v>1076</v>
      </c>
      <c r="AE169">
        <v>12.2</v>
      </c>
      <c r="AF169">
        <v>12.147600000000001</v>
      </c>
    </row>
    <row r="170" spans="1:32" x14ac:dyDescent="0.25">
      <c r="A170" s="191" t="s">
        <v>874</v>
      </c>
      <c r="B170" t="s">
        <v>171</v>
      </c>
      <c r="C170" t="s">
        <v>875</v>
      </c>
      <c r="D170" t="s">
        <v>172</v>
      </c>
      <c r="E170" t="s">
        <v>876</v>
      </c>
      <c r="F170" t="s">
        <v>392</v>
      </c>
      <c r="G170" t="s">
        <v>877</v>
      </c>
      <c r="H170" t="s">
        <v>878</v>
      </c>
      <c r="I170" t="s">
        <v>879</v>
      </c>
      <c r="J170" t="s">
        <v>880</v>
      </c>
      <c r="K170" t="s">
        <v>881</v>
      </c>
      <c r="L170" t="s">
        <v>882</v>
      </c>
      <c r="M170" t="s">
        <v>883</v>
      </c>
      <c r="N170" t="s">
        <v>884</v>
      </c>
      <c r="O170" t="s">
        <v>885</v>
      </c>
      <c r="P170" t="s">
        <v>886</v>
      </c>
      <c r="Q170" t="s">
        <v>887</v>
      </c>
      <c r="R170" t="s">
        <v>888</v>
      </c>
      <c r="S170" t="s">
        <v>889</v>
      </c>
      <c r="T170" t="s">
        <v>890</v>
      </c>
      <c r="U170" t="s">
        <v>891</v>
      </c>
      <c r="V170" t="s">
        <v>892</v>
      </c>
      <c r="W170" t="s">
        <v>893</v>
      </c>
      <c r="X170" t="s">
        <v>894</v>
      </c>
      <c r="Y170" t="s">
        <v>895</v>
      </c>
      <c r="Z170" t="s">
        <v>896</v>
      </c>
      <c r="AA170" t="s">
        <v>897</v>
      </c>
      <c r="AB170" t="s">
        <v>898</v>
      </c>
      <c r="AC170" t="s">
        <v>93</v>
      </c>
      <c r="AD170" t="s">
        <v>899</v>
      </c>
      <c r="AE170" t="e">
        <v>#VALUE!</v>
      </c>
      <c r="AF170" t="e">
        <v>#VALUE!</v>
      </c>
    </row>
    <row r="171" spans="1:32" x14ac:dyDescent="0.25">
      <c r="A171" s="194" t="s">
        <v>1831</v>
      </c>
      <c r="B171" t="s">
        <v>268</v>
      </c>
      <c r="C171" t="s">
        <v>929</v>
      </c>
      <c r="D171" t="s">
        <v>85</v>
      </c>
      <c r="E171" t="s">
        <v>47</v>
      </c>
      <c r="F171" t="s">
        <v>1384</v>
      </c>
      <c r="G171" t="s">
        <v>949</v>
      </c>
      <c r="H171" t="s">
        <v>1302</v>
      </c>
      <c r="I171" t="s">
        <v>992</v>
      </c>
      <c r="J171" t="s">
        <v>1011</v>
      </c>
      <c r="K171" t="s">
        <v>1440</v>
      </c>
      <c r="L171" t="s">
        <v>1029</v>
      </c>
      <c r="M171" t="s">
        <v>1160</v>
      </c>
      <c r="N171" t="s">
        <v>1154</v>
      </c>
      <c r="O171" t="s">
        <v>956</v>
      </c>
      <c r="P171" t="s">
        <v>1160</v>
      </c>
      <c r="Q171" t="s">
        <v>1131</v>
      </c>
      <c r="R171" t="s">
        <v>1656</v>
      </c>
      <c r="S171" t="s">
        <v>1310</v>
      </c>
      <c r="T171" t="s">
        <v>925</v>
      </c>
      <c r="U171" t="s">
        <v>1834</v>
      </c>
      <c r="V171" t="s">
        <v>969</v>
      </c>
      <c r="W171" t="s">
        <v>925</v>
      </c>
      <c r="X171" t="s">
        <v>1104</v>
      </c>
      <c r="Y171" t="s">
        <v>1030</v>
      </c>
      <c r="Z171" t="s">
        <v>918</v>
      </c>
      <c r="AA171" t="s">
        <v>1065</v>
      </c>
      <c r="AB171" t="s">
        <v>1195</v>
      </c>
      <c r="AC171" t="s">
        <v>1195</v>
      </c>
      <c r="AD171" t="s">
        <v>967</v>
      </c>
      <c r="AE171">
        <v>10.3</v>
      </c>
      <c r="AF171">
        <v>10.176300000000001</v>
      </c>
    </row>
    <row r="172" spans="1:32" x14ac:dyDescent="0.25">
      <c r="A172" s="191" t="s">
        <v>1831</v>
      </c>
      <c r="B172" t="s">
        <v>268</v>
      </c>
      <c r="C172" t="s">
        <v>929</v>
      </c>
      <c r="D172" t="s">
        <v>111</v>
      </c>
      <c r="E172" t="s">
        <v>63</v>
      </c>
      <c r="F172" t="s">
        <v>902</v>
      </c>
      <c r="G172" t="s">
        <v>1717</v>
      </c>
      <c r="H172" t="s">
        <v>1082</v>
      </c>
      <c r="I172" t="s">
        <v>1092</v>
      </c>
      <c r="J172" t="s">
        <v>936</v>
      </c>
      <c r="K172" t="s">
        <v>1420</v>
      </c>
      <c r="L172" t="s">
        <v>968</v>
      </c>
      <c r="M172" t="s">
        <v>962</v>
      </c>
      <c r="N172" t="s">
        <v>1835</v>
      </c>
      <c r="O172" t="s">
        <v>1155</v>
      </c>
      <c r="P172" t="s">
        <v>1044</v>
      </c>
      <c r="Q172" t="s">
        <v>1836</v>
      </c>
      <c r="R172" t="s">
        <v>1837</v>
      </c>
      <c r="S172" t="s">
        <v>956</v>
      </c>
      <c r="T172" t="s">
        <v>1104</v>
      </c>
      <c r="U172" t="s">
        <v>1680</v>
      </c>
      <c r="V172" t="s">
        <v>1008</v>
      </c>
      <c r="W172" t="s">
        <v>1135</v>
      </c>
      <c r="X172" t="s">
        <v>1030</v>
      </c>
      <c r="Y172" t="s">
        <v>964</v>
      </c>
      <c r="Z172" t="s">
        <v>918</v>
      </c>
      <c r="AA172" t="s">
        <v>1065</v>
      </c>
      <c r="AB172" t="s">
        <v>923</v>
      </c>
      <c r="AC172" t="s">
        <v>956</v>
      </c>
      <c r="AD172" t="s">
        <v>1498</v>
      </c>
      <c r="AE172">
        <v>15</v>
      </c>
      <c r="AF172">
        <v>14.974399999999999</v>
      </c>
    </row>
    <row r="173" spans="1:32" x14ac:dyDescent="0.25">
      <c r="A173" s="191" t="s">
        <v>1838</v>
      </c>
      <c r="B173" t="s">
        <v>1839</v>
      </c>
      <c r="C173" t="s">
        <v>1084</v>
      </c>
      <c r="D173" t="s">
        <v>1279</v>
      </c>
      <c r="E173" t="s">
        <v>93</v>
      </c>
      <c r="F173" t="s">
        <v>1096</v>
      </c>
      <c r="G173" t="s">
        <v>928</v>
      </c>
      <c r="H173" t="s">
        <v>994</v>
      </c>
      <c r="I173" t="s">
        <v>920</v>
      </c>
      <c r="J173" t="s">
        <v>905</v>
      </c>
      <c r="K173" t="s">
        <v>1840</v>
      </c>
      <c r="L173" t="s">
        <v>923</v>
      </c>
      <c r="M173" t="s">
        <v>1160</v>
      </c>
      <c r="N173" t="s">
        <v>1841</v>
      </c>
      <c r="O173" t="s">
        <v>1228</v>
      </c>
      <c r="P173" t="s">
        <v>988</v>
      </c>
      <c r="Q173" t="s">
        <v>1058</v>
      </c>
      <c r="R173" t="s">
        <v>1514</v>
      </c>
      <c r="S173" t="s">
        <v>1064</v>
      </c>
      <c r="T173" t="s">
        <v>968</v>
      </c>
      <c r="U173" t="s">
        <v>1842</v>
      </c>
      <c r="V173" t="s">
        <v>1049</v>
      </c>
      <c r="W173" t="s">
        <v>1043</v>
      </c>
      <c r="X173" t="s">
        <v>1026</v>
      </c>
      <c r="Y173" t="s">
        <v>925</v>
      </c>
      <c r="Z173" t="s">
        <v>991</v>
      </c>
      <c r="AA173" t="s">
        <v>1119</v>
      </c>
      <c r="AB173" t="s">
        <v>922</v>
      </c>
      <c r="AC173" t="s">
        <v>947</v>
      </c>
      <c r="AD173" t="s">
        <v>1076</v>
      </c>
      <c r="AE173">
        <v>12.1</v>
      </c>
      <c r="AF173">
        <v>12.079499999999999</v>
      </c>
    </row>
    <row r="174" spans="1:32" x14ac:dyDescent="0.25">
      <c r="A174" s="194" t="s">
        <v>2310</v>
      </c>
      <c r="B174" t="s">
        <v>2311</v>
      </c>
      <c r="C174" t="s">
        <v>1084</v>
      </c>
      <c r="D174" t="s">
        <v>1223</v>
      </c>
      <c r="E174" t="s">
        <v>72</v>
      </c>
      <c r="F174" t="s">
        <v>1070</v>
      </c>
      <c r="G174" t="s">
        <v>1376</v>
      </c>
      <c r="H174" t="s">
        <v>1635</v>
      </c>
      <c r="I174" t="s">
        <v>1104</v>
      </c>
      <c r="J174" t="s">
        <v>1046</v>
      </c>
      <c r="K174" t="s">
        <v>955</v>
      </c>
      <c r="L174" t="s">
        <v>1600</v>
      </c>
      <c r="M174" t="s">
        <v>1600</v>
      </c>
      <c r="N174" t="s">
        <v>1646</v>
      </c>
      <c r="O174" t="s">
        <v>1104</v>
      </c>
      <c r="P174" t="s">
        <v>1134</v>
      </c>
      <c r="Q174" t="s">
        <v>1510</v>
      </c>
      <c r="R174" t="s">
        <v>955</v>
      </c>
      <c r="S174" t="s">
        <v>923</v>
      </c>
      <c r="T174" t="s">
        <v>1029</v>
      </c>
      <c r="U174" t="s">
        <v>1374</v>
      </c>
      <c r="V174" t="s">
        <v>956</v>
      </c>
      <c r="W174" t="s">
        <v>1135</v>
      </c>
      <c r="X174" t="s">
        <v>920</v>
      </c>
      <c r="Y174" t="s">
        <v>922</v>
      </c>
      <c r="Z174" t="s">
        <v>991</v>
      </c>
      <c r="AA174" t="s">
        <v>969</v>
      </c>
      <c r="AB174" t="s">
        <v>1008</v>
      </c>
      <c r="AC174" t="s">
        <v>945</v>
      </c>
      <c r="AD174" t="s">
        <v>1006</v>
      </c>
      <c r="AE174">
        <v>6.6</v>
      </c>
      <c r="AF174">
        <v>6.6284000000000001</v>
      </c>
    </row>
    <row r="175" spans="1:32" x14ac:dyDescent="0.25">
      <c r="A175" s="191" t="s">
        <v>1847</v>
      </c>
      <c r="B175" t="s">
        <v>101</v>
      </c>
      <c r="C175" t="s">
        <v>1204</v>
      </c>
      <c r="D175" t="s">
        <v>102</v>
      </c>
      <c r="E175" t="s">
        <v>72</v>
      </c>
      <c r="F175" t="s">
        <v>1052</v>
      </c>
      <c r="G175" t="s">
        <v>1052</v>
      </c>
      <c r="H175" t="s">
        <v>1247</v>
      </c>
      <c r="I175" t="s">
        <v>957</v>
      </c>
      <c r="J175" t="s">
        <v>1128</v>
      </c>
      <c r="K175" t="s">
        <v>1848</v>
      </c>
      <c r="L175" t="s">
        <v>1600</v>
      </c>
      <c r="M175" t="s">
        <v>1600</v>
      </c>
      <c r="N175" t="s">
        <v>927</v>
      </c>
      <c r="O175" t="s">
        <v>957</v>
      </c>
      <c r="P175" t="s">
        <v>1128</v>
      </c>
      <c r="Q175" t="s">
        <v>1848</v>
      </c>
      <c r="R175" t="s">
        <v>1848</v>
      </c>
      <c r="S175" t="s">
        <v>1012</v>
      </c>
      <c r="T175" t="s">
        <v>1155</v>
      </c>
      <c r="U175" t="s">
        <v>1692</v>
      </c>
      <c r="V175" t="s">
        <v>1030</v>
      </c>
      <c r="W175" t="s">
        <v>1026</v>
      </c>
      <c r="X175" t="s">
        <v>982</v>
      </c>
      <c r="Y175" t="s">
        <v>968</v>
      </c>
      <c r="Z175" t="s">
        <v>987</v>
      </c>
      <c r="AA175" t="s">
        <v>1230</v>
      </c>
      <c r="AB175" t="s">
        <v>945</v>
      </c>
      <c r="AC175" t="s">
        <v>993</v>
      </c>
      <c r="AD175" t="s">
        <v>1380</v>
      </c>
      <c r="AE175">
        <v>12</v>
      </c>
      <c r="AF175" t="e">
        <v>#VALUE!</v>
      </c>
    </row>
    <row r="176" spans="1:32" x14ac:dyDescent="0.25">
      <c r="A176" s="194" t="s">
        <v>1849</v>
      </c>
      <c r="B176" t="s">
        <v>355</v>
      </c>
      <c r="C176" t="s">
        <v>973</v>
      </c>
      <c r="D176" t="s">
        <v>170</v>
      </c>
      <c r="E176" t="s">
        <v>47</v>
      </c>
      <c r="F176" t="s">
        <v>1312</v>
      </c>
      <c r="G176" t="s">
        <v>1376</v>
      </c>
      <c r="H176" t="s">
        <v>1317</v>
      </c>
      <c r="I176" t="s">
        <v>1170</v>
      </c>
      <c r="J176" t="s">
        <v>1132</v>
      </c>
      <c r="K176" t="s">
        <v>1262</v>
      </c>
      <c r="L176" t="s">
        <v>1049</v>
      </c>
      <c r="M176" t="s">
        <v>1170</v>
      </c>
      <c r="N176" t="s">
        <v>1448</v>
      </c>
      <c r="O176" t="s">
        <v>924</v>
      </c>
      <c r="P176" t="s">
        <v>919</v>
      </c>
      <c r="Q176" t="s">
        <v>1532</v>
      </c>
      <c r="R176" t="s">
        <v>942</v>
      </c>
      <c r="S176" t="s">
        <v>1029</v>
      </c>
      <c r="T176" t="s">
        <v>968</v>
      </c>
      <c r="U176" t="s">
        <v>1850</v>
      </c>
      <c r="V176" t="s">
        <v>987</v>
      </c>
      <c r="W176" t="s">
        <v>946</v>
      </c>
      <c r="X176" t="s">
        <v>1228</v>
      </c>
      <c r="Y176" t="s">
        <v>945</v>
      </c>
      <c r="Z176" t="s">
        <v>987</v>
      </c>
      <c r="AA176" t="s">
        <v>991</v>
      </c>
      <c r="AB176" t="s">
        <v>987</v>
      </c>
      <c r="AC176" t="s">
        <v>993</v>
      </c>
      <c r="AD176" t="s">
        <v>1380</v>
      </c>
      <c r="AE176">
        <v>12.1</v>
      </c>
      <c r="AF176">
        <v>12.0167</v>
      </c>
    </row>
    <row r="177" spans="1:32" x14ac:dyDescent="0.25">
      <c r="A177" s="191" t="s">
        <v>1851</v>
      </c>
      <c r="B177" t="s">
        <v>1852</v>
      </c>
      <c r="C177" t="s">
        <v>902</v>
      </c>
      <c r="D177" t="s">
        <v>48</v>
      </c>
      <c r="E177" t="s">
        <v>63</v>
      </c>
      <c r="F177" t="s">
        <v>903</v>
      </c>
      <c r="G177" t="s">
        <v>902</v>
      </c>
      <c r="H177" t="s">
        <v>1853</v>
      </c>
      <c r="I177" t="s">
        <v>957</v>
      </c>
      <c r="J177" t="s">
        <v>980</v>
      </c>
      <c r="K177" t="s">
        <v>1110</v>
      </c>
      <c r="L177" t="s">
        <v>922</v>
      </c>
      <c r="M177" t="s">
        <v>1047</v>
      </c>
      <c r="N177" t="s">
        <v>1111</v>
      </c>
      <c r="O177" t="s">
        <v>1135</v>
      </c>
      <c r="P177" t="s">
        <v>1005</v>
      </c>
      <c r="Q177" t="s">
        <v>1374</v>
      </c>
      <c r="R177" t="s">
        <v>1493</v>
      </c>
      <c r="S177" t="s">
        <v>923</v>
      </c>
      <c r="T177" t="s">
        <v>945</v>
      </c>
      <c r="U177" t="s">
        <v>1631</v>
      </c>
      <c r="V177" t="s">
        <v>1064</v>
      </c>
      <c r="W177" t="s">
        <v>1104</v>
      </c>
      <c r="X177" t="s">
        <v>1160</v>
      </c>
      <c r="Y177" t="s">
        <v>968</v>
      </c>
      <c r="Z177" t="s">
        <v>987</v>
      </c>
      <c r="AA177" t="s">
        <v>934</v>
      </c>
      <c r="AB177" t="s">
        <v>918</v>
      </c>
      <c r="AC177" t="s">
        <v>1195</v>
      </c>
      <c r="AD177" t="s">
        <v>1380</v>
      </c>
      <c r="AE177">
        <v>12.1</v>
      </c>
      <c r="AF177">
        <v>12.063299999999998</v>
      </c>
    </row>
    <row r="178" spans="1:32" x14ac:dyDescent="0.25">
      <c r="A178" s="191" t="s">
        <v>1854</v>
      </c>
      <c r="B178" t="s">
        <v>1855</v>
      </c>
      <c r="C178" t="s">
        <v>1355</v>
      </c>
      <c r="D178" t="s">
        <v>974</v>
      </c>
      <c r="E178" t="s">
        <v>47</v>
      </c>
      <c r="F178" t="s">
        <v>1376</v>
      </c>
      <c r="G178" t="s">
        <v>1245</v>
      </c>
      <c r="H178" t="s">
        <v>1347</v>
      </c>
      <c r="I178" t="s">
        <v>1170</v>
      </c>
      <c r="J178" t="s">
        <v>1035</v>
      </c>
      <c r="K178" t="s">
        <v>1426</v>
      </c>
      <c r="L178" t="s">
        <v>1195</v>
      </c>
      <c r="M178" t="s">
        <v>992</v>
      </c>
      <c r="N178" t="s">
        <v>1400</v>
      </c>
      <c r="O178" t="s">
        <v>1135</v>
      </c>
      <c r="P178" t="s">
        <v>1291</v>
      </c>
      <c r="Q178" t="s">
        <v>1209</v>
      </c>
      <c r="R178" t="s">
        <v>1193</v>
      </c>
      <c r="S178" t="s">
        <v>1049</v>
      </c>
      <c r="T178" t="s">
        <v>947</v>
      </c>
      <c r="U178" t="s">
        <v>1361</v>
      </c>
      <c r="V178" t="s">
        <v>991</v>
      </c>
      <c r="W178" t="s">
        <v>1000</v>
      </c>
      <c r="X178" t="s">
        <v>1030</v>
      </c>
      <c r="Y178" t="s">
        <v>919</v>
      </c>
      <c r="Z178" t="s">
        <v>918</v>
      </c>
      <c r="AA178" t="s">
        <v>934</v>
      </c>
      <c r="AB178" t="s">
        <v>1310</v>
      </c>
      <c r="AC178" t="s">
        <v>956</v>
      </c>
      <c r="AD178" t="s">
        <v>944</v>
      </c>
      <c r="AE178">
        <v>11.8</v>
      </c>
      <c r="AF178">
        <v>11.908900000000001</v>
      </c>
    </row>
    <row r="179" spans="1:32" x14ac:dyDescent="0.25">
      <c r="A179" s="191" t="s">
        <v>1854</v>
      </c>
      <c r="B179" t="s">
        <v>1855</v>
      </c>
      <c r="C179" t="s">
        <v>1355</v>
      </c>
      <c r="D179" t="s">
        <v>105</v>
      </c>
      <c r="E179" t="s">
        <v>47</v>
      </c>
      <c r="F179" t="s">
        <v>1032</v>
      </c>
      <c r="G179" t="s">
        <v>1067</v>
      </c>
      <c r="H179" t="s">
        <v>1342</v>
      </c>
      <c r="I179" t="s">
        <v>957</v>
      </c>
      <c r="J179" t="s">
        <v>911</v>
      </c>
      <c r="K179" t="s">
        <v>1274</v>
      </c>
      <c r="L179" t="s">
        <v>1310</v>
      </c>
      <c r="M179" t="s">
        <v>1030</v>
      </c>
      <c r="N179" t="s">
        <v>1704</v>
      </c>
      <c r="O179" t="s">
        <v>1048</v>
      </c>
      <c r="P179" t="s">
        <v>1329</v>
      </c>
      <c r="Q179" t="s">
        <v>1242</v>
      </c>
      <c r="R179" t="s">
        <v>1856</v>
      </c>
      <c r="S179" t="s">
        <v>922</v>
      </c>
      <c r="T179" t="s">
        <v>956</v>
      </c>
      <c r="U179" t="s">
        <v>1495</v>
      </c>
      <c r="V179" t="s">
        <v>934</v>
      </c>
      <c r="W179" t="s">
        <v>979</v>
      </c>
      <c r="X179" t="s">
        <v>1030</v>
      </c>
      <c r="Y179" t="s">
        <v>1103</v>
      </c>
      <c r="Z179" t="s">
        <v>1008</v>
      </c>
      <c r="AA179" t="s">
        <v>934</v>
      </c>
      <c r="AB179" t="s">
        <v>1029</v>
      </c>
      <c r="AC179" t="s">
        <v>947</v>
      </c>
      <c r="AD179" t="s">
        <v>1306</v>
      </c>
      <c r="AE179">
        <v>12.6</v>
      </c>
      <c r="AF179">
        <v>12.637699999999997</v>
      </c>
    </row>
    <row r="180" spans="1:32" x14ac:dyDescent="0.25">
      <c r="A180" s="191" t="s">
        <v>1854</v>
      </c>
      <c r="B180" t="s">
        <v>1855</v>
      </c>
      <c r="C180" t="s">
        <v>1355</v>
      </c>
      <c r="D180" t="s">
        <v>77</v>
      </c>
      <c r="E180" t="s">
        <v>47</v>
      </c>
      <c r="F180" t="s">
        <v>1162</v>
      </c>
      <c r="G180" t="s">
        <v>1162</v>
      </c>
      <c r="H180" t="s">
        <v>1857</v>
      </c>
      <c r="I180" t="s">
        <v>1030</v>
      </c>
      <c r="J180" t="s">
        <v>1108</v>
      </c>
      <c r="K180" t="s">
        <v>1767</v>
      </c>
      <c r="L180" t="s">
        <v>918</v>
      </c>
      <c r="M180" t="s">
        <v>1000</v>
      </c>
      <c r="N180" t="s">
        <v>1858</v>
      </c>
      <c r="O180" t="s">
        <v>1104</v>
      </c>
      <c r="P180" t="s">
        <v>1092</v>
      </c>
      <c r="Q180" t="s">
        <v>1158</v>
      </c>
      <c r="R180" t="s">
        <v>999</v>
      </c>
      <c r="S180" t="s">
        <v>924</v>
      </c>
      <c r="T180" t="s">
        <v>1220</v>
      </c>
      <c r="U180" t="s">
        <v>1859</v>
      </c>
      <c r="V180" t="s">
        <v>969</v>
      </c>
      <c r="W180" t="s">
        <v>946</v>
      </c>
      <c r="X180" t="s">
        <v>1030</v>
      </c>
      <c r="Y180" t="s">
        <v>1000</v>
      </c>
      <c r="Z180" t="s">
        <v>1195</v>
      </c>
      <c r="AA180" t="s">
        <v>934</v>
      </c>
      <c r="AB180" t="s">
        <v>1230</v>
      </c>
      <c r="AC180" t="s">
        <v>1029</v>
      </c>
      <c r="AD180" t="s">
        <v>1655</v>
      </c>
      <c r="AE180">
        <v>10.700000000000001</v>
      </c>
      <c r="AF180">
        <v>10.7018</v>
      </c>
    </row>
    <row r="181" spans="1:32" x14ac:dyDescent="0.25">
      <c r="A181" s="191" t="s">
        <v>1860</v>
      </c>
      <c r="B181" t="s">
        <v>96</v>
      </c>
      <c r="C181" t="s">
        <v>1245</v>
      </c>
      <c r="D181" t="s">
        <v>97</v>
      </c>
      <c r="E181" t="s">
        <v>72</v>
      </c>
      <c r="F181" t="s">
        <v>1459</v>
      </c>
      <c r="G181" t="s">
        <v>1459</v>
      </c>
      <c r="H181" t="s">
        <v>1105</v>
      </c>
      <c r="I181" t="s">
        <v>1134</v>
      </c>
      <c r="J181" t="s">
        <v>1023</v>
      </c>
      <c r="K181" t="s">
        <v>1488</v>
      </c>
      <c r="L181" t="s">
        <v>1600</v>
      </c>
      <c r="M181" t="s">
        <v>1600</v>
      </c>
      <c r="N181" t="s">
        <v>927</v>
      </c>
      <c r="O181" t="s">
        <v>1134</v>
      </c>
      <c r="P181" t="s">
        <v>1023</v>
      </c>
      <c r="Q181" t="s">
        <v>1488</v>
      </c>
      <c r="R181" t="s">
        <v>1488</v>
      </c>
      <c r="S181" t="s">
        <v>908</v>
      </c>
      <c r="T181" t="s">
        <v>946</v>
      </c>
      <c r="U181" t="s">
        <v>1848</v>
      </c>
      <c r="V181" t="s">
        <v>992</v>
      </c>
      <c r="W181" t="s">
        <v>1172</v>
      </c>
      <c r="X181" t="s">
        <v>1038</v>
      </c>
      <c r="Y181" t="s">
        <v>1220</v>
      </c>
      <c r="Z181" t="s">
        <v>1008</v>
      </c>
      <c r="AA181" t="s">
        <v>1064</v>
      </c>
      <c r="AB181" t="s">
        <v>922</v>
      </c>
      <c r="AC181" t="s">
        <v>1048</v>
      </c>
      <c r="AD181" t="s">
        <v>931</v>
      </c>
      <c r="AE181">
        <v>11.7</v>
      </c>
      <c r="AF181" t="e">
        <v>#VALUE!</v>
      </c>
    </row>
    <row r="182" spans="1:32" x14ac:dyDescent="0.25">
      <c r="A182" s="191" t="s">
        <v>1861</v>
      </c>
      <c r="B182" t="s">
        <v>1862</v>
      </c>
      <c r="C182" t="s">
        <v>1015</v>
      </c>
      <c r="D182" t="s">
        <v>102</v>
      </c>
      <c r="E182" t="s">
        <v>63</v>
      </c>
      <c r="F182" t="s">
        <v>1070</v>
      </c>
      <c r="G182" t="s">
        <v>1106</v>
      </c>
      <c r="H182" t="s">
        <v>1136</v>
      </c>
      <c r="I182" t="s">
        <v>1228</v>
      </c>
      <c r="J182" t="s">
        <v>980</v>
      </c>
      <c r="K182" t="s">
        <v>1863</v>
      </c>
      <c r="L182" t="s">
        <v>1104</v>
      </c>
      <c r="M182" t="s">
        <v>1128</v>
      </c>
      <c r="N182" t="s">
        <v>1225</v>
      </c>
      <c r="O182" t="s">
        <v>945</v>
      </c>
      <c r="P182" t="s">
        <v>993</v>
      </c>
      <c r="Q182" t="s">
        <v>1565</v>
      </c>
      <c r="R182" t="s">
        <v>1462</v>
      </c>
      <c r="S182" t="s">
        <v>987</v>
      </c>
      <c r="T182" t="s">
        <v>923</v>
      </c>
      <c r="U182" t="s">
        <v>1864</v>
      </c>
      <c r="V182" t="s">
        <v>1065</v>
      </c>
      <c r="W182" t="s">
        <v>1048</v>
      </c>
      <c r="X182" t="s">
        <v>1030</v>
      </c>
      <c r="Y182" t="s">
        <v>992</v>
      </c>
      <c r="Z182" t="s">
        <v>945</v>
      </c>
      <c r="AA182" t="s">
        <v>1094</v>
      </c>
      <c r="AB182" t="s">
        <v>1029</v>
      </c>
      <c r="AC182" t="s">
        <v>968</v>
      </c>
      <c r="AD182" t="s">
        <v>1207</v>
      </c>
      <c r="AE182">
        <v>11.6</v>
      </c>
      <c r="AF182">
        <v>11.684100000000003</v>
      </c>
    </row>
    <row r="183" spans="1:32" x14ac:dyDescent="0.25">
      <c r="A183" s="191" t="s">
        <v>2336</v>
      </c>
      <c r="B183" t="s">
        <v>2337</v>
      </c>
      <c r="C183" t="s">
        <v>1204</v>
      </c>
      <c r="D183" t="s">
        <v>1223</v>
      </c>
      <c r="E183" t="s">
        <v>63</v>
      </c>
      <c r="F183" t="s">
        <v>1070</v>
      </c>
      <c r="G183" t="s">
        <v>1121</v>
      </c>
      <c r="H183" t="s">
        <v>1487</v>
      </c>
      <c r="I183" t="s">
        <v>1104</v>
      </c>
      <c r="J183" t="s">
        <v>1134</v>
      </c>
      <c r="K183" t="s">
        <v>1077</v>
      </c>
      <c r="L183" t="s">
        <v>1065</v>
      </c>
      <c r="M183" t="s">
        <v>1310</v>
      </c>
      <c r="N183" t="s">
        <v>1977</v>
      </c>
      <c r="O183" t="s">
        <v>947</v>
      </c>
      <c r="P183" t="s">
        <v>970</v>
      </c>
      <c r="Q183" t="s">
        <v>2185</v>
      </c>
      <c r="R183" t="s">
        <v>2149</v>
      </c>
      <c r="S183" t="s">
        <v>991</v>
      </c>
      <c r="T183" t="s">
        <v>969</v>
      </c>
      <c r="U183" t="s">
        <v>1801</v>
      </c>
      <c r="V183" t="s">
        <v>918</v>
      </c>
      <c r="W183" t="s">
        <v>908</v>
      </c>
      <c r="X183" t="s">
        <v>1135</v>
      </c>
      <c r="Y183" t="s">
        <v>1195</v>
      </c>
      <c r="Z183" t="s">
        <v>987</v>
      </c>
      <c r="AA183" t="s">
        <v>1094</v>
      </c>
      <c r="AB183" t="s">
        <v>969</v>
      </c>
      <c r="AC183" t="s">
        <v>922</v>
      </c>
      <c r="AD183" t="s">
        <v>940</v>
      </c>
      <c r="AE183">
        <v>6.5</v>
      </c>
      <c r="AF183">
        <v>6.4475999999999987</v>
      </c>
    </row>
    <row r="184" spans="1:32" x14ac:dyDescent="0.25">
      <c r="A184" s="191" t="s">
        <v>1867</v>
      </c>
      <c r="B184" t="s">
        <v>1868</v>
      </c>
      <c r="C184" t="s">
        <v>973</v>
      </c>
      <c r="D184" t="s">
        <v>77</v>
      </c>
      <c r="E184" t="s">
        <v>47</v>
      </c>
      <c r="F184" t="s">
        <v>1512</v>
      </c>
      <c r="G184" t="s">
        <v>1717</v>
      </c>
      <c r="H184" t="s">
        <v>1095</v>
      </c>
      <c r="I184" t="s">
        <v>1081</v>
      </c>
      <c r="J184" t="s">
        <v>959</v>
      </c>
      <c r="K184" t="s">
        <v>1869</v>
      </c>
      <c r="L184" t="s">
        <v>956</v>
      </c>
      <c r="M184" t="s">
        <v>1329</v>
      </c>
      <c r="N184" t="s">
        <v>1870</v>
      </c>
      <c r="O184" t="s">
        <v>925</v>
      </c>
      <c r="P184" t="s">
        <v>1160</v>
      </c>
      <c r="Q184" t="s">
        <v>1077</v>
      </c>
      <c r="R184" t="s">
        <v>1837</v>
      </c>
      <c r="S184" t="s">
        <v>945</v>
      </c>
      <c r="T184" t="s">
        <v>1230</v>
      </c>
      <c r="U184" t="s">
        <v>1871</v>
      </c>
      <c r="V184" t="s">
        <v>969</v>
      </c>
      <c r="W184" t="s">
        <v>924</v>
      </c>
      <c r="X184" t="s">
        <v>1135</v>
      </c>
      <c r="Y184" t="s">
        <v>922</v>
      </c>
      <c r="Z184" t="s">
        <v>991</v>
      </c>
      <c r="AA184" t="s">
        <v>934</v>
      </c>
      <c r="AB184" t="s">
        <v>923</v>
      </c>
      <c r="AC184" t="s">
        <v>1029</v>
      </c>
      <c r="AD184" t="s">
        <v>936</v>
      </c>
      <c r="AE184">
        <v>11.6</v>
      </c>
      <c r="AF184">
        <v>11.566799999999999</v>
      </c>
    </row>
    <row r="185" spans="1:32" x14ac:dyDescent="0.25">
      <c r="A185" s="191" t="s">
        <v>1872</v>
      </c>
      <c r="B185" t="s">
        <v>1873</v>
      </c>
      <c r="C185" t="s">
        <v>1245</v>
      </c>
      <c r="D185" t="s">
        <v>70</v>
      </c>
      <c r="E185" t="s">
        <v>93</v>
      </c>
      <c r="F185" t="s">
        <v>1477</v>
      </c>
      <c r="G185" t="s">
        <v>1032</v>
      </c>
      <c r="H185" t="s">
        <v>1874</v>
      </c>
      <c r="I185" t="s">
        <v>1211</v>
      </c>
      <c r="J185" t="s">
        <v>1062</v>
      </c>
      <c r="K185" t="s">
        <v>1261</v>
      </c>
      <c r="L185" t="s">
        <v>1065</v>
      </c>
      <c r="M185" t="s">
        <v>922</v>
      </c>
      <c r="N185" t="s">
        <v>1567</v>
      </c>
      <c r="O185" t="s">
        <v>919</v>
      </c>
      <c r="P185" t="s">
        <v>1023</v>
      </c>
      <c r="Q185" t="s">
        <v>1482</v>
      </c>
      <c r="R185" t="s">
        <v>1288</v>
      </c>
      <c r="S185" t="s">
        <v>1029</v>
      </c>
      <c r="T185" t="s">
        <v>947</v>
      </c>
      <c r="U185" t="s">
        <v>1875</v>
      </c>
      <c r="V185" t="s">
        <v>924</v>
      </c>
      <c r="W185" t="s">
        <v>1081</v>
      </c>
      <c r="X185" t="s">
        <v>940</v>
      </c>
      <c r="Y185" t="s">
        <v>924</v>
      </c>
      <c r="Z185" t="s">
        <v>987</v>
      </c>
      <c r="AA185" t="s">
        <v>1065</v>
      </c>
      <c r="AB185" t="s">
        <v>1029</v>
      </c>
      <c r="AC185" t="s">
        <v>924</v>
      </c>
      <c r="AD185" t="s">
        <v>1546</v>
      </c>
      <c r="AE185">
        <v>11.299999999999999</v>
      </c>
      <c r="AF185">
        <v>11.431599999999998</v>
      </c>
    </row>
    <row r="186" spans="1:32" x14ac:dyDescent="0.25">
      <c r="A186" s="191" t="s">
        <v>1876</v>
      </c>
      <c r="B186" t="s">
        <v>338</v>
      </c>
      <c r="C186" t="s">
        <v>1084</v>
      </c>
      <c r="D186" t="s">
        <v>95</v>
      </c>
      <c r="E186" t="s">
        <v>93</v>
      </c>
      <c r="F186" t="s">
        <v>1459</v>
      </c>
      <c r="G186" t="s">
        <v>1459</v>
      </c>
      <c r="H186" t="s">
        <v>926</v>
      </c>
      <c r="I186" t="s">
        <v>1081</v>
      </c>
      <c r="J186" t="s">
        <v>911</v>
      </c>
      <c r="K186" t="s">
        <v>1555</v>
      </c>
      <c r="L186" t="s">
        <v>922</v>
      </c>
      <c r="M186" t="s">
        <v>1211</v>
      </c>
      <c r="N186" t="s">
        <v>910</v>
      </c>
      <c r="O186" t="s">
        <v>993</v>
      </c>
      <c r="P186" t="s">
        <v>1211</v>
      </c>
      <c r="Q186" t="s">
        <v>1143</v>
      </c>
      <c r="R186" t="s">
        <v>1592</v>
      </c>
      <c r="S186" t="s">
        <v>945</v>
      </c>
      <c r="T186" t="s">
        <v>1029</v>
      </c>
      <c r="U186" t="s">
        <v>1680</v>
      </c>
      <c r="V186" t="s">
        <v>925</v>
      </c>
      <c r="W186" t="s">
        <v>992</v>
      </c>
      <c r="X186" t="s">
        <v>1079</v>
      </c>
      <c r="Y186" t="s">
        <v>925</v>
      </c>
      <c r="Z186" t="s">
        <v>1310</v>
      </c>
      <c r="AA186" t="s">
        <v>969</v>
      </c>
      <c r="AB186" t="s">
        <v>1230</v>
      </c>
      <c r="AC186" t="s">
        <v>964</v>
      </c>
      <c r="AD186" t="s">
        <v>905</v>
      </c>
      <c r="AE186">
        <v>11.299999999999999</v>
      </c>
      <c r="AF186">
        <v>11.316600000000001</v>
      </c>
    </row>
    <row r="187" spans="1:32" x14ac:dyDescent="0.25">
      <c r="A187" s="191" t="s">
        <v>1877</v>
      </c>
      <c r="B187" t="s">
        <v>1878</v>
      </c>
      <c r="C187" t="s">
        <v>902</v>
      </c>
      <c r="D187" t="s">
        <v>48</v>
      </c>
      <c r="E187" t="s">
        <v>72</v>
      </c>
      <c r="F187" t="s">
        <v>1489</v>
      </c>
      <c r="G187" t="s">
        <v>1399</v>
      </c>
      <c r="H187" t="s">
        <v>1536</v>
      </c>
      <c r="I187" t="s">
        <v>1046</v>
      </c>
      <c r="J187" t="s">
        <v>1132</v>
      </c>
      <c r="K187" t="s">
        <v>1520</v>
      </c>
      <c r="L187" t="s">
        <v>1600</v>
      </c>
      <c r="M187" t="s">
        <v>1094</v>
      </c>
      <c r="N187" t="s">
        <v>1646</v>
      </c>
      <c r="O187" t="s">
        <v>1046</v>
      </c>
      <c r="P187" t="s">
        <v>1027</v>
      </c>
      <c r="Q187" t="s">
        <v>1879</v>
      </c>
      <c r="R187" t="s">
        <v>1520</v>
      </c>
      <c r="S187" t="s">
        <v>1230</v>
      </c>
      <c r="T187" t="s">
        <v>908</v>
      </c>
      <c r="U187" t="s">
        <v>1880</v>
      </c>
      <c r="V187" t="s">
        <v>964</v>
      </c>
      <c r="W187" t="s">
        <v>915</v>
      </c>
      <c r="X187" t="s">
        <v>1655</v>
      </c>
      <c r="Y187" t="s">
        <v>1155</v>
      </c>
      <c r="Z187" t="s">
        <v>987</v>
      </c>
      <c r="AA187" t="s">
        <v>1064</v>
      </c>
      <c r="AB187" t="s">
        <v>922</v>
      </c>
      <c r="AC187" t="s">
        <v>1135</v>
      </c>
      <c r="AD187" t="s">
        <v>953</v>
      </c>
      <c r="AE187">
        <v>11.200000000000001</v>
      </c>
      <c r="AF187">
        <v>11.218500000000001</v>
      </c>
    </row>
    <row r="188" spans="1:32" x14ac:dyDescent="0.25">
      <c r="A188" s="191" t="s">
        <v>2389</v>
      </c>
      <c r="B188" t="s">
        <v>299</v>
      </c>
      <c r="C188" t="s">
        <v>1176</v>
      </c>
      <c r="D188" t="s">
        <v>1223</v>
      </c>
      <c r="E188" t="s">
        <v>93</v>
      </c>
      <c r="F188" t="s">
        <v>1068</v>
      </c>
      <c r="G188" t="s">
        <v>949</v>
      </c>
      <c r="H188" t="s">
        <v>1487</v>
      </c>
      <c r="I188" t="s">
        <v>908</v>
      </c>
      <c r="J188" t="s">
        <v>957</v>
      </c>
      <c r="K188" t="s">
        <v>978</v>
      </c>
      <c r="L188" t="s">
        <v>1065</v>
      </c>
      <c r="M188" t="s">
        <v>1230</v>
      </c>
      <c r="N188" t="s">
        <v>1379</v>
      </c>
      <c r="O188" t="s">
        <v>1029</v>
      </c>
      <c r="P188" t="s">
        <v>970</v>
      </c>
      <c r="Q188" t="s">
        <v>1845</v>
      </c>
      <c r="R188" t="s">
        <v>1283</v>
      </c>
      <c r="S188" t="s">
        <v>1065</v>
      </c>
      <c r="T188" t="s">
        <v>987</v>
      </c>
      <c r="U188" t="s">
        <v>1696</v>
      </c>
      <c r="V188" t="s">
        <v>987</v>
      </c>
      <c r="W188" t="s">
        <v>947</v>
      </c>
      <c r="X188" t="s">
        <v>946</v>
      </c>
      <c r="Y188" t="s">
        <v>947</v>
      </c>
      <c r="Z188" t="s">
        <v>1008</v>
      </c>
      <c r="AA188" t="s">
        <v>969</v>
      </c>
      <c r="AB188" t="s">
        <v>969</v>
      </c>
      <c r="AC188" t="s">
        <v>1064</v>
      </c>
      <c r="AD188" t="s">
        <v>1043</v>
      </c>
      <c r="AE188">
        <v>5.2</v>
      </c>
      <c r="AF188">
        <v>5.2808000000000002</v>
      </c>
    </row>
    <row r="189" spans="1:32" x14ac:dyDescent="0.25">
      <c r="A189" s="191" t="s">
        <v>1885</v>
      </c>
      <c r="B189" t="s">
        <v>305</v>
      </c>
      <c r="C189" t="s">
        <v>1164</v>
      </c>
      <c r="D189" t="s">
        <v>113</v>
      </c>
      <c r="E189" t="s">
        <v>56</v>
      </c>
      <c r="F189" t="s">
        <v>1070</v>
      </c>
      <c r="G189" t="s">
        <v>1070</v>
      </c>
      <c r="H189" t="s">
        <v>1569</v>
      </c>
      <c r="I189" t="s">
        <v>919</v>
      </c>
      <c r="J189" t="s">
        <v>911</v>
      </c>
      <c r="K189" t="s">
        <v>1273</v>
      </c>
      <c r="L189" t="s">
        <v>922</v>
      </c>
      <c r="M189" t="s">
        <v>1046</v>
      </c>
      <c r="N189" t="s">
        <v>1886</v>
      </c>
      <c r="O189" t="s">
        <v>924</v>
      </c>
      <c r="P189" t="s">
        <v>1170</v>
      </c>
      <c r="Q189" t="s">
        <v>1042</v>
      </c>
      <c r="R189" t="s">
        <v>1307</v>
      </c>
      <c r="S189" t="s">
        <v>1064</v>
      </c>
      <c r="T189" t="s">
        <v>945</v>
      </c>
      <c r="U189" t="s">
        <v>1887</v>
      </c>
      <c r="V189" t="s">
        <v>945</v>
      </c>
      <c r="W189" t="s">
        <v>1135</v>
      </c>
      <c r="X189" t="s">
        <v>1170</v>
      </c>
      <c r="Y189" t="s">
        <v>1160</v>
      </c>
      <c r="Z189" t="s">
        <v>1064</v>
      </c>
      <c r="AA189" t="s">
        <v>991</v>
      </c>
      <c r="AB189" t="s">
        <v>945</v>
      </c>
      <c r="AC189" t="s">
        <v>1029</v>
      </c>
      <c r="AD189" t="s">
        <v>1368</v>
      </c>
      <c r="AE189">
        <v>10.999999999999998</v>
      </c>
      <c r="AF189">
        <v>10.9841</v>
      </c>
    </row>
    <row r="190" spans="1:32" x14ac:dyDescent="0.25">
      <c r="A190" s="191" t="s">
        <v>1888</v>
      </c>
      <c r="B190" t="s">
        <v>1889</v>
      </c>
      <c r="C190" t="s">
        <v>1032</v>
      </c>
      <c r="D190" t="s">
        <v>45</v>
      </c>
      <c r="E190" t="s">
        <v>72</v>
      </c>
      <c r="F190" t="s">
        <v>1165</v>
      </c>
      <c r="G190" t="s">
        <v>1165</v>
      </c>
      <c r="H190" t="s">
        <v>1591</v>
      </c>
      <c r="I190" t="s">
        <v>1134</v>
      </c>
      <c r="J190" t="s">
        <v>1026</v>
      </c>
      <c r="K190" t="s">
        <v>1668</v>
      </c>
      <c r="L190" t="s">
        <v>1119</v>
      </c>
      <c r="M190" t="s">
        <v>969</v>
      </c>
      <c r="N190" t="s">
        <v>1890</v>
      </c>
      <c r="O190" t="s">
        <v>957</v>
      </c>
      <c r="P190" t="s">
        <v>1006</v>
      </c>
      <c r="Q190" t="s">
        <v>1743</v>
      </c>
      <c r="R190" t="s">
        <v>1891</v>
      </c>
      <c r="S190" t="s">
        <v>1230</v>
      </c>
      <c r="T190" t="s">
        <v>1012</v>
      </c>
      <c r="U190" t="s">
        <v>1667</v>
      </c>
      <c r="V190" t="s">
        <v>1211</v>
      </c>
      <c r="W190" t="s">
        <v>1009</v>
      </c>
      <c r="X190" t="s">
        <v>1241</v>
      </c>
      <c r="Y190" t="s">
        <v>922</v>
      </c>
      <c r="Z190" t="s">
        <v>969</v>
      </c>
      <c r="AA190" t="s">
        <v>924</v>
      </c>
      <c r="AB190" t="s">
        <v>1310</v>
      </c>
      <c r="AC190" t="s">
        <v>925</v>
      </c>
      <c r="AD190" t="s">
        <v>1368</v>
      </c>
      <c r="AE190">
        <v>11.100000000000001</v>
      </c>
      <c r="AF190">
        <v>10.988000000000001</v>
      </c>
    </row>
    <row r="191" spans="1:32" x14ac:dyDescent="0.25">
      <c r="A191" s="191" t="s">
        <v>1892</v>
      </c>
      <c r="B191" t="s">
        <v>284</v>
      </c>
      <c r="C191" t="s">
        <v>902</v>
      </c>
      <c r="D191" t="s">
        <v>105</v>
      </c>
      <c r="E191" t="s">
        <v>63</v>
      </c>
      <c r="F191" t="s">
        <v>1322</v>
      </c>
      <c r="G191" t="s">
        <v>1096</v>
      </c>
      <c r="H191" t="s">
        <v>1146</v>
      </c>
      <c r="I191" t="s">
        <v>1155</v>
      </c>
      <c r="J191" t="s">
        <v>1024</v>
      </c>
      <c r="K191" t="s">
        <v>1448</v>
      </c>
      <c r="L191" t="s">
        <v>924</v>
      </c>
      <c r="M191" t="s">
        <v>1126</v>
      </c>
      <c r="N191" t="s">
        <v>1608</v>
      </c>
      <c r="O191" t="s">
        <v>1230</v>
      </c>
      <c r="P191" t="s">
        <v>1135</v>
      </c>
      <c r="Q191" t="s">
        <v>1455</v>
      </c>
      <c r="R191" t="s">
        <v>1462</v>
      </c>
      <c r="S191" t="s">
        <v>1064</v>
      </c>
      <c r="T191" t="s">
        <v>945</v>
      </c>
      <c r="U191" t="s">
        <v>1495</v>
      </c>
      <c r="V191" t="s">
        <v>1094</v>
      </c>
      <c r="W191" t="s">
        <v>956</v>
      </c>
      <c r="X191" t="s">
        <v>947</v>
      </c>
      <c r="Y191" t="s">
        <v>945</v>
      </c>
      <c r="Z191" t="s">
        <v>923</v>
      </c>
      <c r="AA191" t="s">
        <v>1119</v>
      </c>
      <c r="AB191" t="s">
        <v>969</v>
      </c>
      <c r="AC191" t="s">
        <v>922</v>
      </c>
      <c r="AD191" t="s">
        <v>1368</v>
      </c>
      <c r="AE191">
        <v>11.1</v>
      </c>
      <c r="AF191">
        <v>11.1408</v>
      </c>
    </row>
    <row r="192" spans="1:32" x14ac:dyDescent="0.25">
      <c r="A192" s="191" t="s">
        <v>1893</v>
      </c>
      <c r="B192" t="s">
        <v>158</v>
      </c>
      <c r="C192" t="s">
        <v>1176</v>
      </c>
      <c r="D192" t="s">
        <v>151</v>
      </c>
      <c r="E192" t="s">
        <v>56</v>
      </c>
      <c r="F192" t="s">
        <v>1033</v>
      </c>
      <c r="G192" t="s">
        <v>929</v>
      </c>
      <c r="H192" t="s">
        <v>1894</v>
      </c>
      <c r="I192" t="s">
        <v>992</v>
      </c>
      <c r="J192" t="s">
        <v>1152</v>
      </c>
      <c r="K192" t="s">
        <v>1608</v>
      </c>
      <c r="L192" t="s">
        <v>1230</v>
      </c>
      <c r="M192" t="s">
        <v>919</v>
      </c>
      <c r="N192" t="s">
        <v>1895</v>
      </c>
      <c r="O192" t="s">
        <v>925</v>
      </c>
      <c r="P192" t="s">
        <v>1047</v>
      </c>
      <c r="Q192" t="s">
        <v>1299</v>
      </c>
      <c r="R192" t="s">
        <v>1476</v>
      </c>
      <c r="S192" t="s">
        <v>993</v>
      </c>
      <c r="T192" t="s">
        <v>946</v>
      </c>
      <c r="U192" t="s">
        <v>1896</v>
      </c>
      <c r="V192" t="s">
        <v>934</v>
      </c>
      <c r="W192" t="s">
        <v>924</v>
      </c>
      <c r="X192" t="s">
        <v>1012</v>
      </c>
      <c r="Y192" t="s">
        <v>1103</v>
      </c>
      <c r="Z192" t="s">
        <v>918</v>
      </c>
      <c r="AA192" t="s">
        <v>934</v>
      </c>
      <c r="AB192" t="s">
        <v>1195</v>
      </c>
      <c r="AC192" t="s">
        <v>1310</v>
      </c>
      <c r="AD192" t="s">
        <v>1253</v>
      </c>
      <c r="AE192">
        <v>11.1</v>
      </c>
      <c r="AF192">
        <v>11.022400000000001</v>
      </c>
    </row>
    <row r="193" spans="1:32" x14ac:dyDescent="0.25">
      <c r="A193" s="191" t="s">
        <v>1897</v>
      </c>
      <c r="B193" t="s">
        <v>275</v>
      </c>
      <c r="C193" t="s">
        <v>1204</v>
      </c>
      <c r="D193" t="s">
        <v>97</v>
      </c>
      <c r="E193" t="s">
        <v>63</v>
      </c>
      <c r="F193" t="s">
        <v>1285</v>
      </c>
      <c r="G193" t="s">
        <v>1285</v>
      </c>
      <c r="H193" t="s">
        <v>1742</v>
      </c>
      <c r="I193" t="s">
        <v>992</v>
      </c>
      <c r="J193" t="s">
        <v>916</v>
      </c>
      <c r="K193" t="s">
        <v>1538</v>
      </c>
      <c r="L193" t="s">
        <v>925</v>
      </c>
      <c r="M193" t="s">
        <v>1126</v>
      </c>
      <c r="N193" t="s">
        <v>981</v>
      </c>
      <c r="O193" t="s">
        <v>1230</v>
      </c>
      <c r="P193" t="s">
        <v>964</v>
      </c>
      <c r="Q193" t="s">
        <v>1200</v>
      </c>
      <c r="R193" t="s">
        <v>1352</v>
      </c>
      <c r="S193" t="s">
        <v>1029</v>
      </c>
      <c r="T193" t="s">
        <v>1049</v>
      </c>
      <c r="U193" t="s">
        <v>1366</v>
      </c>
      <c r="V193" t="s">
        <v>934</v>
      </c>
      <c r="W193" t="s">
        <v>908</v>
      </c>
      <c r="X193" t="s">
        <v>924</v>
      </c>
      <c r="Y193" t="s">
        <v>1029</v>
      </c>
      <c r="Z193" t="s">
        <v>1065</v>
      </c>
      <c r="AA193" t="s">
        <v>1119</v>
      </c>
      <c r="AB193" t="s">
        <v>969</v>
      </c>
      <c r="AC193" t="s">
        <v>945</v>
      </c>
      <c r="AD193" t="s">
        <v>1253</v>
      </c>
      <c r="AE193">
        <v>11</v>
      </c>
      <c r="AF193">
        <v>10.9453</v>
      </c>
    </row>
    <row r="194" spans="1:32" x14ac:dyDescent="0.25">
      <c r="A194" s="191" t="s">
        <v>1898</v>
      </c>
      <c r="B194" t="s">
        <v>225</v>
      </c>
      <c r="C194" t="s">
        <v>929</v>
      </c>
      <c r="D194" t="s">
        <v>133</v>
      </c>
      <c r="E194" t="s">
        <v>47</v>
      </c>
      <c r="F194" t="s">
        <v>1322</v>
      </c>
      <c r="G194" t="s">
        <v>1376</v>
      </c>
      <c r="H194" t="s">
        <v>1899</v>
      </c>
      <c r="I194" t="s">
        <v>1160</v>
      </c>
      <c r="J194" t="s">
        <v>1108</v>
      </c>
      <c r="K194" t="s">
        <v>1088</v>
      </c>
      <c r="L194" t="s">
        <v>1012</v>
      </c>
      <c r="M194" t="s">
        <v>940</v>
      </c>
      <c r="N194" t="s">
        <v>1393</v>
      </c>
      <c r="O194" t="s">
        <v>1230</v>
      </c>
      <c r="P194" t="s">
        <v>924</v>
      </c>
      <c r="Q194" t="s">
        <v>1401</v>
      </c>
      <c r="R194" t="s">
        <v>1520</v>
      </c>
      <c r="S194" t="s">
        <v>969</v>
      </c>
      <c r="T194" t="s">
        <v>1008</v>
      </c>
      <c r="U194" t="s">
        <v>1402</v>
      </c>
      <c r="V194" t="s">
        <v>934</v>
      </c>
      <c r="W194" t="s">
        <v>956</v>
      </c>
      <c r="X194" t="s">
        <v>947</v>
      </c>
      <c r="Y194" t="s">
        <v>924</v>
      </c>
      <c r="Z194" t="s">
        <v>1065</v>
      </c>
      <c r="AA194" t="s">
        <v>1119</v>
      </c>
      <c r="AB194" t="s">
        <v>945</v>
      </c>
      <c r="AC194" t="s">
        <v>968</v>
      </c>
      <c r="AD194" t="s">
        <v>1253</v>
      </c>
      <c r="AE194">
        <v>11</v>
      </c>
      <c r="AF194">
        <v>11.064400000000001</v>
      </c>
    </row>
    <row r="195" spans="1:32" x14ac:dyDescent="0.25">
      <c r="A195" s="191" t="s">
        <v>1900</v>
      </c>
      <c r="B195" t="s">
        <v>1901</v>
      </c>
      <c r="C195" t="s">
        <v>950</v>
      </c>
      <c r="D195" t="s">
        <v>108</v>
      </c>
      <c r="E195" t="s">
        <v>72</v>
      </c>
      <c r="F195" t="s">
        <v>951</v>
      </c>
      <c r="G195" t="s">
        <v>1414</v>
      </c>
      <c r="H195" t="s">
        <v>1774</v>
      </c>
      <c r="I195" t="s">
        <v>1228</v>
      </c>
      <c r="J195" t="s">
        <v>1061</v>
      </c>
      <c r="K195" t="s">
        <v>1041</v>
      </c>
      <c r="L195" t="s">
        <v>1310</v>
      </c>
      <c r="M195" t="s">
        <v>1160</v>
      </c>
      <c r="N195" t="s">
        <v>1902</v>
      </c>
      <c r="O195" t="s">
        <v>993</v>
      </c>
      <c r="P195" t="s">
        <v>919</v>
      </c>
      <c r="Q195" t="s">
        <v>1780</v>
      </c>
      <c r="R195" t="s">
        <v>1605</v>
      </c>
      <c r="S195" t="s">
        <v>1230</v>
      </c>
      <c r="T195" t="s">
        <v>956</v>
      </c>
      <c r="U195" t="s">
        <v>1525</v>
      </c>
      <c r="V195" t="s">
        <v>1049</v>
      </c>
      <c r="W195" t="s">
        <v>1030</v>
      </c>
      <c r="X195" t="s">
        <v>1092</v>
      </c>
      <c r="Y195" t="s">
        <v>908</v>
      </c>
      <c r="Z195" t="s">
        <v>987</v>
      </c>
      <c r="AA195" t="s">
        <v>1094</v>
      </c>
      <c r="AB195" t="s">
        <v>945</v>
      </c>
      <c r="AC195" t="s">
        <v>947</v>
      </c>
      <c r="AD195" t="s">
        <v>1253</v>
      </c>
      <c r="AE195">
        <v>10.9</v>
      </c>
      <c r="AF195">
        <v>10.947199999999999</v>
      </c>
    </row>
    <row r="196" spans="1:32" x14ac:dyDescent="0.25">
      <c r="A196" s="191" t="s">
        <v>1903</v>
      </c>
      <c r="B196" t="s">
        <v>234</v>
      </c>
      <c r="C196" t="s">
        <v>1245</v>
      </c>
      <c r="D196" t="s">
        <v>45</v>
      </c>
      <c r="E196" t="s">
        <v>47</v>
      </c>
      <c r="F196" t="s">
        <v>1271</v>
      </c>
      <c r="G196" t="s">
        <v>1175</v>
      </c>
      <c r="H196" t="s">
        <v>1458</v>
      </c>
      <c r="I196" t="s">
        <v>1160</v>
      </c>
      <c r="J196" t="s">
        <v>1132</v>
      </c>
      <c r="K196" t="s">
        <v>1904</v>
      </c>
      <c r="L196" t="s">
        <v>925</v>
      </c>
      <c r="M196" t="s">
        <v>962</v>
      </c>
      <c r="N196" t="s">
        <v>1863</v>
      </c>
      <c r="O196" t="s">
        <v>922</v>
      </c>
      <c r="P196" t="s">
        <v>1048</v>
      </c>
      <c r="Q196" t="s">
        <v>1667</v>
      </c>
      <c r="R196" t="s">
        <v>1482</v>
      </c>
      <c r="S196" t="s">
        <v>918</v>
      </c>
      <c r="T196" t="s">
        <v>923</v>
      </c>
      <c r="U196" t="s">
        <v>1905</v>
      </c>
      <c r="V196" t="s">
        <v>969</v>
      </c>
      <c r="W196" t="s">
        <v>924</v>
      </c>
      <c r="X196" t="s">
        <v>1135</v>
      </c>
      <c r="Y196" t="s">
        <v>1310</v>
      </c>
      <c r="Z196" t="s">
        <v>969</v>
      </c>
      <c r="AA196" t="s">
        <v>1119</v>
      </c>
      <c r="AB196" t="s">
        <v>1310</v>
      </c>
      <c r="AC196" t="s">
        <v>1029</v>
      </c>
      <c r="AD196" t="s">
        <v>982</v>
      </c>
      <c r="AE196">
        <v>10.9</v>
      </c>
      <c r="AF196">
        <v>10.801200000000001</v>
      </c>
    </row>
    <row r="197" spans="1:32" x14ac:dyDescent="0.25">
      <c r="A197" s="191" t="s">
        <v>1906</v>
      </c>
      <c r="B197" t="s">
        <v>1907</v>
      </c>
      <c r="C197" t="s">
        <v>1204</v>
      </c>
      <c r="D197" t="s">
        <v>974</v>
      </c>
      <c r="E197" t="s">
        <v>63</v>
      </c>
      <c r="F197" t="s">
        <v>1477</v>
      </c>
      <c r="G197" t="s">
        <v>972</v>
      </c>
      <c r="H197" t="s">
        <v>1317</v>
      </c>
      <c r="I197" t="s">
        <v>1160</v>
      </c>
      <c r="J197" t="s">
        <v>1035</v>
      </c>
      <c r="K197" t="s">
        <v>1908</v>
      </c>
      <c r="L197" t="s">
        <v>1049</v>
      </c>
      <c r="M197" t="s">
        <v>1329</v>
      </c>
      <c r="N197" t="s">
        <v>1475</v>
      </c>
      <c r="O197" t="s">
        <v>1049</v>
      </c>
      <c r="P197" t="s">
        <v>1155</v>
      </c>
      <c r="Q197" t="s">
        <v>1208</v>
      </c>
      <c r="R197" t="s">
        <v>1226</v>
      </c>
      <c r="S197" t="s">
        <v>1064</v>
      </c>
      <c r="T197" t="s">
        <v>945</v>
      </c>
      <c r="U197" t="s">
        <v>1093</v>
      </c>
      <c r="V197" t="s">
        <v>991</v>
      </c>
      <c r="W197" t="s">
        <v>993</v>
      </c>
      <c r="X197" t="s">
        <v>964</v>
      </c>
      <c r="Y197" t="s">
        <v>1220</v>
      </c>
      <c r="Z197" t="s">
        <v>987</v>
      </c>
      <c r="AA197" t="s">
        <v>934</v>
      </c>
      <c r="AB197" t="s">
        <v>1230</v>
      </c>
      <c r="AC197" t="s">
        <v>924</v>
      </c>
      <c r="AD197" t="s">
        <v>1394</v>
      </c>
      <c r="AE197">
        <v>10.799999999999999</v>
      </c>
      <c r="AF197">
        <v>10.761199999999999</v>
      </c>
    </row>
    <row r="198" spans="1:32" x14ac:dyDescent="0.25">
      <c r="A198" s="191" t="s">
        <v>1906</v>
      </c>
      <c r="B198" t="s">
        <v>1907</v>
      </c>
      <c r="C198" t="s">
        <v>1204</v>
      </c>
      <c r="D198" t="s">
        <v>111</v>
      </c>
      <c r="E198" t="s">
        <v>63</v>
      </c>
      <c r="F198" t="s">
        <v>1084</v>
      </c>
      <c r="G198" t="s">
        <v>1717</v>
      </c>
      <c r="H198" t="s">
        <v>1174</v>
      </c>
      <c r="I198" t="s">
        <v>979</v>
      </c>
      <c r="J198" t="s">
        <v>959</v>
      </c>
      <c r="K198" t="s">
        <v>1909</v>
      </c>
      <c r="L198" t="s">
        <v>968</v>
      </c>
      <c r="M198" t="s">
        <v>1059</v>
      </c>
      <c r="N198" t="s">
        <v>1910</v>
      </c>
      <c r="O198" t="s">
        <v>1029</v>
      </c>
      <c r="P198" t="s">
        <v>970</v>
      </c>
      <c r="Q198" t="s">
        <v>1131</v>
      </c>
      <c r="R198" t="s">
        <v>1099</v>
      </c>
      <c r="S198" t="s">
        <v>1195</v>
      </c>
      <c r="T198" t="s">
        <v>1230</v>
      </c>
      <c r="U198" t="s">
        <v>1301</v>
      </c>
      <c r="V198" t="s">
        <v>1065</v>
      </c>
      <c r="W198" t="s">
        <v>947</v>
      </c>
      <c r="X198" t="s">
        <v>1104</v>
      </c>
      <c r="Y198" t="s">
        <v>956</v>
      </c>
      <c r="Z198" t="s">
        <v>987</v>
      </c>
      <c r="AA198" t="s">
        <v>1094</v>
      </c>
      <c r="AB198" t="s">
        <v>1310</v>
      </c>
      <c r="AC198" t="s">
        <v>924</v>
      </c>
      <c r="AD198" t="s">
        <v>1450</v>
      </c>
      <c r="AE198">
        <v>10.100000000000001</v>
      </c>
      <c r="AF198">
        <v>9.9431000000000012</v>
      </c>
    </row>
    <row r="199" spans="1:32" x14ac:dyDescent="0.25">
      <c r="A199" s="191" t="s">
        <v>1906</v>
      </c>
      <c r="B199" t="s">
        <v>1907</v>
      </c>
      <c r="C199" t="s">
        <v>1204</v>
      </c>
      <c r="D199" t="s">
        <v>79</v>
      </c>
      <c r="E199" t="s">
        <v>63</v>
      </c>
      <c r="F199" t="s">
        <v>929</v>
      </c>
      <c r="G199" t="s">
        <v>972</v>
      </c>
      <c r="H199" t="s">
        <v>1317</v>
      </c>
      <c r="I199" t="s">
        <v>1081</v>
      </c>
      <c r="J199" t="s">
        <v>1024</v>
      </c>
      <c r="K199" t="s">
        <v>1268</v>
      </c>
      <c r="L199" t="s">
        <v>956</v>
      </c>
      <c r="M199" t="s">
        <v>1134</v>
      </c>
      <c r="N199" t="s">
        <v>1908</v>
      </c>
      <c r="O199" t="s">
        <v>925</v>
      </c>
      <c r="P199" t="s">
        <v>1081</v>
      </c>
      <c r="Q199" t="s">
        <v>1171</v>
      </c>
      <c r="R199" t="s">
        <v>1911</v>
      </c>
      <c r="S199" t="s">
        <v>918</v>
      </c>
      <c r="T199" t="s">
        <v>1064</v>
      </c>
      <c r="U199" t="s">
        <v>1270</v>
      </c>
      <c r="V199" t="s">
        <v>991</v>
      </c>
      <c r="W199" t="s">
        <v>1220</v>
      </c>
      <c r="X199" t="s">
        <v>946</v>
      </c>
      <c r="Y199" t="s">
        <v>1048</v>
      </c>
      <c r="Z199" t="s">
        <v>1008</v>
      </c>
      <c r="AA199" t="s">
        <v>934</v>
      </c>
      <c r="AB199" t="s">
        <v>945</v>
      </c>
      <c r="AC199" t="s">
        <v>947</v>
      </c>
      <c r="AD199" t="s">
        <v>1546</v>
      </c>
      <c r="AE199">
        <v>11.3</v>
      </c>
      <c r="AF199">
        <v>11.440900000000001</v>
      </c>
    </row>
    <row r="200" spans="1:32" x14ac:dyDescent="0.25">
      <c r="A200" s="191" t="s">
        <v>1912</v>
      </c>
      <c r="B200" t="s">
        <v>1913</v>
      </c>
      <c r="C200" t="s">
        <v>995</v>
      </c>
      <c r="D200" t="s">
        <v>83</v>
      </c>
      <c r="E200" t="s">
        <v>63</v>
      </c>
      <c r="F200" t="s">
        <v>1410</v>
      </c>
      <c r="G200" t="s">
        <v>1096</v>
      </c>
      <c r="H200" t="s">
        <v>1914</v>
      </c>
      <c r="I200" t="s">
        <v>1030</v>
      </c>
      <c r="J200" t="s">
        <v>965</v>
      </c>
      <c r="K200" t="s">
        <v>1558</v>
      </c>
      <c r="L200" t="s">
        <v>956</v>
      </c>
      <c r="M200" t="s">
        <v>1126</v>
      </c>
      <c r="N200" t="s">
        <v>1915</v>
      </c>
      <c r="O200" t="s">
        <v>922</v>
      </c>
      <c r="P200" t="s">
        <v>1228</v>
      </c>
      <c r="Q200" t="s">
        <v>1784</v>
      </c>
      <c r="R200" t="s">
        <v>1916</v>
      </c>
      <c r="S200" t="s">
        <v>1230</v>
      </c>
      <c r="T200" t="s">
        <v>968</v>
      </c>
      <c r="U200" t="s">
        <v>1917</v>
      </c>
      <c r="V200" t="s">
        <v>991</v>
      </c>
      <c r="W200" t="s">
        <v>924</v>
      </c>
      <c r="X200" t="s">
        <v>1104</v>
      </c>
      <c r="Y200" t="s">
        <v>945</v>
      </c>
      <c r="Z200" t="s">
        <v>1065</v>
      </c>
      <c r="AA200" t="s">
        <v>991</v>
      </c>
      <c r="AB200" t="s">
        <v>923</v>
      </c>
      <c r="AC200" t="s">
        <v>918</v>
      </c>
      <c r="AD200" t="s">
        <v>1394</v>
      </c>
      <c r="AE200">
        <v>10.8</v>
      </c>
      <c r="AF200">
        <v>10.791500000000001</v>
      </c>
    </row>
    <row r="201" spans="1:32" x14ac:dyDescent="0.25">
      <c r="A201" s="191" t="s">
        <v>1918</v>
      </c>
      <c r="B201" t="s">
        <v>1919</v>
      </c>
      <c r="C201" t="s">
        <v>1032</v>
      </c>
      <c r="D201" t="s">
        <v>83</v>
      </c>
      <c r="E201" t="s">
        <v>63</v>
      </c>
      <c r="F201" t="s">
        <v>1187</v>
      </c>
      <c r="G201" t="s">
        <v>1106</v>
      </c>
      <c r="H201" t="s">
        <v>1914</v>
      </c>
      <c r="I201" t="s">
        <v>1228</v>
      </c>
      <c r="J201" t="s">
        <v>1035</v>
      </c>
      <c r="K201" t="s">
        <v>1659</v>
      </c>
      <c r="L201" t="s">
        <v>945</v>
      </c>
      <c r="M201" t="s">
        <v>970</v>
      </c>
      <c r="N201" t="s">
        <v>1406</v>
      </c>
      <c r="O201" t="s">
        <v>1104</v>
      </c>
      <c r="P201" t="s">
        <v>909</v>
      </c>
      <c r="Q201" t="s">
        <v>1514</v>
      </c>
      <c r="R201" t="s">
        <v>1131</v>
      </c>
      <c r="S201" t="s">
        <v>1029</v>
      </c>
      <c r="T201" t="s">
        <v>956</v>
      </c>
      <c r="U201" t="s">
        <v>1194</v>
      </c>
      <c r="V201" t="s">
        <v>1008</v>
      </c>
      <c r="W201" t="s">
        <v>993</v>
      </c>
      <c r="X201" t="s">
        <v>1048</v>
      </c>
      <c r="Y201" t="s">
        <v>925</v>
      </c>
      <c r="Z201" t="s">
        <v>1195</v>
      </c>
      <c r="AA201" t="s">
        <v>934</v>
      </c>
      <c r="AB201" t="s">
        <v>945</v>
      </c>
      <c r="AC201" t="s">
        <v>922</v>
      </c>
      <c r="AD201" t="s">
        <v>1655</v>
      </c>
      <c r="AE201">
        <v>10.799999999999999</v>
      </c>
      <c r="AF201">
        <v>10.667</v>
      </c>
    </row>
    <row r="202" spans="1:32" x14ac:dyDescent="0.25">
      <c r="A202" s="191" t="s">
        <v>1920</v>
      </c>
      <c r="B202" t="s">
        <v>1921</v>
      </c>
      <c r="C202" t="s">
        <v>1245</v>
      </c>
      <c r="D202" t="s">
        <v>133</v>
      </c>
      <c r="E202" t="s">
        <v>93</v>
      </c>
      <c r="F202" t="s">
        <v>1123</v>
      </c>
      <c r="G202" t="s">
        <v>1106</v>
      </c>
      <c r="H202" t="s">
        <v>1922</v>
      </c>
      <c r="I202" t="s">
        <v>1030</v>
      </c>
      <c r="J202" t="s">
        <v>989</v>
      </c>
      <c r="K202" t="s">
        <v>1923</v>
      </c>
      <c r="L202" t="s">
        <v>922</v>
      </c>
      <c r="M202" t="s">
        <v>1211</v>
      </c>
      <c r="N202" t="s">
        <v>1909</v>
      </c>
      <c r="O202" t="s">
        <v>956</v>
      </c>
      <c r="P202" t="s">
        <v>992</v>
      </c>
      <c r="Q202" t="s">
        <v>1289</v>
      </c>
      <c r="R202" t="s">
        <v>1192</v>
      </c>
      <c r="S202" t="s">
        <v>1029</v>
      </c>
      <c r="T202" t="s">
        <v>1049</v>
      </c>
      <c r="U202" t="s">
        <v>1884</v>
      </c>
      <c r="V202" t="s">
        <v>969</v>
      </c>
      <c r="W202" t="s">
        <v>970</v>
      </c>
      <c r="X202" t="s">
        <v>1160</v>
      </c>
      <c r="Y202" t="s">
        <v>1104</v>
      </c>
      <c r="Z202" t="s">
        <v>987</v>
      </c>
      <c r="AA202" t="s">
        <v>1094</v>
      </c>
      <c r="AB202" t="s">
        <v>1195</v>
      </c>
      <c r="AC202" t="s">
        <v>968</v>
      </c>
      <c r="AD202" t="s">
        <v>1655</v>
      </c>
      <c r="AE202">
        <v>10.7</v>
      </c>
      <c r="AF202">
        <v>10.746599999999999</v>
      </c>
    </row>
    <row r="203" spans="1:32" x14ac:dyDescent="0.25">
      <c r="A203" s="191" t="s">
        <v>1924</v>
      </c>
      <c r="B203" t="s">
        <v>212</v>
      </c>
      <c r="C203" t="s">
        <v>950</v>
      </c>
      <c r="D203" t="s">
        <v>1069</v>
      </c>
      <c r="E203" t="s">
        <v>63</v>
      </c>
      <c r="F203" t="s">
        <v>1446</v>
      </c>
      <c r="G203" t="s">
        <v>1067</v>
      </c>
      <c r="H203" t="s">
        <v>1899</v>
      </c>
      <c r="I203" t="s">
        <v>1000</v>
      </c>
      <c r="J203" t="s">
        <v>1009</v>
      </c>
      <c r="K203" t="s">
        <v>1168</v>
      </c>
      <c r="L203" t="s">
        <v>947</v>
      </c>
      <c r="M203" t="s">
        <v>1291</v>
      </c>
      <c r="N203" t="s">
        <v>1474</v>
      </c>
      <c r="O203" t="s">
        <v>1064</v>
      </c>
      <c r="P203" t="s">
        <v>925</v>
      </c>
      <c r="Q203" t="s">
        <v>1340</v>
      </c>
      <c r="R203" t="s">
        <v>1836</v>
      </c>
      <c r="S203" t="s">
        <v>1310</v>
      </c>
      <c r="T203" t="s">
        <v>968</v>
      </c>
      <c r="U203" t="s">
        <v>1917</v>
      </c>
      <c r="V203" t="s">
        <v>1065</v>
      </c>
      <c r="W203" t="s">
        <v>993</v>
      </c>
      <c r="X203" t="s">
        <v>1135</v>
      </c>
      <c r="Y203" t="s">
        <v>908</v>
      </c>
      <c r="Z203" t="s">
        <v>987</v>
      </c>
      <c r="AA203" t="s">
        <v>1094</v>
      </c>
      <c r="AB203" t="s">
        <v>945</v>
      </c>
      <c r="AC203" t="s">
        <v>1310</v>
      </c>
      <c r="AD203" t="s">
        <v>941</v>
      </c>
      <c r="AE203">
        <v>10.6</v>
      </c>
      <c r="AF203">
        <v>10.614599999999999</v>
      </c>
    </row>
    <row r="204" spans="1:32" x14ac:dyDescent="0.25">
      <c r="A204" s="191" t="s">
        <v>1925</v>
      </c>
      <c r="B204" t="s">
        <v>1926</v>
      </c>
      <c r="C204" t="s">
        <v>995</v>
      </c>
      <c r="D204" t="s">
        <v>1279</v>
      </c>
      <c r="E204" t="s">
        <v>63</v>
      </c>
      <c r="F204" t="s">
        <v>1033</v>
      </c>
      <c r="G204" t="s">
        <v>1410</v>
      </c>
      <c r="H204" t="s">
        <v>1237</v>
      </c>
      <c r="I204" t="s">
        <v>1155</v>
      </c>
      <c r="J204" t="s">
        <v>965</v>
      </c>
      <c r="K204" t="s">
        <v>1461</v>
      </c>
      <c r="L204" t="s">
        <v>1029</v>
      </c>
      <c r="M204" t="s">
        <v>1005</v>
      </c>
      <c r="N204" t="s">
        <v>1628</v>
      </c>
      <c r="O204" t="s">
        <v>925</v>
      </c>
      <c r="P204" t="s">
        <v>1134</v>
      </c>
      <c r="Q204" t="s">
        <v>1405</v>
      </c>
      <c r="R204" t="s">
        <v>1584</v>
      </c>
      <c r="S204" t="s">
        <v>1230</v>
      </c>
      <c r="T204" t="s">
        <v>968</v>
      </c>
      <c r="U204" t="s">
        <v>1769</v>
      </c>
      <c r="V204" t="s">
        <v>987</v>
      </c>
      <c r="W204" t="s">
        <v>1135</v>
      </c>
      <c r="X204" t="s">
        <v>1155</v>
      </c>
      <c r="Y204" t="s">
        <v>925</v>
      </c>
      <c r="Z204" t="s">
        <v>923</v>
      </c>
      <c r="AA204" t="s">
        <v>991</v>
      </c>
      <c r="AB204" t="s">
        <v>1310</v>
      </c>
      <c r="AC204" t="s">
        <v>1012</v>
      </c>
      <c r="AD204" t="s">
        <v>941</v>
      </c>
      <c r="AE204">
        <v>10.6</v>
      </c>
      <c r="AF204">
        <v>10.683</v>
      </c>
    </row>
    <row r="205" spans="1:32" x14ac:dyDescent="0.25">
      <c r="A205" s="191" t="s">
        <v>1927</v>
      </c>
      <c r="B205" t="s">
        <v>1928</v>
      </c>
      <c r="C205" t="s">
        <v>929</v>
      </c>
      <c r="D205" t="s">
        <v>133</v>
      </c>
      <c r="E205" t="s">
        <v>56</v>
      </c>
      <c r="F205" t="s">
        <v>1446</v>
      </c>
      <c r="G205" t="s">
        <v>1032</v>
      </c>
      <c r="H205" t="s">
        <v>1136</v>
      </c>
      <c r="I205" t="s">
        <v>1160</v>
      </c>
      <c r="J205" t="s">
        <v>965</v>
      </c>
      <c r="K205" t="s">
        <v>1595</v>
      </c>
      <c r="L205" t="s">
        <v>1230</v>
      </c>
      <c r="M205" t="s">
        <v>1134</v>
      </c>
      <c r="N205" t="s">
        <v>1259</v>
      </c>
      <c r="O205" t="s">
        <v>993</v>
      </c>
      <c r="P205" t="s">
        <v>1005</v>
      </c>
      <c r="Q205" t="s">
        <v>1537</v>
      </c>
      <c r="R205" t="s">
        <v>1709</v>
      </c>
      <c r="S205" t="s">
        <v>1230</v>
      </c>
      <c r="T205" t="s">
        <v>922</v>
      </c>
      <c r="U205" t="s">
        <v>1871</v>
      </c>
      <c r="V205" t="s">
        <v>1008</v>
      </c>
      <c r="W205" t="s">
        <v>1135</v>
      </c>
      <c r="X205" t="s">
        <v>1030</v>
      </c>
      <c r="Y205" t="s">
        <v>1012</v>
      </c>
      <c r="Z205" t="s">
        <v>969</v>
      </c>
      <c r="AA205" t="s">
        <v>934</v>
      </c>
      <c r="AB205" t="s">
        <v>945</v>
      </c>
      <c r="AC205" t="s">
        <v>1064</v>
      </c>
      <c r="AD205" t="s">
        <v>941</v>
      </c>
      <c r="AE205">
        <v>10.6</v>
      </c>
      <c r="AF205">
        <v>10.592399999999998</v>
      </c>
    </row>
    <row r="206" spans="1:32" x14ac:dyDescent="0.25">
      <c r="A206" s="191" t="s">
        <v>1929</v>
      </c>
      <c r="B206" t="s">
        <v>311</v>
      </c>
      <c r="C206" t="s">
        <v>902</v>
      </c>
      <c r="D206" t="s">
        <v>170</v>
      </c>
      <c r="E206" t="s">
        <v>93</v>
      </c>
      <c r="F206" t="s">
        <v>1033</v>
      </c>
      <c r="G206" t="s">
        <v>972</v>
      </c>
      <c r="H206" t="s">
        <v>1314</v>
      </c>
      <c r="I206" t="s">
        <v>1228</v>
      </c>
      <c r="J206" t="s">
        <v>1009</v>
      </c>
      <c r="K206" t="s">
        <v>1352</v>
      </c>
      <c r="L206" t="s">
        <v>1230</v>
      </c>
      <c r="M206" t="s">
        <v>1155</v>
      </c>
      <c r="N206" t="s">
        <v>1379</v>
      </c>
      <c r="O206" t="s">
        <v>1012</v>
      </c>
      <c r="P206" t="s">
        <v>1155</v>
      </c>
      <c r="Q206" t="s">
        <v>1930</v>
      </c>
      <c r="R206" t="s">
        <v>1523</v>
      </c>
      <c r="S206" t="s">
        <v>1064</v>
      </c>
      <c r="T206" t="s">
        <v>1230</v>
      </c>
      <c r="U206" t="s">
        <v>1371</v>
      </c>
      <c r="V206" t="s">
        <v>1008</v>
      </c>
      <c r="W206" t="s">
        <v>970</v>
      </c>
      <c r="X206" t="s">
        <v>1228</v>
      </c>
      <c r="Y206" t="s">
        <v>1029</v>
      </c>
      <c r="Z206" t="s">
        <v>969</v>
      </c>
      <c r="AA206" t="s">
        <v>991</v>
      </c>
      <c r="AB206" t="s">
        <v>918</v>
      </c>
      <c r="AC206" t="s">
        <v>1230</v>
      </c>
      <c r="AD206" t="s">
        <v>1483</v>
      </c>
      <c r="AE206">
        <v>10.499999999999998</v>
      </c>
      <c r="AF206">
        <v>10.536399999999997</v>
      </c>
    </row>
    <row r="207" spans="1:32" x14ac:dyDescent="0.25">
      <c r="A207" s="194" t="s">
        <v>1931</v>
      </c>
      <c r="B207" t="s">
        <v>356</v>
      </c>
      <c r="C207" t="s">
        <v>1204</v>
      </c>
      <c r="D207" t="s">
        <v>974</v>
      </c>
      <c r="E207" t="s">
        <v>72</v>
      </c>
      <c r="F207" t="s">
        <v>1598</v>
      </c>
      <c r="G207" t="s">
        <v>1245</v>
      </c>
      <c r="H207" t="s">
        <v>1304</v>
      </c>
      <c r="I207" t="s">
        <v>1170</v>
      </c>
      <c r="J207" t="s">
        <v>990</v>
      </c>
      <c r="K207" t="s">
        <v>1442</v>
      </c>
      <c r="L207" t="s">
        <v>1119</v>
      </c>
      <c r="M207" t="s">
        <v>1065</v>
      </c>
      <c r="N207" t="s">
        <v>1932</v>
      </c>
      <c r="O207" t="s">
        <v>1081</v>
      </c>
      <c r="P207" t="s">
        <v>1118</v>
      </c>
      <c r="Q207" t="s">
        <v>913</v>
      </c>
      <c r="R207" t="s">
        <v>1522</v>
      </c>
      <c r="S207" t="s">
        <v>968</v>
      </c>
      <c r="T207" t="s">
        <v>956</v>
      </c>
      <c r="U207" t="s">
        <v>1093</v>
      </c>
      <c r="V207" t="s">
        <v>947</v>
      </c>
      <c r="W207" t="s">
        <v>1329</v>
      </c>
      <c r="X207" t="s">
        <v>990</v>
      </c>
      <c r="Y207" t="s">
        <v>956</v>
      </c>
      <c r="Z207" t="s">
        <v>1065</v>
      </c>
      <c r="AA207" t="s">
        <v>969</v>
      </c>
      <c r="AB207" t="s">
        <v>1310</v>
      </c>
      <c r="AC207" t="s">
        <v>925</v>
      </c>
      <c r="AD207" t="s">
        <v>1020</v>
      </c>
      <c r="AE207">
        <v>10.500000000000002</v>
      </c>
      <c r="AF207">
        <v>10.304400000000001</v>
      </c>
    </row>
    <row r="208" spans="1:32" x14ac:dyDescent="0.25">
      <c r="A208" s="191" t="s">
        <v>1931</v>
      </c>
      <c r="B208" t="s">
        <v>356</v>
      </c>
      <c r="C208" t="s">
        <v>1204</v>
      </c>
      <c r="D208" t="s">
        <v>77</v>
      </c>
      <c r="E208" t="s">
        <v>72</v>
      </c>
      <c r="F208" t="s">
        <v>1453</v>
      </c>
      <c r="G208" t="s">
        <v>1137</v>
      </c>
      <c r="H208" t="s">
        <v>1933</v>
      </c>
      <c r="I208" t="s">
        <v>957</v>
      </c>
      <c r="J208" t="s">
        <v>1152</v>
      </c>
      <c r="K208" t="s">
        <v>1042</v>
      </c>
      <c r="L208" t="s">
        <v>1119</v>
      </c>
      <c r="M208" t="s">
        <v>969</v>
      </c>
      <c r="N208" t="s">
        <v>1934</v>
      </c>
      <c r="O208" t="s">
        <v>1211</v>
      </c>
      <c r="P208" t="s">
        <v>1027</v>
      </c>
      <c r="Q208" t="s">
        <v>1215</v>
      </c>
      <c r="R208" t="s">
        <v>1401</v>
      </c>
      <c r="S208" t="s">
        <v>1049</v>
      </c>
      <c r="T208" t="s">
        <v>925</v>
      </c>
      <c r="U208" t="s">
        <v>1935</v>
      </c>
      <c r="V208" t="s">
        <v>924</v>
      </c>
      <c r="W208" t="s">
        <v>1079</v>
      </c>
      <c r="X208" t="s">
        <v>989</v>
      </c>
      <c r="Y208" t="s">
        <v>925</v>
      </c>
      <c r="Z208" t="s">
        <v>991</v>
      </c>
      <c r="AA208" t="s">
        <v>969</v>
      </c>
      <c r="AB208" t="s">
        <v>968</v>
      </c>
      <c r="AC208" t="s">
        <v>956</v>
      </c>
      <c r="AD208" t="s">
        <v>1002</v>
      </c>
      <c r="AE208">
        <v>11.400000000000002</v>
      </c>
      <c r="AF208">
        <v>11.509399999999999</v>
      </c>
    </row>
    <row r="209" spans="1:32" x14ac:dyDescent="0.25">
      <c r="A209" s="191" t="s">
        <v>1931</v>
      </c>
      <c r="B209" t="s">
        <v>356</v>
      </c>
      <c r="C209" t="s">
        <v>1204</v>
      </c>
      <c r="D209" t="s">
        <v>121</v>
      </c>
      <c r="E209" t="s">
        <v>72</v>
      </c>
      <c r="F209" t="s">
        <v>1204</v>
      </c>
      <c r="G209" t="s">
        <v>1096</v>
      </c>
      <c r="H209" t="s">
        <v>1197</v>
      </c>
      <c r="I209" t="s">
        <v>992</v>
      </c>
      <c r="J209" t="s">
        <v>921</v>
      </c>
      <c r="K209" t="s">
        <v>1401</v>
      </c>
      <c r="L209" t="s">
        <v>1600</v>
      </c>
      <c r="M209" t="s">
        <v>1094</v>
      </c>
      <c r="N209" t="s">
        <v>1936</v>
      </c>
      <c r="O209" t="s">
        <v>979</v>
      </c>
      <c r="P209" t="s">
        <v>1059</v>
      </c>
      <c r="Q209" t="s">
        <v>1610</v>
      </c>
      <c r="R209" t="s">
        <v>1057</v>
      </c>
      <c r="S209" t="s">
        <v>1029</v>
      </c>
      <c r="T209" t="s">
        <v>968</v>
      </c>
      <c r="U209" t="s">
        <v>1937</v>
      </c>
      <c r="V209" t="s">
        <v>925</v>
      </c>
      <c r="W209" t="s">
        <v>1134</v>
      </c>
      <c r="X209" t="s">
        <v>1023</v>
      </c>
      <c r="Y209" t="s">
        <v>968</v>
      </c>
      <c r="Z209" t="s">
        <v>1065</v>
      </c>
      <c r="AA209" t="s">
        <v>969</v>
      </c>
      <c r="AB209" t="s">
        <v>923</v>
      </c>
      <c r="AC209" t="s">
        <v>1012</v>
      </c>
      <c r="AD209" t="s">
        <v>1062</v>
      </c>
      <c r="AE209">
        <v>8.8000000000000007</v>
      </c>
      <c r="AF209">
        <v>8.6783999999999999</v>
      </c>
    </row>
    <row r="210" spans="1:32" x14ac:dyDescent="0.25">
      <c r="A210" s="191" t="s">
        <v>1938</v>
      </c>
      <c r="B210" t="s">
        <v>200</v>
      </c>
      <c r="C210" t="s">
        <v>1084</v>
      </c>
      <c r="D210" t="s">
        <v>163</v>
      </c>
      <c r="E210" t="s">
        <v>63</v>
      </c>
      <c r="F210" t="s">
        <v>1446</v>
      </c>
      <c r="G210" t="s">
        <v>1312</v>
      </c>
      <c r="H210" t="s">
        <v>1583</v>
      </c>
      <c r="I210" t="s">
        <v>1081</v>
      </c>
      <c r="J210" t="s">
        <v>1010</v>
      </c>
      <c r="K210" t="s">
        <v>1387</v>
      </c>
      <c r="L210" t="s">
        <v>1029</v>
      </c>
      <c r="M210" t="s">
        <v>1228</v>
      </c>
      <c r="N210" t="s">
        <v>1492</v>
      </c>
      <c r="O210" t="s">
        <v>1012</v>
      </c>
      <c r="P210" t="s">
        <v>1103</v>
      </c>
      <c r="Q210" t="s">
        <v>1532</v>
      </c>
      <c r="R210" t="s">
        <v>1605</v>
      </c>
      <c r="S210" t="s">
        <v>1065</v>
      </c>
      <c r="T210" t="s">
        <v>987</v>
      </c>
      <c r="U210" t="s">
        <v>1939</v>
      </c>
      <c r="V210" t="s">
        <v>923</v>
      </c>
      <c r="W210" t="s">
        <v>1104</v>
      </c>
      <c r="X210" t="s">
        <v>1155</v>
      </c>
      <c r="Y210" t="s">
        <v>1310</v>
      </c>
      <c r="Z210" t="s">
        <v>918</v>
      </c>
      <c r="AA210" t="s">
        <v>1065</v>
      </c>
      <c r="AB210" t="s">
        <v>987</v>
      </c>
      <c r="AC210" t="s">
        <v>956</v>
      </c>
      <c r="AD210" t="s">
        <v>1020</v>
      </c>
      <c r="AE210">
        <v>10.5</v>
      </c>
      <c r="AF210">
        <v>10.402600000000001</v>
      </c>
    </row>
    <row r="211" spans="1:32" x14ac:dyDescent="0.25">
      <c r="A211" s="191" t="s">
        <v>1940</v>
      </c>
      <c r="B211" t="s">
        <v>161</v>
      </c>
      <c r="C211" t="s">
        <v>1245</v>
      </c>
      <c r="D211" t="s">
        <v>156</v>
      </c>
      <c r="E211" t="s">
        <v>63</v>
      </c>
      <c r="F211" t="s">
        <v>1033</v>
      </c>
      <c r="G211" t="s">
        <v>1322</v>
      </c>
      <c r="H211" t="s">
        <v>1136</v>
      </c>
      <c r="I211" t="s">
        <v>992</v>
      </c>
      <c r="J211" t="s">
        <v>1152</v>
      </c>
      <c r="K211" t="s">
        <v>1941</v>
      </c>
      <c r="L211" t="s">
        <v>922</v>
      </c>
      <c r="M211" t="s">
        <v>920</v>
      </c>
      <c r="N211" t="s">
        <v>1250</v>
      </c>
      <c r="O211" t="s">
        <v>1049</v>
      </c>
      <c r="P211" t="s">
        <v>992</v>
      </c>
      <c r="Q211" t="s">
        <v>1144</v>
      </c>
      <c r="R211" t="s">
        <v>1074</v>
      </c>
      <c r="S211" t="s">
        <v>1230</v>
      </c>
      <c r="T211" t="s">
        <v>922</v>
      </c>
      <c r="U211" t="s">
        <v>1942</v>
      </c>
      <c r="V211" t="s">
        <v>1064</v>
      </c>
      <c r="W211" t="s">
        <v>947</v>
      </c>
      <c r="X211" t="s">
        <v>1000</v>
      </c>
      <c r="Y211" t="s">
        <v>922</v>
      </c>
      <c r="Z211" t="s">
        <v>969</v>
      </c>
      <c r="AA211" t="s">
        <v>1119</v>
      </c>
      <c r="AB211" t="s">
        <v>918</v>
      </c>
      <c r="AC211" t="s">
        <v>968</v>
      </c>
      <c r="AD211" t="s">
        <v>1020</v>
      </c>
      <c r="AE211">
        <v>10.3</v>
      </c>
      <c r="AF211">
        <v>10.457399999999998</v>
      </c>
    </row>
    <row r="212" spans="1:32" x14ac:dyDescent="0.25">
      <c r="A212" s="191" t="s">
        <v>1943</v>
      </c>
      <c r="B212" t="s">
        <v>1944</v>
      </c>
      <c r="C212" t="s">
        <v>902</v>
      </c>
      <c r="D212" t="s">
        <v>1149</v>
      </c>
      <c r="E212" t="s">
        <v>93</v>
      </c>
      <c r="F212" t="s">
        <v>1202</v>
      </c>
      <c r="G212" t="s">
        <v>1067</v>
      </c>
      <c r="H212" t="s">
        <v>1563</v>
      </c>
      <c r="I212" t="s">
        <v>1000</v>
      </c>
      <c r="J212" t="s">
        <v>990</v>
      </c>
      <c r="K212" t="s">
        <v>1577</v>
      </c>
      <c r="L212" t="s">
        <v>922</v>
      </c>
      <c r="M212" t="s">
        <v>1211</v>
      </c>
      <c r="N212" t="s">
        <v>1379</v>
      </c>
      <c r="O212" t="s">
        <v>922</v>
      </c>
      <c r="P212" t="s">
        <v>946</v>
      </c>
      <c r="Q212" t="s">
        <v>1115</v>
      </c>
      <c r="R212" t="s">
        <v>1209</v>
      </c>
      <c r="S212" t="s">
        <v>1049</v>
      </c>
      <c r="T212" t="s">
        <v>947</v>
      </c>
      <c r="U212" t="s">
        <v>1757</v>
      </c>
      <c r="V212" t="s">
        <v>1064</v>
      </c>
      <c r="W212" t="s">
        <v>1228</v>
      </c>
      <c r="X212" t="s">
        <v>1005</v>
      </c>
      <c r="Y212" t="s">
        <v>947</v>
      </c>
      <c r="Z212" t="s">
        <v>1064</v>
      </c>
      <c r="AA212" t="s">
        <v>987</v>
      </c>
      <c r="AB212" t="s">
        <v>968</v>
      </c>
      <c r="AC212" t="s">
        <v>964</v>
      </c>
      <c r="AD212" t="s">
        <v>1020</v>
      </c>
      <c r="AE212">
        <v>10.4</v>
      </c>
      <c r="AF212">
        <v>10.380599999999999</v>
      </c>
    </row>
    <row r="213" spans="1:32" x14ac:dyDescent="0.25">
      <c r="A213" s="191" t="s">
        <v>1945</v>
      </c>
      <c r="B213" t="s">
        <v>1946</v>
      </c>
      <c r="C213" t="s">
        <v>1084</v>
      </c>
      <c r="D213" t="s">
        <v>974</v>
      </c>
      <c r="E213" t="s">
        <v>63</v>
      </c>
      <c r="F213" t="s">
        <v>1138</v>
      </c>
      <c r="G213" t="s">
        <v>972</v>
      </c>
      <c r="H213" t="s">
        <v>1125</v>
      </c>
      <c r="I213" t="s">
        <v>1160</v>
      </c>
      <c r="J213" t="s">
        <v>1062</v>
      </c>
      <c r="K213" t="s">
        <v>1596</v>
      </c>
      <c r="L213" t="s">
        <v>1008</v>
      </c>
      <c r="M213" t="s">
        <v>924</v>
      </c>
      <c r="N213" t="s">
        <v>1528</v>
      </c>
      <c r="O213" t="s">
        <v>1048</v>
      </c>
      <c r="P213" t="s">
        <v>1044</v>
      </c>
      <c r="Q213" t="s">
        <v>1041</v>
      </c>
      <c r="R213" t="s">
        <v>1299</v>
      </c>
      <c r="S213" t="s">
        <v>922</v>
      </c>
      <c r="T213" t="s">
        <v>947</v>
      </c>
      <c r="U213" t="s">
        <v>1947</v>
      </c>
      <c r="V213" t="s">
        <v>969</v>
      </c>
      <c r="W213" t="s">
        <v>946</v>
      </c>
      <c r="X213" t="s">
        <v>1030</v>
      </c>
      <c r="Y213" t="s">
        <v>1000</v>
      </c>
      <c r="Z213" t="s">
        <v>1064</v>
      </c>
      <c r="AA213" t="s">
        <v>934</v>
      </c>
      <c r="AB213" t="s">
        <v>968</v>
      </c>
      <c r="AC213" t="s">
        <v>1029</v>
      </c>
      <c r="AD213" t="s">
        <v>1038</v>
      </c>
      <c r="AE213">
        <v>10.199999999999999</v>
      </c>
      <c r="AF213">
        <v>10.320499999999999</v>
      </c>
    </row>
    <row r="214" spans="1:32" x14ac:dyDescent="0.25">
      <c r="A214" s="191" t="s">
        <v>1945</v>
      </c>
      <c r="B214" t="s">
        <v>1946</v>
      </c>
      <c r="C214" t="s">
        <v>1084</v>
      </c>
      <c r="D214" t="s">
        <v>79</v>
      </c>
      <c r="E214" t="s">
        <v>63</v>
      </c>
      <c r="F214" t="s">
        <v>1312</v>
      </c>
      <c r="G214" t="s">
        <v>928</v>
      </c>
      <c r="H214" t="s">
        <v>1314</v>
      </c>
      <c r="I214" t="s">
        <v>1155</v>
      </c>
      <c r="J214" t="s">
        <v>1108</v>
      </c>
      <c r="K214" t="s">
        <v>1419</v>
      </c>
      <c r="L214" t="s">
        <v>969</v>
      </c>
      <c r="M214" t="s">
        <v>924</v>
      </c>
      <c r="N214" t="s">
        <v>1948</v>
      </c>
      <c r="O214" t="s">
        <v>1048</v>
      </c>
      <c r="P214" t="s">
        <v>1112</v>
      </c>
      <c r="Q214" t="s">
        <v>1514</v>
      </c>
      <c r="R214" t="s">
        <v>1665</v>
      </c>
      <c r="S214" t="s">
        <v>1064</v>
      </c>
      <c r="T214" t="s">
        <v>922</v>
      </c>
      <c r="U214" t="s">
        <v>1949</v>
      </c>
      <c r="V214" t="s">
        <v>969</v>
      </c>
      <c r="W214" t="s">
        <v>964</v>
      </c>
      <c r="X214" t="s">
        <v>992</v>
      </c>
      <c r="Y214" t="s">
        <v>1048</v>
      </c>
      <c r="Z214" t="s">
        <v>923</v>
      </c>
      <c r="AA214" t="s">
        <v>934</v>
      </c>
      <c r="AB214" t="s">
        <v>1049</v>
      </c>
      <c r="AC214" t="s">
        <v>1029</v>
      </c>
      <c r="AD214" t="s">
        <v>959</v>
      </c>
      <c r="AE214">
        <v>9.2999999999999989</v>
      </c>
      <c r="AF214">
        <v>9.2624999999999993</v>
      </c>
    </row>
    <row r="215" spans="1:32" x14ac:dyDescent="0.25">
      <c r="A215" s="191" t="s">
        <v>1945</v>
      </c>
      <c r="B215" t="s">
        <v>1946</v>
      </c>
      <c r="C215" t="s">
        <v>1084</v>
      </c>
      <c r="D215" t="s">
        <v>105</v>
      </c>
      <c r="E215" t="s">
        <v>63</v>
      </c>
      <c r="F215" t="s">
        <v>929</v>
      </c>
      <c r="G215" t="s">
        <v>928</v>
      </c>
      <c r="H215" t="s">
        <v>1806</v>
      </c>
      <c r="I215" t="s">
        <v>1228</v>
      </c>
      <c r="J215" t="s">
        <v>989</v>
      </c>
      <c r="K215" t="s">
        <v>1158</v>
      </c>
      <c r="L215" t="s">
        <v>923</v>
      </c>
      <c r="M215" t="s">
        <v>924</v>
      </c>
      <c r="N215" t="s">
        <v>1619</v>
      </c>
      <c r="O215" t="s">
        <v>946</v>
      </c>
      <c r="P215" t="s">
        <v>1079</v>
      </c>
      <c r="Q215" t="s">
        <v>1352</v>
      </c>
      <c r="R215" t="s">
        <v>1184</v>
      </c>
      <c r="S215" t="s">
        <v>1220</v>
      </c>
      <c r="T215" t="s">
        <v>946</v>
      </c>
      <c r="U215" t="s">
        <v>1263</v>
      </c>
      <c r="V215" t="s">
        <v>991</v>
      </c>
      <c r="W215" t="s">
        <v>979</v>
      </c>
      <c r="X215" t="s">
        <v>1160</v>
      </c>
      <c r="Y215" t="s">
        <v>1030</v>
      </c>
      <c r="Z215" t="s">
        <v>1195</v>
      </c>
      <c r="AA215" t="s">
        <v>1119</v>
      </c>
      <c r="AB215" t="s">
        <v>922</v>
      </c>
      <c r="AC215" t="s">
        <v>1029</v>
      </c>
      <c r="AD215" t="s">
        <v>1207</v>
      </c>
      <c r="AE215">
        <v>11.7</v>
      </c>
      <c r="AF215">
        <v>11.774099999999997</v>
      </c>
    </row>
    <row r="216" spans="1:32" x14ac:dyDescent="0.25">
      <c r="A216" s="191" t="s">
        <v>1950</v>
      </c>
      <c r="B216" t="s">
        <v>1951</v>
      </c>
      <c r="C216" t="s">
        <v>902</v>
      </c>
      <c r="D216" t="s">
        <v>83</v>
      </c>
      <c r="E216" t="s">
        <v>56</v>
      </c>
      <c r="F216" t="s">
        <v>1410</v>
      </c>
      <c r="G216" t="s">
        <v>1032</v>
      </c>
      <c r="H216" t="s">
        <v>1237</v>
      </c>
      <c r="I216" t="s">
        <v>992</v>
      </c>
      <c r="J216" t="s">
        <v>959</v>
      </c>
      <c r="K216" t="s">
        <v>1478</v>
      </c>
      <c r="L216" t="s">
        <v>956</v>
      </c>
      <c r="M216" t="s">
        <v>1291</v>
      </c>
      <c r="N216" t="s">
        <v>1952</v>
      </c>
      <c r="O216" t="s">
        <v>922</v>
      </c>
      <c r="P216" t="s">
        <v>1155</v>
      </c>
      <c r="Q216" t="s">
        <v>1577</v>
      </c>
      <c r="R216" t="s">
        <v>1387</v>
      </c>
      <c r="S216" t="s">
        <v>1064</v>
      </c>
      <c r="T216" t="s">
        <v>1195</v>
      </c>
      <c r="U216" t="s">
        <v>1953</v>
      </c>
      <c r="V216" t="s">
        <v>1065</v>
      </c>
      <c r="W216" t="s">
        <v>1049</v>
      </c>
      <c r="X216" t="s">
        <v>924</v>
      </c>
      <c r="Y216" t="s">
        <v>1211</v>
      </c>
      <c r="Z216" t="s">
        <v>1195</v>
      </c>
      <c r="AA216" t="s">
        <v>1094</v>
      </c>
      <c r="AB216" t="s">
        <v>1310</v>
      </c>
      <c r="AC216" t="s">
        <v>1029</v>
      </c>
      <c r="AD216" t="s">
        <v>1038</v>
      </c>
      <c r="AE216">
        <v>10.299999999999999</v>
      </c>
      <c r="AF216">
        <v>10.3142</v>
      </c>
    </row>
    <row r="217" spans="1:32" x14ac:dyDescent="0.25">
      <c r="A217" s="191" t="s">
        <v>1954</v>
      </c>
      <c r="B217" t="s">
        <v>1955</v>
      </c>
      <c r="C217" t="s">
        <v>973</v>
      </c>
      <c r="D217" t="s">
        <v>1279</v>
      </c>
      <c r="E217" t="s">
        <v>72</v>
      </c>
      <c r="F217" t="s">
        <v>951</v>
      </c>
      <c r="G217" t="s">
        <v>1070</v>
      </c>
      <c r="H217" t="s">
        <v>1956</v>
      </c>
      <c r="I217" t="s">
        <v>1211</v>
      </c>
      <c r="J217" t="s">
        <v>1027</v>
      </c>
      <c r="K217" t="s">
        <v>1289</v>
      </c>
      <c r="L217" t="s">
        <v>1119</v>
      </c>
      <c r="M217" t="s">
        <v>1094</v>
      </c>
      <c r="N217" t="s">
        <v>1957</v>
      </c>
      <c r="O217" t="s">
        <v>1047</v>
      </c>
      <c r="P217" t="s">
        <v>1011</v>
      </c>
      <c r="Q217" t="s">
        <v>955</v>
      </c>
      <c r="R217" t="s">
        <v>1462</v>
      </c>
      <c r="S217" t="s">
        <v>1064</v>
      </c>
      <c r="T217" t="s">
        <v>925</v>
      </c>
      <c r="U217" t="s">
        <v>1235</v>
      </c>
      <c r="V217" t="s">
        <v>925</v>
      </c>
      <c r="W217" t="s">
        <v>1005</v>
      </c>
      <c r="X217" t="s">
        <v>988</v>
      </c>
      <c r="Y217" t="s">
        <v>925</v>
      </c>
      <c r="Z217" t="s">
        <v>918</v>
      </c>
      <c r="AA217" t="s">
        <v>1230</v>
      </c>
      <c r="AB217" t="s">
        <v>945</v>
      </c>
      <c r="AC217" t="s">
        <v>908</v>
      </c>
      <c r="AD217" t="s">
        <v>1038</v>
      </c>
      <c r="AE217">
        <v>10.4</v>
      </c>
      <c r="AF217">
        <v>10.3284</v>
      </c>
    </row>
    <row r="218" spans="1:32" x14ac:dyDescent="0.25">
      <c r="A218" s="191" t="s">
        <v>1958</v>
      </c>
      <c r="B218" t="s">
        <v>1959</v>
      </c>
      <c r="C218" t="s">
        <v>902</v>
      </c>
      <c r="D218" t="s">
        <v>83</v>
      </c>
      <c r="E218" t="s">
        <v>47</v>
      </c>
      <c r="F218" t="s">
        <v>1238</v>
      </c>
      <c r="G218" t="s">
        <v>1238</v>
      </c>
      <c r="H218" t="s">
        <v>1378</v>
      </c>
      <c r="I218" t="s">
        <v>1155</v>
      </c>
      <c r="J218" t="s">
        <v>1152</v>
      </c>
      <c r="K218" t="s">
        <v>1659</v>
      </c>
      <c r="L218" t="s">
        <v>1064</v>
      </c>
      <c r="M218" t="s">
        <v>992</v>
      </c>
      <c r="N218" t="s">
        <v>1960</v>
      </c>
      <c r="O218" t="s">
        <v>1220</v>
      </c>
      <c r="P218" t="s">
        <v>920</v>
      </c>
      <c r="Q218" t="s">
        <v>1022</v>
      </c>
      <c r="R218" t="s">
        <v>1131</v>
      </c>
      <c r="S218" t="s">
        <v>922</v>
      </c>
      <c r="T218" t="s">
        <v>956</v>
      </c>
      <c r="U218" t="s">
        <v>1326</v>
      </c>
      <c r="V218" t="s">
        <v>1064</v>
      </c>
      <c r="W218" t="s">
        <v>1104</v>
      </c>
      <c r="X218" t="s">
        <v>1160</v>
      </c>
      <c r="Y218" t="s">
        <v>970</v>
      </c>
      <c r="Z218" t="s">
        <v>1049</v>
      </c>
      <c r="AA218" t="s">
        <v>1065</v>
      </c>
      <c r="AB218" t="s">
        <v>968</v>
      </c>
      <c r="AC218" t="s">
        <v>970</v>
      </c>
      <c r="AD218" t="s">
        <v>1038</v>
      </c>
      <c r="AE218">
        <v>10.399999999999999</v>
      </c>
      <c r="AF218">
        <v>10.254800000000001</v>
      </c>
    </row>
    <row r="219" spans="1:32" x14ac:dyDescent="0.25">
      <c r="A219" s="191" t="s">
        <v>2472</v>
      </c>
      <c r="B219" t="s">
        <v>2473</v>
      </c>
      <c r="C219" t="s">
        <v>1293</v>
      </c>
      <c r="D219" t="s">
        <v>1223</v>
      </c>
      <c r="E219" t="s">
        <v>63</v>
      </c>
      <c r="F219" t="s">
        <v>1384</v>
      </c>
      <c r="G219" t="s">
        <v>1096</v>
      </c>
      <c r="H219" t="s">
        <v>1579</v>
      </c>
      <c r="I219" t="s">
        <v>956</v>
      </c>
      <c r="J219" t="s">
        <v>1329</v>
      </c>
      <c r="K219" t="s">
        <v>1909</v>
      </c>
      <c r="L219" t="s">
        <v>1195</v>
      </c>
      <c r="M219" t="s">
        <v>1160</v>
      </c>
      <c r="N219" t="s">
        <v>1915</v>
      </c>
      <c r="O219" t="s">
        <v>1008</v>
      </c>
      <c r="P219" t="s">
        <v>1310</v>
      </c>
      <c r="Q219" t="s">
        <v>1268</v>
      </c>
      <c r="R219" t="s">
        <v>1565</v>
      </c>
      <c r="S219" t="s">
        <v>934</v>
      </c>
      <c r="T219" t="s">
        <v>1094</v>
      </c>
      <c r="U219" t="s">
        <v>1133</v>
      </c>
      <c r="V219" t="s">
        <v>991</v>
      </c>
      <c r="W219" t="s">
        <v>908</v>
      </c>
      <c r="X219" t="s">
        <v>993</v>
      </c>
      <c r="Y219" t="s">
        <v>1064</v>
      </c>
      <c r="Z219" t="s">
        <v>969</v>
      </c>
      <c r="AA219" t="s">
        <v>1094</v>
      </c>
      <c r="AB219" t="s">
        <v>991</v>
      </c>
      <c r="AC219" t="s">
        <v>1230</v>
      </c>
      <c r="AD219" t="s">
        <v>1291</v>
      </c>
      <c r="AE219">
        <v>5.5000000000000009</v>
      </c>
      <c r="AF219">
        <v>5.5128000000000004</v>
      </c>
    </row>
    <row r="220" spans="1:32" x14ac:dyDescent="0.25">
      <c r="A220" s="191" t="s">
        <v>1963</v>
      </c>
      <c r="B220" t="s">
        <v>1964</v>
      </c>
      <c r="C220" t="s">
        <v>973</v>
      </c>
      <c r="D220" t="s">
        <v>48</v>
      </c>
      <c r="E220" t="s">
        <v>63</v>
      </c>
      <c r="F220" t="s">
        <v>1322</v>
      </c>
      <c r="G220" t="s">
        <v>1202</v>
      </c>
      <c r="H220" t="s">
        <v>1965</v>
      </c>
      <c r="I220" t="s">
        <v>979</v>
      </c>
      <c r="J220" t="s">
        <v>915</v>
      </c>
      <c r="K220" t="s">
        <v>1966</v>
      </c>
      <c r="L220" t="s">
        <v>1012</v>
      </c>
      <c r="M220" t="s">
        <v>1044</v>
      </c>
      <c r="N220" t="s">
        <v>1467</v>
      </c>
      <c r="O220" t="s">
        <v>918</v>
      </c>
      <c r="P220" t="s">
        <v>1029</v>
      </c>
      <c r="Q220" t="s">
        <v>1209</v>
      </c>
      <c r="R220" t="s">
        <v>1524</v>
      </c>
      <c r="S220" t="s">
        <v>969</v>
      </c>
      <c r="T220" t="s">
        <v>987</v>
      </c>
      <c r="U220" t="s">
        <v>1117</v>
      </c>
      <c r="V220" t="s">
        <v>969</v>
      </c>
      <c r="W220" t="s">
        <v>908</v>
      </c>
      <c r="X220" t="s">
        <v>1012</v>
      </c>
      <c r="Y220" t="s">
        <v>1029</v>
      </c>
      <c r="Z220" t="s">
        <v>969</v>
      </c>
      <c r="AA220" t="s">
        <v>1119</v>
      </c>
      <c r="AB220" t="s">
        <v>1065</v>
      </c>
      <c r="AC220" t="s">
        <v>1310</v>
      </c>
      <c r="AD220" t="s">
        <v>967</v>
      </c>
      <c r="AE220">
        <v>10.200000000000001</v>
      </c>
      <c r="AF220">
        <v>10.2004</v>
      </c>
    </row>
    <row r="221" spans="1:32" x14ac:dyDescent="0.25">
      <c r="A221" s="191" t="s">
        <v>1967</v>
      </c>
      <c r="B221" t="s">
        <v>62</v>
      </c>
      <c r="C221" t="s">
        <v>1015</v>
      </c>
      <c r="D221" t="s">
        <v>1069</v>
      </c>
      <c r="E221" t="s">
        <v>56</v>
      </c>
      <c r="F221" t="s">
        <v>1598</v>
      </c>
      <c r="G221" t="s">
        <v>1165</v>
      </c>
      <c r="H221" t="s">
        <v>1066</v>
      </c>
      <c r="I221" t="s">
        <v>1155</v>
      </c>
      <c r="J221" t="s">
        <v>1132</v>
      </c>
      <c r="K221" t="s">
        <v>1168</v>
      </c>
      <c r="L221" t="s">
        <v>956</v>
      </c>
      <c r="M221" t="s">
        <v>920</v>
      </c>
      <c r="N221" t="s">
        <v>1968</v>
      </c>
      <c r="O221" t="s">
        <v>922</v>
      </c>
      <c r="P221" t="s">
        <v>979</v>
      </c>
      <c r="Q221" t="s">
        <v>1476</v>
      </c>
      <c r="R221" t="s">
        <v>1218</v>
      </c>
      <c r="S221" t="s">
        <v>969</v>
      </c>
      <c r="T221" t="s">
        <v>1008</v>
      </c>
      <c r="U221" t="s">
        <v>1969</v>
      </c>
      <c r="V221" t="s">
        <v>1065</v>
      </c>
      <c r="W221" t="s">
        <v>1049</v>
      </c>
      <c r="X221" t="s">
        <v>924</v>
      </c>
      <c r="Y221" t="s">
        <v>1043</v>
      </c>
      <c r="Z221" t="s">
        <v>918</v>
      </c>
      <c r="AA221" t="s">
        <v>1119</v>
      </c>
      <c r="AB221" t="s">
        <v>1064</v>
      </c>
      <c r="AC221" t="s">
        <v>987</v>
      </c>
      <c r="AD221" t="s">
        <v>967</v>
      </c>
      <c r="AE221">
        <v>10.199999999999999</v>
      </c>
      <c r="AF221">
        <v>10.209299999999999</v>
      </c>
    </row>
    <row r="222" spans="1:32" x14ac:dyDescent="0.25">
      <c r="A222" s="191" t="s">
        <v>1970</v>
      </c>
      <c r="B222" t="s">
        <v>1971</v>
      </c>
      <c r="C222" t="s">
        <v>1084</v>
      </c>
      <c r="D222" t="s">
        <v>1279</v>
      </c>
      <c r="E222" t="s">
        <v>93</v>
      </c>
      <c r="F222" t="s">
        <v>1422</v>
      </c>
      <c r="G222" t="s">
        <v>1051</v>
      </c>
      <c r="H222" t="s">
        <v>1098</v>
      </c>
      <c r="I222" t="s">
        <v>1030</v>
      </c>
      <c r="J222" t="s">
        <v>1061</v>
      </c>
      <c r="K222" t="s">
        <v>1099</v>
      </c>
      <c r="L222" t="s">
        <v>1008</v>
      </c>
      <c r="M222" t="s">
        <v>956</v>
      </c>
      <c r="N222" t="s">
        <v>1828</v>
      </c>
      <c r="O222" t="s">
        <v>946</v>
      </c>
      <c r="P222" t="s">
        <v>1063</v>
      </c>
      <c r="Q222" t="s">
        <v>1090</v>
      </c>
      <c r="R222" t="s">
        <v>1436</v>
      </c>
      <c r="S222" t="s">
        <v>908</v>
      </c>
      <c r="T222" t="s">
        <v>1104</v>
      </c>
      <c r="U222" t="s">
        <v>1972</v>
      </c>
      <c r="V222" t="s">
        <v>987</v>
      </c>
      <c r="W222" t="s">
        <v>1104</v>
      </c>
      <c r="X222" t="s">
        <v>992</v>
      </c>
      <c r="Y222" t="s">
        <v>1012</v>
      </c>
      <c r="Z222" t="s">
        <v>969</v>
      </c>
      <c r="AA222" t="s">
        <v>1094</v>
      </c>
      <c r="AB222" t="s">
        <v>1049</v>
      </c>
      <c r="AC222" t="s">
        <v>925</v>
      </c>
      <c r="AD222" t="s">
        <v>967</v>
      </c>
      <c r="AE222">
        <v>10.199999999999999</v>
      </c>
      <c r="AF222">
        <v>10.2936</v>
      </c>
    </row>
    <row r="223" spans="1:32" x14ac:dyDescent="0.25">
      <c r="A223" s="191" t="s">
        <v>1973</v>
      </c>
      <c r="B223" t="s">
        <v>1974</v>
      </c>
      <c r="C223" t="s">
        <v>1084</v>
      </c>
      <c r="D223" t="s">
        <v>83</v>
      </c>
      <c r="E223" t="s">
        <v>47</v>
      </c>
      <c r="F223" t="s">
        <v>1162</v>
      </c>
      <c r="G223" t="s">
        <v>1051</v>
      </c>
      <c r="H223" t="s">
        <v>1975</v>
      </c>
      <c r="I223" t="s">
        <v>1155</v>
      </c>
      <c r="J223" t="s">
        <v>1011</v>
      </c>
      <c r="K223" t="s">
        <v>1976</v>
      </c>
      <c r="L223" t="s">
        <v>923</v>
      </c>
      <c r="M223" t="s">
        <v>946</v>
      </c>
      <c r="N223" t="s">
        <v>1977</v>
      </c>
      <c r="O223" t="s">
        <v>1104</v>
      </c>
      <c r="P223" t="s">
        <v>957</v>
      </c>
      <c r="Q223" t="s">
        <v>1813</v>
      </c>
      <c r="R223" t="s">
        <v>1442</v>
      </c>
      <c r="S223" t="s">
        <v>1029</v>
      </c>
      <c r="T223" t="s">
        <v>908</v>
      </c>
      <c r="U223" t="s">
        <v>1566</v>
      </c>
      <c r="V223" t="s">
        <v>918</v>
      </c>
      <c r="W223" t="s">
        <v>970</v>
      </c>
      <c r="X223" t="s">
        <v>919</v>
      </c>
      <c r="Y223" t="s">
        <v>918</v>
      </c>
      <c r="Z223" t="s">
        <v>1008</v>
      </c>
      <c r="AA223" t="s">
        <v>1008</v>
      </c>
      <c r="AB223" t="s">
        <v>918</v>
      </c>
      <c r="AC223" t="s">
        <v>908</v>
      </c>
      <c r="AD223" t="s">
        <v>1040</v>
      </c>
      <c r="AE223">
        <v>10.199999999999999</v>
      </c>
      <c r="AF223">
        <v>10.1265</v>
      </c>
    </row>
    <row r="224" spans="1:32" x14ac:dyDescent="0.25">
      <c r="A224" s="191" t="s">
        <v>1978</v>
      </c>
      <c r="B224" t="s">
        <v>109</v>
      </c>
      <c r="C224" t="s">
        <v>973</v>
      </c>
      <c r="D224" t="s">
        <v>48</v>
      </c>
      <c r="E224" t="s">
        <v>47</v>
      </c>
      <c r="F224" t="s">
        <v>1271</v>
      </c>
      <c r="G224" t="s">
        <v>1271</v>
      </c>
      <c r="H224" t="s">
        <v>1979</v>
      </c>
      <c r="I224" t="s">
        <v>992</v>
      </c>
      <c r="J224" t="s">
        <v>1132</v>
      </c>
      <c r="K224" t="s">
        <v>1718</v>
      </c>
      <c r="L224" t="s">
        <v>924</v>
      </c>
      <c r="M224" t="s">
        <v>1079</v>
      </c>
      <c r="N224" t="s">
        <v>1467</v>
      </c>
      <c r="O224" t="s">
        <v>945</v>
      </c>
      <c r="P224" t="s">
        <v>993</v>
      </c>
      <c r="Q224" t="s">
        <v>1629</v>
      </c>
      <c r="R224" t="s">
        <v>1374</v>
      </c>
      <c r="S224" t="s">
        <v>1065</v>
      </c>
      <c r="T224" t="s">
        <v>969</v>
      </c>
      <c r="U224" t="s">
        <v>1413</v>
      </c>
      <c r="V224" t="s">
        <v>1195</v>
      </c>
      <c r="W224" t="s">
        <v>964</v>
      </c>
      <c r="X224" t="s">
        <v>919</v>
      </c>
      <c r="Y224" t="s">
        <v>1029</v>
      </c>
      <c r="Z224" t="s">
        <v>1064</v>
      </c>
      <c r="AA224" t="s">
        <v>1065</v>
      </c>
      <c r="AB224" t="s">
        <v>1008</v>
      </c>
      <c r="AC224" t="s">
        <v>964</v>
      </c>
      <c r="AD224" t="s">
        <v>1040</v>
      </c>
      <c r="AE224">
        <v>10.1</v>
      </c>
      <c r="AF224">
        <v>10.1418</v>
      </c>
    </row>
    <row r="225" spans="1:32" x14ac:dyDescent="0.25">
      <c r="A225" s="191" t="s">
        <v>1980</v>
      </c>
      <c r="B225" t="s">
        <v>248</v>
      </c>
      <c r="C225" t="s">
        <v>1245</v>
      </c>
      <c r="D225" t="s">
        <v>108</v>
      </c>
      <c r="E225" t="s">
        <v>47</v>
      </c>
      <c r="F225" t="s">
        <v>1422</v>
      </c>
      <c r="G225" t="s">
        <v>902</v>
      </c>
      <c r="H225" t="s">
        <v>1095</v>
      </c>
      <c r="I225" t="s">
        <v>1160</v>
      </c>
      <c r="J225" t="s">
        <v>1152</v>
      </c>
      <c r="K225" t="s">
        <v>1665</v>
      </c>
      <c r="L225" t="s">
        <v>1029</v>
      </c>
      <c r="M225" t="s">
        <v>1170</v>
      </c>
      <c r="N225" t="s">
        <v>1475</v>
      </c>
      <c r="O225" t="s">
        <v>947</v>
      </c>
      <c r="P225" t="s">
        <v>1170</v>
      </c>
      <c r="Q225" t="s">
        <v>1370</v>
      </c>
      <c r="R225" t="s">
        <v>1193</v>
      </c>
      <c r="S225" t="s">
        <v>1008</v>
      </c>
      <c r="T225" t="s">
        <v>923</v>
      </c>
      <c r="U225" t="s">
        <v>1875</v>
      </c>
      <c r="V225" t="s">
        <v>923</v>
      </c>
      <c r="W225" t="s">
        <v>947</v>
      </c>
      <c r="X225" t="s">
        <v>1000</v>
      </c>
      <c r="Y225" t="s">
        <v>1029</v>
      </c>
      <c r="Z225" t="s">
        <v>923</v>
      </c>
      <c r="AA225" t="s">
        <v>991</v>
      </c>
      <c r="AB225" t="s">
        <v>1064</v>
      </c>
      <c r="AC225" t="s">
        <v>925</v>
      </c>
      <c r="AD225" t="s">
        <v>1040</v>
      </c>
      <c r="AE225">
        <v>10.1</v>
      </c>
      <c r="AF225">
        <v>10.0915</v>
      </c>
    </row>
    <row r="226" spans="1:32" x14ac:dyDescent="0.25">
      <c r="A226" s="191" t="s">
        <v>874</v>
      </c>
      <c r="B226" t="s">
        <v>171</v>
      </c>
      <c r="C226" t="s">
        <v>875</v>
      </c>
      <c r="D226" t="s">
        <v>172</v>
      </c>
      <c r="E226" t="s">
        <v>876</v>
      </c>
      <c r="F226" t="s">
        <v>392</v>
      </c>
      <c r="G226" t="s">
        <v>877</v>
      </c>
      <c r="H226" t="s">
        <v>878</v>
      </c>
      <c r="I226" t="s">
        <v>879</v>
      </c>
      <c r="J226" t="s">
        <v>880</v>
      </c>
      <c r="K226" t="s">
        <v>881</v>
      </c>
      <c r="L226" t="s">
        <v>882</v>
      </c>
      <c r="M226" t="s">
        <v>883</v>
      </c>
      <c r="N226" t="s">
        <v>884</v>
      </c>
      <c r="O226" t="s">
        <v>885</v>
      </c>
      <c r="P226" t="s">
        <v>886</v>
      </c>
      <c r="Q226" t="s">
        <v>887</v>
      </c>
      <c r="R226" t="s">
        <v>888</v>
      </c>
      <c r="S226" t="s">
        <v>889</v>
      </c>
      <c r="T226" t="s">
        <v>890</v>
      </c>
      <c r="U226" t="s">
        <v>891</v>
      </c>
      <c r="V226" t="s">
        <v>892</v>
      </c>
      <c r="W226" t="s">
        <v>893</v>
      </c>
      <c r="X226" t="s">
        <v>894</v>
      </c>
      <c r="Y226" t="s">
        <v>895</v>
      </c>
      <c r="Z226" t="s">
        <v>896</v>
      </c>
      <c r="AA226" t="s">
        <v>897</v>
      </c>
      <c r="AB226" t="s">
        <v>898</v>
      </c>
      <c r="AC226" t="s">
        <v>93</v>
      </c>
      <c r="AD226" t="s">
        <v>899</v>
      </c>
      <c r="AE226" t="e">
        <v>#VALUE!</v>
      </c>
      <c r="AF226" t="e">
        <v>#VALUE!</v>
      </c>
    </row>
    <row r="227" spans="1:32" x14ac:dyDescent="0.25">
      <c r="A227" s="194" t="s">
        <v>1981</v>
      </c>
      <c r="B227" t="s">
        <v>1982</v>
      </c>
      <c r="C227" t="s">
        <v>1293</v>
      </c>
      <c r="D227" t="s">
        <v>79</v>
      </c>
      <c r="E227" t="s">
        <v>47</v>
      </c>
      <c r="F227" t="s">
        <v>1285</v>
      </c>
      <c r="G227" t="s">
        <v>1480</v>
      </c>
      <c r="H227" t="s">
        <v>1254</v>
      </c>
      <c r="I227" t="s">
        <v>1228</v>
      </c>
      <c r="J227" t="s">
        <v>1009</v>
      </c>
      <c r="K227" t="s">
        <v>1239</v>
      </c>
      <c r="L227" t="s">
        <v>923</v>
      </c>
      <c r="M227" t="s">
        <v>1104</v>
      </c>
      <c r="N227" t="s">
        <v>1100</v>
      </c>
      <c r="O227" t="s">
        <v>1135</v>
      </c>
      <c r="P227" t="s">
        <v>1134</v>
      </c>
      <c r="Q227" t="s">
        <v>961</v>
      </c>
      <c r="R227" t="s">
        <v>1605</v>
      </c>
      <c r="S227" t="s">
        <v>1064</v>
      </c>
      <c r="T227" t="s">
        <v>1310</v>
      </c>
      <c r="U227" t="s">
        <v>1983</v>
      </c>
      <c r="V227" t="s">
        <v>945</v>
      </c>
      <c r="W227" t="s">
        <v>925</v>
      </c>
      <c r="X227" t="s">
        <v>1000</v>
      </c>
      <c r="Y227" t="s">
        <v>987</v>
      </c>
      <c r="Z227" t="s">
        <v>923</v>
      </c>
      <c r="AA227" t="s">
        <v>991</v>
      </c>
      <c r="AB227" t="s">
        <v>918</v>
      </c>
      <c r="AC227" t="s">
        <v>956</v>
      </c>
      <c r="AD227" t="s">
        <v>1040</v>
      </c>
      <c r="AE227">
        <v>10.1</v>
      </c>
      <c r="AF227">
        <v>10.0641</v>
      </c>
    </row>
    <row r="228" spans="1:32" x14ac:dyDescent="0.25">
      <c r="A228" s="191" t="s">
        <v>1984</v>
      </c>
      <c r="B228" t="s">
        <v>290</v>
      </c>
      <c r="C228" t="s">
        <v>995</v>
      </c>
      <c r="D228" t="s">
        <v>97</v>
      </c>
      <c r="E228" t="s">
        <v>47</v>
      </c>
      <c r="F228" t="s">
        <v>1501</v>
      </c>
      <c r="G228" t="s">
        <v>1444</v>
      </c>
      <c r="H228" t="s">
        <v>1985</v>
      </c>
      <c r="I228" t="s">
        <v>1081</v>
      </c>
      <c r="J228" t="s">
        <v>1011</v>
      </c>
      <c r="K228" t="s">
        <v>1261</v>
      </c>
      <c r="L228" t="s">
        <v>934</v>
      </c>
      <c r="M228" t="s">
        <v>987</v>
      </c>
      <c r="N228" t="s">
        <v>1986</v>
      </c>
      <c r="O228" t="s">
        <v>1228</v>
      </c>
      <c r="P228" t="s">
        <v>1023</v>
      </c>
      <c r="Q228" t="s">
        <v>1227</v>
      </c>
      <c r="R228" t="s">
        <v>1042</v>
      </c>
      <c r="S228" t="s">
        <v>1310</v>
      </c>
      <c r="T228" t="s">
        <v>924</v>
      </c>
      <c r="U228" t="s">
        <v>1987</v>
      </c>
      <c r="V228" t="s">
        <v>1049</v>
      </c>
      <c r="W228" t="s">
        <v>970</v>
      </c>
      <c r="X228" t="s">
        <v>1005</v>
      </c>
      <c r="Y228" t="s">
        <v>947</v>
      </c>
      <c r="Z228" t="s">
        <v>922</v>
      </c>
      <c r="AA228" t="s">
        <v>1008</v>
      </c>
      <c r="AB228" t="s">
        <v>1230</v>
      </c>
      <c r="AC228" t="s">
        <v>1104</v>
      </c>
      <c r="AD228" t="s">
        <v>1040</v>
      </c>
      <c r="AE228">
        <v>10.1</v>
      </c>
      <c r="AF228">
        <v>10.083999999999998</v>
      </c>
    </row>
    <row r="229" spans="1:32" x14ac:dyDescent="0.25">
      <c r="A229" s="191" t="s">
        <v>1988</v>
      </c>
      <c r="B229" t="s">
        <v>1989</v>
      </c>
      <c r="C229" t="s">
        <v>1204</v>
      </c>
      <c r="D229" t="s">
        <v>163</v>
      </c>
      <c r="E229" t="s">
        <v>93</v>
      </c>
      <c r="F229" t="s">
        <v>975</v>
      </c>
      <c r="G229" t="s">
        <v>1717</v>
      </c>
      <c r="H229" t="s">
        <v>1579</v>
      </c>
      <c r="I229" t="s">
        <v>992</v>
      </c>
      <c r="J229" t="s">
        <v>988</v>
      </c>
      <c r="K229" t="s">
        <v>1299</v>
      </c>
      <c r="L229" t="s">
        <v>1230</v>
      </c>
      <c r="M229" t="s">
        <v>1160</v>
      </c>
      <c r="N229" t="s">
        <v>1475</v>
      </c>
      <c r="O229" t="s">
        <v>925</v>
      </c>
      <c r="P229" t="s">
        <v>979</v>
      </c>
      <c r="Q229" t="s">
        <v>1990</v>
      </c>
      <c r="R229" t="s">
        <v>1251</v>
      </c>
      <c r="S229" t="s">
        <v>1230</v>
      </c>
      <c r="T229" t="s">
        <v>922</v>
      </c>
      <c r="U229" t="s">
        <v>986</v>
      </c>
      <c r="V229" t="s">
        <v>1230</v>
      </c>
      <c r="W229" t="s">
        <v>946</v>
      </c>
      <c r="X229" t="s">
        <v>1047</v>
      </c>
      <c r="Y229" t="s">
        <v>1008</v>
      </c>
      <c r="Z229" t="s">
        <v>1065</v>
      </c>
      <c r="AA229" t="s">
        <v>1065</v>
      </c>
      <c r="AB229" t="s">
        <v>969</v>
      </c>
      <c r="AC229" t="s">
        <v>1230</v>
      </c>
      <c r="AD229" t="s">
        <v>1450</v>
      </c>
      <c r="AE229">
        <v>10</v>
      </c>
      <c r="AF229">
        <v>10.0075</v>
      </c>
    </row>
    <row r="230" spans="1:32" x14ac:dyDescent="0.25">
      <c r="A230" s="191" t="s">
        <v>1991</v>
      </c>
      <c r="B230" t="s">
        <v>376</v>
      </c>
      <c r="C230" t="s">
        <v>973</v>
      </c>
      <c r="D230" t="s">
        <v>170</v>
      </c>
      <c r="E230" t="s">
        <v>63</v>
      </c>
      <c r="F230" t="s">
        <v>1107</v>
      </c>
      <c r="G230" t="s">
        <v>1107</v>
      </c>
      <c r="H230" t="s">
        <v>1992</v>
      </c>
      <c r="I230" t="s">
        <v>1155</v>
      </c>
      <c r="J230" t="s">
        <v>1010</v>
      </c>
      <c r="K230" t="s">
        <v>1555</v>
      </c>
      <c r="L230" t="s">
        <v>987</v>
      </c>
      <c r="M230" t="s">
        <v>1220</v>
      </c>
      <c r="N230" t="s">
        <v>1993</v>
      </c>
      <c r="O230" t="s">
        <v>1135</v>
      </c>
      <c r="P230" t="s">
        <v>1092</v>
      </c>
      <c r="Q230" t="s">
        <v>1307</v>
      </c>
      <c r="R230" t="s">
        <v>1283</v>
      </c>
      <c r="S230" t="s">
        <v>922</v>
      </c>
      <c r="T230" t="s">
        <v>908</v>
      </c>
      <c r="U230" t="s">
        <v>1994</v>
      </c>
      <c r="V230" t="s">
        <v>1065</v>
      </c>
      <c r="W230" t="s">
        <v>1104</v>
      </c>
      <c r="X230" t="s">
        <v>970</v>
      </c>
      <c r="Y230" t="s">
        <v>920</v>
      </c>
      <c r="Z230" t="s">
        <v>945</v>
      </c>
      <c r="AA230" t="s">
        <v>934</v>
      </c>
      <c r="AB230" t="s">
        <v>922</v>
      </c>
      <c r="AC230" t="s">
        <v>947</v>
      </c>
      <c r="AD230" t="s">
        <v>1450</v>
      </c>
      <c r="AE230">
        <v>10.1</v>
      </c>
      <c r="AF230">
        <v>10.0501</v>
      </c>
    </row>
    <row r="231" spans="1:32" x14ac:dyDescent="0.25">
      <c r="A231" s="191" t="s">
        <v>1995</v>
      </c>
      <c r="B231" t="s">
        <v>1996</v>
      </c>
      <c r="C231" t="s">
        <v>1032</v>
      </c>
      <c r="D231" t="s">
        <v>1279</v>
      </c>
      <c r="E231" t="s">
        <v>47</v>
      </c>
      <c r="F231" t="s">
        <v>1349</v>
      </c>
      <c r="G231" t="s">
        <v>1312</v>
      </c>
      <c r="H231" t="s">
        <v>1231</v>
      </c>
      <c r="I231" t="s">
        <v>1000</v>
      </c>
      <c r="J231" t="s">
        <v>1010</v>
      </c>
      <c r="K231" t="s">
        <v>1467</v>
      </c>
      <c r="L231" t="s">
        <v>1029</v>
      </c>
      <c r="M231" t="s">
        <v>1134</v>
      </c>
      <c r="N231" t="s">
        <v>1997</v>
      </c>
      <c r="O231" t="s">
        <v>968</v>
      </c>
      <c r="P231" t="s">
        <v>979</v>
      </c>
      <c r="Q231" t="s">
        <v>1130</v>
      </c>
      <c r="R231" t="s">
        <v>1091</v>
      </c>
      <c r="S231" t="s">
        <v>1029</v>
      </c>
      <c r="T231" t="s">
        <v>956</v>
      </c>
      <c r="U231" t="s">
        <v>1117</v>
      </c>
      <c r="V231" t="s">
        <v>923</v>
      </c>
      <c r="W231" t="s">
        <v>992</v>
      </c>
      <c r="X231" t="s">
        <v>1211</v>
      </c>
      <c r="Y231" t="s">
        <v>1195</v>
      </c>
      <c r="Z231" t="s">
        <v>923</v>
      </c>
      <c r="AA231" t="s">
        <v>991</v>
      </c>
      <c r="AB231" t="s">
        <v>1064</v>
      </c>
      <c r="AC231" t="s">
        <v>924</v>
      </c>
      <c r="AD231" t="s">
        <v>1450</v>
      </c>
      <c r="AE231">
        <v>10</v>
      </c>
      <c r="AF231">
        <v>10.115400000000001</v>
      </c>
    </row>
    <row r="232" spans="1:32" x14ac:dyDescent="0.25">
      <c r="A232" s="191" t="s">
        <v>1998</v>
      </c>
      <c r="B232" t="s">
        <v>202</v>
      </c>
      <c r="C232" t="s">
        <v>902</v>
      </c>
      <c r="D232" t="s">
        <v>974</v>
      </c>
      <c r="E232" t="s">
        <v>63</v>
      </c>
      <c r="F232" t="s">
        <v>1377</v>
      </c>
      <c r="G232" t="s">
        <v>1176</v>
      </c>
      <c r="H232" t="s">
        <v>1254</v>
      </c>
      <c r="I232" t="s">
        <v>1030</v>
      </c>
      <c r="J232" t="s">
        <v>916</v>
      </c>
      <c r="K232" t="s">
        <v>1941</v>
      </c>
      <c r="L232" t="s">
        <v>1049</v>
      </c>
      <c r="M232" t="s">
        <v>909</v>
      </c>
      <c r="N232" t="s">
        <v>1835</v>
      </c>
      <c r="O232" t="s">
        <v>968</v>
      </c>
      <c r="P232" t="s">
        <v>946</v>
      </c>
      <c r="Q232" t="s">
        <v>1532</v>
      </c>
      <c r="R232" t="s">
        <v>1261</v>
      </c>
      <c r="S232" t="s">
        <v>1065</v>
      </c>
      <c r="T232" t="s">
        <v>1008</v>
      </c>
      <c r="U232" t="s">
        <v>1999</v>
      </c>
      <c r="V232" t="s">
        <v>991</v>
      </c>
      <c r="W232" t="s">
        <v>993</v>
      </c>
      <c r="X232" t="s">
        <v>1135</v>
      </c>
      <c r="Y232" t="s">
        <v>947</v>
      </c>
      <c r="Z232" t="s">
        <v>923</v>
      </c>
      <c r="AA232" t="s">
        <v>1094</v>
      </c>
      <c r="AB232" t="s">
        <v>923</v>
      </c>
      <c r="AC232" t="s">
        <v>968</v>
      </c>
      <c r="AD232" t="s">
        <v>965</v>
      </c>
      <c r="AE232">
        <v>9.8000000000000007</v>
      </c>
      <c r="AF232">
        <v>9.9190000000000005</v>
      </c>
    </row>
    <row r="233" spans="1:32" x14ac:dyDescent="0.25">
      <c r="A233" s="191" t="s">
        <v>1998</v>
      </c>
      <c r="B233" t="s">
        <v>202</v>
      </c>
      <c r="C233" t="s">
        <v>902</v>
      </c>
      <c r="D233" t="s">
        <v>121</v>
      </c>
      <c r="E233" t="s">
        <v>63</v>
      </c>
      <c r="F233" t="s">
        <v>1414</v>
      </c>
      <c r="G233" t="s">
        <v>1175</v>
      </c>
      <c r="H233" t="s">
        <v>2000</v>
      </c>
      <c r="I233" t="s">
        <v>1135</v>
      </c>
      <c r="J233" t="s">
        <v>1026</v>
      </c>
      <c r="K233" t="s">
        <v>1767</v>
      </c>
      <c r="L233" t="s">
        <v>1230</v>
      </c>
      <c r="M233" t="s">
        <v>1134</v>
      </c>
      <c r="N233" t="s">
        <v>1763</v>
      </c>
      <c r="O233" t="s">
        <v>1310</v>
      </c>
      <c r="P233" t="s">
        <v>924</v>
      </c>
      <c r="Q233" t="s">
        <v>2001</v>
      </c>
      <c r="R233" t="s">
        <v>1235</v>
      </c>
      <c r="S233" t="s">
        <v>1065</v>
      </c>
      <c r="T233" t="s">
        <v>1008</v>
      </c>
      <c r="U233" t="s">
        <v>1999</v>
      </c>
      <c r="V233" t="s">
        <v>991</v>
      </c>
      <c r="W233" t="s">
        <v>947</v>
      </c>
      <c r="X233" t="s">
        <v>1104</v>
      </c>
      <c r="Y233" t="s">
        <v>922</v>
      </c>
      <c r="Z233" t="s">
        <v>987</v>
      </c>
      <c r="AA233" t="s">
        <v>991</v>
      </c>
      <c r="AB233" t="s">
        <v>918</v>
      </c>
      <c r="AC233" t="s">
        <v>1029</v>
      </c>
      <c r="AD233" t="s">
        <v>915</v>
      </c>
      <c r="AE233">
        <v>7.8999999999999995</v>
      </c>
      <c r="AF233">
        <v>7.8677999999999999</v>
      </c>
    </row>
    <row r="234" spans="1:32" x14ac:dyDescent="0.25">
      <c r="A234" s="191" t="s">
        <v>1998</v>
      </c>
      <c r="B234" t="s">
        <v>202</v>
      </c>
      <c r="C234" t="s">
        <v>902</v>
      </c>
      <c r="D234" t="s">
        <v>131</v>
      </c>
      <c r="E234" t="s">
        <v>63</v>
      </c>
      <c r="F234" t="s">
        <v>902</v>
      </c>
      <c r="G234" t="s">
        <v>1202</v>
      </c>
      <c r="H234" t="s">
        <v>1591</v>
      </c>
      <c r="I234" t="s">
        <v>920</v>
      </c>
      <c r="J234" t="s">
        <v>905</v>
      </c>
      <c r="K234" t="s">
        <v>1577</v>
      </c>
      <c r="L234" t="s">
        <v>1220</v>
      </c>
      <c r="M234" t="s">
        <v>1026</v>
      </c>
      <c r="N234" t="s">
        <v>1169</v>
      </c>
      <c r="O234" t="s">
        <v>947</v>
      </c>
      <c r="P234" t="s">
        <v>1081</v>
      </c>
      <c r="Q234" t="s">
        <v>1193</v>
      </c>
      <c r="R234" t="s">
        <v>1837</v>
      </c>
      <c r="S234" t="s">
        <v>969</v>
      </c>
      <c r="T234" t="s">
        <v>987</v>
      </c>
      <c r="U234" t="s">
        <v>1999</v>
      </c>
      <c r="V234" t="s">
        <v>991</v>
      </c>
      <c r="W234" t="s">
        <v>1104</v>
      </c>
      <c r="X234" t="s">
        <v>970</v>
      </c>
      <c r="Y234" t="s">
        <v>1048</v>
      </c>
      <c r="Z234" t="s">
        <v>945</v>
      </c>
      <c r="AA234" t="s">
        <v>1094</v>
      </c>
      <c r="AB234" t="s">
        <v>945</v>
      </c>
      <c r="AC234" t="s">
        <v>956</v>
      </c>
      <c r="AD234" t="s">
        <v>1752</v>
      </c>
      <c r="AE234">
        <v>13.3</v>
      </c>
      <c r="AF234">
        <v>13.17</v>
      </c>
    </row>
    <row r="235" spans="1:32" x14ac:dyDescent="0.25">
      <c r="A235" s="191" t="s">
        <v>2002</v>
      </c>
      <c r="B235" t="s">
        <v>298</v>
      </c>
      <c r="C235" t="s">
        <v>1176</v>
      </c>
      <c r="D235" t="s">
        <v>974</v>
      </c>
      <c r="E235" t="s">
        <v>93</v>
      </c>
      <c r="F235" t="s">
        <v>1033</v>
      </c>
      <c r="G235" t="s">
        <v>949</v>
      </c>
      <c r="H235" t="s">
        <v>1389</v>
      </c>
      <c r="I235" t="s">
        <v>992</v>
      </c>
      <c r="J235" t="s">
        <v>1011</v>
      </c>
      <c r="K235" t="s">
        <v>1141</v>
      </c>
      <c r="L235" t="s">
        <v>908</v>
      </c>
      <c r="M235" t="s">
        <v>962</v>
      </c>
      <c r="N235" t="s">
        <v>1538</v>
      </c>
      <c r="O235" t="s">
        <v>1310</v>
      </c>
      <c r="P235" t="s">
        <v>1220</v>
      </c>
      <c r="Q235" t="s">
        <v>914</v>
      </c>
      <c r="R235" t="s">
        <v>1856</v>
      </c>
      <c r="S235" t="s">
        <v>969</v>
      </c>
      <c r="T235" t="s">
        <v>1008</v>
      </c>
      <c r="U235" t="s">
        <v>2003</v>
      </c>
      <c r="V235" t="s">
        <v>969</v>
      </c>
      <c r="W235" t="s">
        <v>1104</v>
      </c>
      <c r="X235" t="s">
        <v>1000</v>
      </c>
      <c r="Y235" t="s">
        <v>1230</v>
      </c>
      <c r="Z235" t="s">
        <v>991</v>
      </c>
      <c r="AA235" t="s">
        <v>934</v>
      </c>
      <c r="AB235" t="s">
        <v>923</v>
      </c>
      <c r="AC235" t="s">
        <v>993</v>
      </c>
      <c r="AD235" t="s">
        <v>965</v>
      </c>
      <c r="AE235">
        <v>9.9</v>
      </c>
      <c r="AF235">
        <v>9.8475000000000001</v>
      </c>
    </row>
    <row r="236" spans="1:32" x14ac:dyDescent="0.25">
      <c r="A236" s="191" t="s">
        <v>2002</v>
      </c>
      <c r="B236" t="s">
        <v>298</v>
      </c>
      <c r="C236" t="s">
        <v>1176</v>
      </c>
      <c r="D236" t="s">
        <v>85</v>
      </c>
      <c r="E236" t="s">
        <v>93</v>
      </c>
      <c r="F236" t="s">
        <v>1177</v>
      </c>
      <c r="G236" t="s">
        <v>901</v>
      </c>
      <c r="H236" t="s">
        <v>1430</v>
      </c>
      <c r="I236" t="s">
        <v>970</v>
      </c>
      <c r="J236" t="s">
        <v>1172</v>
      </c>
      <c r="K236" t="s">
        <v>1358</v>
      </c>
      <c r="L236" t="s">
        <v>968</v>
      </c>
      <c r="M236" t="s">
        <v>1103</v>
      </c>
      <c r="N236" t="s">
        <v>1719</v>
      </c>
      <c r="O236" t="s">
        <v>1310</v>
      </c>
      <c r="P236" t="s">
        <v>924</v>
      </c>
      <c r="Q236" t="s">
        <v>1740</v>
      </c>
      <c r="R236" t="s">
        <v>1807</v>
      </c>
      <c r="S236" t="s">
        <v>1065</v>
      </c>
      <c r="T236" t="s">
        <v>969</v>
      </c>
      <c r="U236" t="s">
        <v>2003</v>
      </c>
      <c r="V236" t="s">
        <v>1008</v>
      </c>
      <c r="W236" t="s">
        <v>1135</v>
      </c>
      <c r="X236" t="s">
        <v>1030</v>
      </c>
      <c r="Y236" t="s">
        <v>1195</v>
      </c>
      <c r="Z236" t="s">
        <v>1094</v>
      </c>
      <c r="AA236" t="s">
        <v>1119</v>
      </c>
      <c r="AB236" t="s">
        <v>918</v>
      </c>
      <c r="AC236" t="s">
        <v>993</v>
      </c>
      <c r="AD236" t="s">
        <v>1062</v>
      </c>
      <c r="AE236">
        <v>8.9</v>
      </c>
      <c r="AF236">
        <v>8.7222000000000008</v>
      </c>
    </row>
    <row r="237" spans="1:32" x14ac:dyDescent="0.25">
      <c r="A237" s="191" t="s">
        <v>2002</v>
      </c>
      <c r="B237" t="s">
        <v>298</v>
      </c>
      <c r="C237" t="s">
        <v>1176</v>
      </c>
      <c r="D237" t="s">
        <v>111</v>
      </c>
      <c r="E237" t="s">
        <v>93</v>
      </c>
      <c r="F237" t="s">
        <v>1015</v>
      </c>
      <c r="G237" t="s">
        <v>928</v>
      </c>
      <c r="H237" t="s">
        <v>2004</v>
      </c>
      <c r="I237" t="s">
        <v>1170</v>
      </c>
      <c r="J237" t="s">
        <v>943</v>
      </c>
      <c r="K237" t="s">
        <v>1840</v>
      </c>
      <c r="L237" t="s">
        <v>1220</v>
      </c>
      <c r="M237" t="s">
        <v>1006</v>
      </c>
      <c r="N237" t="s">
        <v>1767</v>
      </c>
      <c r="O237" t="s">
        <v>1029</v>
      </c>
      <c r="P237" t="s">
        <v>946</v>
      </c>
      <c r="Q237" t="s">
        <v>1131</v>
      </c>
      <c r="R237" t="s">
        <v>1520</v>
      </c>
      <c r="S237" t="s">
        <v>987</v>
      </c>
      <c r="T237" t="s">
        <v>923</v>
      </c>
      <c r="U237" t="s">
        <v>2003</v>
      </c>
      <c r="V237" t="s">
        <v>1065</v>
      </c>
      <c r="W237" t="s">
        <v>993</v>
      </c>
      <c r="X237" t="s">
        <v>1135</v>
      </c>
      <c r="Y237" t="s">
        <v>1029</v>
      </c>
      <c r="Z237" t="s">
        <v>991</v>
      </c>
      <c r="AA237" t="s">
        <v>1094</v>
      </c>
      <c r="AB237" t="s">
        <v>945</v>
      </c>
      <c r="AC237" t="s">
        <v>1012</v>
      </c>
      <c r="AD237" t="s">
        <v>1076</v>
      </c>
      <c r="AE237">
        <v>12.100000000000001</v>
      </c>
      <c r="AF237">
        <v>12.070399999999998</v>
      </c>
    </row>
    <row r="238" spans="1:32" x14ac:dyDescent="0.25">
      <c r="A238" s="191" t="s">
        <v>2005</v>
      </c>
      <c r="B238" t="s">
        <v>2006</v>
      </c>
      <c r="C238" t="s">
        <v>1032</v>
      </c>
      <c r="D238" t="s">
        <v>70</v>
      </c>
      <c r="E238" t="s">
        <v>47</v>
      </c>
      <c r="F238" t="s">
        <v>1416</v>
      </c>
      <c r="G238" t="s">
        <v>950</v>
      </c>
      <c r="H238" t="s">
        <v>1914</v>
      </c>
      <c r="I238" t="s">
        <v>1000</v>
      </c>
      <c r="J238" t="s">
        <v>1027</v>
      </c>
      <c r="K238" t="s">
        <v>1797</v>
      </c>
      <c r="L238" t="s">
        <v>925</v>
      </c>
      <c r="M238" t="s">
        <v>1126</v>
      </c>
      <c r="N238" t="s">
        <v>1909</v>
      </c>
      <c r="O238" t="s">
        <v>945</v>
      </c>
      <c r="P238" t="s">
        <v>947</v>
      </c>
      <c r="Q238" t="s">
        <v>1022</v>
      </c>
      <c r="R238" t="s">
        <v>1209</v>
      </c>
      <c r="S238" t="s">
        <v>923</v>
      </c>
      <c r="T238" t="s">
        <v>1064</v>
      </c>
      <c r="U238" t="s">
        <v>2007</v>
      </c>
      <c r="V238" t="s">
        <v>987</v>
      </c>
      <c r="W238" t="s">
        <v>946</v>
      </c>
      <c r="X238" t="s">
        <v>1160</v>
      </c>
      <c r="Y238" t="s">
        <v>1230</v>
      </c>
      <c r="Z238" t="s">
        <v>1008</v>
      </c>
      <c r="AA238" t="s">
        <v>991</v>
      </c>
      <c r="AB238" t="s">
        <v>918</v>
      </c>
      <c r="AC238" t="s">
        <v>1230</v>
      </c>
      <c r="AD238" t="s">
        <v>965</v>
      </c>
      <c r="AE238">
        <v>10</v>
      </c>
      <c r="AF238">
        <v>9.8931000000000004</v>
      </c>
    </row>
    <row r="239" spans="1:32" x14ac:dyDescent="0.25">
      <c r="A239" s="191" t="s">
        <v>2008</v>
      </c>
      <c r="B239" t="s">
        <v>350</v>
      </c>
      <c r="C239" t="s">
        <v>1084</v>
      </c>
      <c r="D239" t="s">
        <v>156</v>
      </c>
      <c r="E239" t="s">
        <v>56</v>
      </c>
      <c r="F239" t="s">
        <v>1033</v>
      </c>
      <c r="G239" t="s">
        <v>1245</v>
      </c>
      <c r="H239" t="s">
        <v>1153</v>
      </c>
      <c r="I239" t="s">
        <v>992</v>
      </c>
      <c r="J239" t="s">
        <v>1028</v>
      </c>
      <c r="K239" t="s">
        <v>1537</v>
      </c>
      <c r="L239" t="s">
        <v>1064</v>
      </c>
      <c r="M239" t="s">
        <v>1104</v>
      </c>
      <c r="N239" t="s">
        <v>1225</v>
      </c>
      <c r="O239" t="s">
        <v>993</v>
      </c>
      <c r="P239" t="s">
        <v>957</v>
      </c>
      <c r="Q239" t="s">
        <v>1171</v>
      </c>
      <c r="R239" t="s">
        <v>1184</v>
      </c>
      <c r="S239" t="s">
        <v>1310</v>
      </c>
      <c r="T239" t="s">
        <v>925</v>
      </c>
      <c r="U239" t="s">
        <v>2009</v>
      </c>
      <c r="V239" t="s">
        <v>987</v>
      </c>
      <c r="W239" t="s">
        <v>993</v>
      </c>
      <c r="X239" t="s">
        <v>970</v>
      </c>
      <c r="Y239" t="s">
        <v>1103</v>
      </c>
      <c r="Z239" t="s">
        <v>1195</v>
      </c>
      <c r="AA239" t="s">
        <v>991</v>
      </c>
      <c r="AB239" t="s">
        <v>922</v>
      </c>
      <c r="AC239" t="s">
        <v>1012</v>
      </c>
      <c r="AD239" t="s">
        <v>965</v>
      </c>
      <c r="AE239">
        <v>9.8000000000000007</v>
      </c>
      <c r="AF239">
        <v>9.8666</v>
      </c>
    </row>
    <row r="240" spans="1:32" x14ac:dyDescent="0.25">
      <c r="A240" s="191" t="s">
        <v>2010</v>
      </c>
      <c r="B240" t="s">
        <v>2011</v>
      </c>
      <c r="C240" t="s">
        <v>1238</v>
      </c>
      <c r="D240" t="s">
        <v>1149</v>
      </c>
      <c r="E240" t="s">
        <v>63</v>
      </c>
      <c r="F240" t="s">
        <v>1255</v>
      </c>
      <c r="G240" t="s">
        <v>1293</v>
      </c>
      <c r="H240" t="s">
        <v>1347</v>
      </c>
      <c r="I240" t="s">
        <v>1030</v>
      </c>
      <c r="J240" t="s">
        <v>1072</v>
      </c>
      <c r="K240" t="s">
        <v>1595</v>
      </c>
      <c r="L240" t="s">
        <v>922</v>
      </c>
      <c r="M240" t="s">
        <v>1005</v>
      </c>
      <c r="N240" t="s">
        <v>1267</v>
      </c>
      <c r="O240" t="s">
        <v>956</v>
      </c>
      <c r="P240" t="s">
        <v>1103</v>
      </c>
      <c r="Q240" t="s">
        <v>978</v>
      </c>
      <c r="R240" t="s">
        <v>1420</v>
      </c>
      <c r="S240" t="s">
        <v>1008</v>
      </c>
      <c r="T240" t="s">
        <v>987</v>
      </c>
      <c r="U240" t="s">
        <v>2012</v>
      </c>
      <c r="V240" t="s">
        <v>934</v>
      </c>
      <c r="W240" t="s">
        <v>1049</v>
      </c>
      <c r="X240" t="s">
        <v>908</v>
      </c>
      <c r="Y240" t="s">
        <v>924</v>
      </c>
      <c r="Z240" t="s">
        <v>1094</v>
      </c>
      <c r="AA240" t="s">
        <v>1119</v>
      </c>
      <c r="AB240" t="s">
        <v>1230</v>
      </c>
      <c r="AC240" t="s">
        <v>1195</v>
      </c>
      <c r="AD240" t="s">
        <v>965</v>
      </c>
      <c r="AE240">
        <v>9.7999999999999989</v>
      </c>
      <c r="AF240">
        <v>9.91</v>
      </c>
    </row>
    <row r="241" spans="1:32" x14ac:dyDescent="0.25">
      <c r="A241" s="191" t="s">
        <v>2013</v>
      </c>
      <c r="B241" t="s">
        <v>2014</v>
      </c>
      <c r="C241" t="s">
        <v>1232</v>
      </c>
      <c r="D241" t="s">
        <v>77</v>
      </c>
      <c r="E241" t="s">
        <v>56</v>
      </c>
      <c r="F241" t="s">
        <v>1416</v>
      </c>
      <c r="G241" t="s">
        <v>1489</v>
      </c>
      <c r="H241" t="s">
        <v>1591</v>
      </c>
      <c r="I241" t="s">
        <v>1030</v>
      </c>
      <c r="J241" t="s">
        <v>1035</v>
      </c>
      <c r="K241" t="s">
        <v>1206</v>
      </c>
      <c r="L241" t="s">
        <v>922</v>
      </c>
      <c r="M241" t="s">
        <v>920</v>
      </c>
      <c r="N241" t="s">
        <v>1156</v>
      </c>
      <c r="O241" t="s">
        <v>956</v>
      </c>
      <c r="P241" t="s">
        <v>1081</v>
      </c>
      <c r="Q241" t="s">
        <v>1426</v>
      </c>
      <c r="R241" t="s">
        <v>1021</v>
      </c>
      <c r="S241" t="s">
        <v>987</v>
      </c>
      <c r="T241" t="s">
        <v>923</v>
      </c>
      <c r="U241" t="s">
        <v>2015</v>
      </c>
      <c r="V241" t="s">
        <v>991</v>
      </c>
      <c r="W241" t="s">
        <v>1155</v>
      </c>
      <c r="X241" t="s">
        <v>1081</v>
      </c>
      <c r="Y241" t="s">
        <v>1103</v>
      </c>
      <c r="Z241" t="s">
        <v>1008</v>
      </c>
      <c r="AA241" t="s">
        <v>1094</v>
      </c>
      <c r="AB241" t="s">
        <v>922</v>
      </c>
      <c r="AC241" t="s">
        <v>947</v>
      </c>
      <c r="AD241" t="s">
        <v>997</v>
      </c>
      <c r="AE241">
        <v>9.9</v>
      </c>
      <c r="AF241">
        <v>9.7919999999999998</v>
      </c>
    </row>
    <row r="242" spans="1:32" x14ac:dyDescent="0.25">
      <c r="A242" s="191" t="s">
        <v>2501</v>
      </c>
      <c r="B242" t="s">
        <v>2502</v>
      </c>
      <c r="C242" t="s">
        <v>1015</v>
      </c>
      <c r="D242" t="s">
        <v>1223</v>
      </c>
      <c r="E242" t="s">
        <v>72</v>
      </c>
      <c r="F242" t="s">
        <v>903</v>
      </c>
      <c r="G242" t="s">
        <v>1051</v>
      </c>
      <c r="H242" t="s">
        <v>1487</v>
      </c>
      <c r="I242" t="s">
        <v>1049</v>
      </c>
      <c r="J242" t="s">
        <v>1030</v>
      </c>
      <c r="K242" t="s">
        <v>1308</v>
      </c>
      <c r="L242" t="s">
        <v>1600</v>
      </c>
      <c r="M242" t="s">
        <v>1119</v>
      </c>
      <c r="N242" t="s">
        <v>1719</v>
      </c>
      <c r="O242" t="s">
        <v>1049</v>
      </c>
      <c r="P242" t="s">
        <v>992</v>
      </c>
      <c r="Q242" t="s">
        <v>1180</v>
      </c>
      <c r="R242" t="s">
        <v>1395</v>
      </c>
      <c r="S242" t="s">
        <v>1008</v>
      </c>
      <c r="T242" t="s">
        <v>1195</v>
      </c>
      <c r="U242" t="s">
        <v>1504</v>
      </c>
      <c r="V242" t="s">
        <v>924</v>
      </c>
      <c r="W242" t="s">
        <v>992</v>
      </c>
      <c r="X242" t="s">
        <v>1059</v>
      </c>
      <c r="Y242" t="s">
        <v>1029</v>
      </c>
      <c r="Z242" t="s">
        <v>969</v>
      </c>
      <c r="AA242" t="s">
        <v>1065</v>
      </c>
      <c r="AB242" t="s">
        <v>1065</v>
      </c>
      <c r="AC242" t="s">
        <v>956</v>
      </c>
      <c r="AD242" t="s">
        <v>1047</v>
      </c>
      <c r="AE242">
        <v>4.5</v>
      </c>
      <c r="AF242">
        <v>4.5710000000000006</v>
      </c>
    </row>
    <row r="243" spans="1:32" x14ac:dyDescent="0.25">
      <c r="A243" s="191" t="s">
        <v>2018</v>
      </c>
      <c r="B243" t="s">
        <v>2019</v>
      </c>
      <c r="C243" t="s">
        <v>1293</v>
      </c>
      <c r="D243" t="s">
        <v>79</v>
      </c>
      <c r="E243" t="s">
        <v>63</v>
      </c>
      <c r="F243" t="s">
        <v>1052</v>
      </c>
      <c r="G243" t="s">
        <v>1147</v>
      </c>
      <c r="H243" t="s">
        <v>1254</v>
      </c>
      <c r="I243" t="s">
        <v>970</v>
      </c>
      <c r="J243" t="s">
        <v>1128</v>
      </c>
      <c r="K243" t="s">
        <v>1916</v>
      </c>
      <c r="L243" t="s">
        <v>1230</v>
      </c>
      <c r="M243" t="s">
        <v>1000</v>
      </c>
      <c r="N243" t="s">
        <v>1564</v>
      </c>
      <c r="O243" t="s">
        <v>1049</v>
      </c>
      <c r="P243" t="s">
        <v>1030</v>
      </c>
      <c r="Q243" t="s">
        <v>1352</v>
      </c>
      <c r="R243" t="s">
        <v>1218</v>
      </c>
      <c r="S243" t="s">
        <v>1029</v>
      </c>
      <c r="T243" t="s">
        <v>968</v>
      </c>
      <c r="U243" t="s">
        <v>2020</v>
      </c>
      <c r="V243" t="s">
        <v>991</v>
      </c>
      <c r="W243" t="s">
        <v>968</v>
      </c>
      <c r="X243" t="s">
        <v>925</v>
      </c>
      <c r="Y243" t="s">
        <v>1064</v>
      </c>
      <c r="Z243" t="s">
        <v>969</v>
      </c>
      <c r="AA243" t="s">
        <v>1119</v>
      </c>
      <c r="AB243" t="s">
        <v>969</v>
      </c>
      <c r="AC243" t="s">
        <v>922</v>
      </c>
      <c r="AD243" t="s">
        <v>943</v>
      </c>
      <c r="AE243">
        <v>9.6</v>
      </c>
      <c r="AF243">
        <v>9.690199999999999</v>
      </c>
    </row>
    <row r="244" spans="1:32" x14ac:dyDescent="0.25">
      <c r="A244" s="191" t="s">
        <v>2021</v>
      </c>
      <c r="B244" t="s">
        <v>2022</v>
      </c>
      <c r="C244" t="s">
        <v>1245</v>
      </c>
      <c r="D244" t="s">
        <v>974</v>
      </c>
      <c r="E244" t="s">
        <v>63</v>
      </c>
      <c r="F244" t="s">
        <v>1459</v>
      </c>
      <c r="G244" t="s">
        <v>1068</v>
      </c>
      <c r="H244" t="s">
        <v>1734</v>
      </c>
      <c r="I244" t="s">
        <v>1048</v>
      </c>
      <c r="J244" t="s">
        <v>1009</v>
      </c>
      <c r="K244" t="s">
        <v>1908</v>
      </c>
      <c r="L244" t="s">
        <v>1310</v>
      </c>
      <c r="M244" t="s">
        <v>1228</v>
      </c>
      <c r="N244" t="s">
        <v>2023</v>
      </c>
      <c r="O244" t="s">
        <v>968</v>
      </c>
      <c r="P244" t="s">
        <v>979</v>
      </c>
      <c r="Q244" t="s">
        <v>1476</v>
      </c>
      <c r="R244" t="s">
        <v>1144</v>
      </c>
      <c r="S244" t="s">
        <v>922</v>
      </c>
      <c r="T244" t="s">
        <v>1049</v>
      </c>
      <c r="U244" t="s">
        <v>1366</v>
      </c>
      <c r="V244" t="s">
        <v>1065</v>
      </c>
      <c r="W244" t="s">
        <v>1104</v>
      </c>
      <c r="X244" t="s">
        <v>970</v>
      </c>
      <c r="Y244" t="s">
        <v>1049</v>
      </c>
      <c r="Z244" t="s">
        <v>987</v>
      </c>
      <c r="AA244" t="s">
        <v>991</v>
      </c>
      <c r="AB244" t="s">
        <v>1064</v>
      </c>
      <c r="AC244" t="s">
        <v>1310</v>
      </c>
      <c r="AD244" t="s">
        <v>980</v>
      </c>
      <c r="AE244">
        <v>9.6</v>
      </c>
      <c r="AF244">
        <v>9.5876999999999981</v>
      </c>
    </row>
    <row r="245" spans="1:32" x14ac:dyDescent="0.25">
      <c r="A245" s="191" t="s">
        <v>2021</v>
      </c>
      <c r="B245" t="s">
        <v>2022</v>
      </c>
      <c r="C245" t="s">
        <v>1245</v>
      </c>
      <c r="D245" t="s">
        <v>1014</v>
      </c>
      <c r="E245" t="s">
        <v>63</v>
      </c>
      <c r="F245" t="s">
        <v>1123</v>
      </c>
      <c r="G245" t="s">
        <v>973</v>
      </c>
      <c r="H245" t="s">
        <v>1922</v>
      </c>
      <c r="I245" t="s">
        <v>1104</v>
      </c>
      <c r="J245" t="s">
        <v>1044</v>
      </c>
      <c r="K245" t="s">
        <v>1297</v>
      </c>
      <c r="L245" t="s">
        <v>1195</v>
      </c>
      <c r="M245" t="s">
        <v>979</v>
      </c>
      <c r="N245" t="s">
        <v>981</v>
      </c>
      <c r="O245" t="s">
        <v>1310</v>
      </c>
      <c r="P245" t="s">
        <v>1220</v>
      </c>
      <c r="Q245" t="s">
        <v>1004</v>
      </c>
      <c r="R245" t="s">
        <v>1209</v>
      </c>
      <c r="S245" t="s">
        <v>1029</v>
      </c>
      <c r="T245" t="s">
        <v>1049</v>
      </c>
      <c r="U245" t="s">
        <v>1521</v>
      </c>
      <c r="V245" t="s">
        <v>1065</v>
      </c>
      <c r="W245" t="s">
        <v>908</v>
      </c>
      <c r="X245" t="s">
        <v>1220</v>
      </c>
      <c r="Y245" t="s">
        <v>1230</v>
      </c>
      <c r="Z245" t="s">
        <v>987</v>
      </c>
      <c r="AA245" t="s">
        <v>1065</v>
      </c>
      <c r="AB245" t="s">
        <v>987</v>
      </c>
      <c r="AC245" t="s">
        <v>1029</v>
      </c>
      <c r="AD245" t="s">
        <v>1182</v>
      </c>
      <c r="AE245">
        <v>8.5</v>
      </c>
      <c r="AF245">
        <v>8.5273000000000003</v>
      </c>
    </row>
    <row r="246" spans="1:32" x14ac:dyDescent="0.25">
      <c r="A246" s="191" t="s">
        <v>2021</v>
      </c>
      <c r="B246" t="s">
        <v>2022</v>
      </c>
      <c r="C246" t="s">
        <v>1245</v>
      </c>
      <c r="D246" t="s">
        <v>151</v>
      </c>
      <c r="E246" t="s">
        <v>63</v>
      </c>
      <c r="F246" t="s">
        <v>1204</v>
      </c>
      <c r="G246" t="s">
        <v>1121</v>
      </c>
      <c r="H246" t="s">
        <v>948</v>
      </c>
      <c r="I246" t="s">
        <v>1160</v>
      </c>
      <c r="J246" t="s">
        <v>1832</v>
      </c>
      <c r="K246" t="s">
        <v>1266</v>
      </c>
      <c r="L246" t="s">
        <v>922</v>
      </c>
      <c r="M246" t="s">
        <v>957</v>
      </c>
      <c r="N246" t="s">
        <v>1870</v>
      </c>
      <c r="O246" t="s">
        <v>925</v>
      </c>
      <c r="P246" t="s">
        <v>957</v>
      </c>
      <c r="Q246" t="s">
        <v>1776</v>
      </c>
      <c r="R246" t="s">
        <v>2024</v>
      </c>
      <c r="S246" t="s">
        <v>968</v>
      </c>
      <c r="T246" t="s">
        <v>956</v>
      </c>
      <c r="U246" t="s">
        <v>2025</v>
      </c>
      <c r="V246" t="s">
        <v>991</v>
      </c>
      <c r="W246" t="s">
        <v>1155</v>
      </c>
      <c r="X246" t="s">
        <v>1081</v>
      </c>
      <c r="Y246" t="s">
        <v>993</v>
      </c>
      <c r="Z246" t="s">
        <v>918</v>
      </c>
      <c r="AA246" t="s">
        <v>1094</v>
      </c>
      <c r="AB246" t="s">
        <v>1310</v>
      </c>
      <c r="AC246" t="s">
        <v>1195</v>
      </c>
      <c r="AD246" t="s">
        <v>953</v>
      </c>
      <c r="AE246">
        <v>11.3</v>
      </c>
      <c r="AF246">
        <v>11.152200000000001</v>
      </c>
    </row>
    <row r="247" spans="1:32" x14ac:dyDescent="0.25">
      <c r="A247" s="194" t="s">
        <v>2026</v>
      </c>
      <c r="B247" t="s">
        <v>185</v>
      </c>
      <c r="C247" t="s">
        <v>1245</v>
      </c>
      <c r="D247" t="s">
        <v>45</v>
      </c>
      <c r="E247" t="s">
        <v>72</v>
      </c>
      <c r="F247" t="s">
        <v>1052</v>
      </c>
      <c r="G247" t="s">
        <v>1293</v>
      </c>
      <c r="H247" t="s">
        <v>1408</v>
      </c>
      <c r="I247" t="s">
        <v>992</v>
      </c>
      <c r="J247" t="s">
        <v>1026</v>
      </c>
      <c r="K247" t="s">
        <v>2024</v>
      </c>
      <c r="L247" t="s">
        <v>1064</v>
      </c>
      <c r="M247" t="s">
        <v>946</v>
      </c>
      <c r="N247" t="s">
        <v>1406</v>
      </c>
      <c r="O247" t="s">
        <v>993</v>
      </c>
      <c r="P247" t="s">
        <v>919</v>
      </c>
      <c r="Q247" t="s">
        <v>2027</v>
      </c>
      <c r="R247" t="s">
        <v>955</v>
      </c>
      <c r="S247" t="s">
        <v>1195</v>
      </c>
      <c r="T247" t="s">
        <v>956</v>
      </c>
      <c r="U247" t="s">
        <v>2028</v>
      </c>
      <c r="V247" t="s">
        <v>1029</v>
      </c>
      <c r="W247" t="s">
        <v>1211</v>
      </c>
      <c r="X247" t="s">
        <v>1059</v>
      </c>
      <c r="Y247" t="s">
        <v>1049</v>
      </c>
      <c r="Z247" t="s">
        <v>1008</v>
      </c>
      <c r="AA247" t="s">
        <v>1094</v>
      </c>
      <c r="AB247" t="s">
        <v>1230</v>
      </c>
      <c r="AC247" t="s">
        <v>924</v>
      </c>
      <c r="AD247" t="s">
        <v>980</v>
      </c>
      <c r="AE247">
        <v>9.6000000000000014</v>
      </c>
      <c r="AF247">
        <v>9.5898000000000003</v>
      </c>
    </row>
    <row r="248" spans="1:32" x14ac:dyDescent="0.25">
      <c r="A248" s="191" t="s">
        <v>2029</v>
      </c>
      <c r="B248" t="s">
        <v>2030</v>
      </c>
      <c r="C248" t="s">
        <v>1032</v>
      </c>
      <c r="D248" t="s">
        <v>1279</v>
      </c>
      <c r="E248" t="s">
        <v>47</v>
      </c>
      <c r="F248" t="s">
        <v>1015</v>
      </c>
      <c r="G248" t="s">
        <v>1717</v>
      </c>
      <c r="H248" t="s">
        <v>1302</v>
      </c>
      <c r="I248" t="s">
        <v>1000</v>
      </c>
      <c r="J248" t="s">
        <v>915</v>
      </c>
      <c r="K248" t="s">
        <v>1908</v>
      </c>
      <c r="L248" t="s">
        <v>918</v>
      </c>
      <c r="M248" t="s">
        <v>1104</v>
      </c>
      <c r="N248" t="s">
        <v>1503</v>
      </c>
      <c r="O248" t="s">
        <v>993</v>
      </c>
      <c r="P248" t="s">
        <v>1005</v>
      </c>
      <c r="Q248" t="s">
        <v>1565</v>
      </c>
      <c r="R248" t="s">
        <v>1420</v>
      </c>
      <c r="S248" t="s">
        <v>956</v>
      </c>
      <c r="T248" t="s">
        <v>1012</v>
      </c>
      <c r="U248" t="s">
        <v>2031</v>
      </c>
      <c r="V248" t="s">
        <v>1064</v>
      </c>
      <c r="W248" t="s">
        <v>946</v>
      </c>
      <c r="X248" t="s">
        <v>1170</v>
      </c>
      <c r="Y248" t="s">
        <v>956</v>
      </c>
      <c r="Z248" t="s">
        <v>918</v>
      </c>
      <c r="AA248" t="s">
        <v>991</v>
      </c>
      <c r="AB248" t="s">
        <v>1230</v>
      </c>
      <c r="AC248" t="s">
        <v>956</v>
      </c>
      <c r="AD248" t="s">
        <v>1072</v>
      </c>
      <c r="AE248">
        <v>9.6999999999999993</v>
      </c>
      <c r="AF248">
        <v>9.5766000000000009</v>
      </c>
    </row>
    <row r="249" spans="1:32" x14ac:dyDescent="0.25">
      <c r="A249" s="191" t="s">
        <v>2032</v>
      </c>
      <c r="B249" t="s">
        <v>2033</v>
      </c>
      <c r="C249" t="s">
        <v>1084</v>
      </c>
      <c r="D249" t="s">
        <v>129</v>
      </c>
      <c r="E249" t="s">
        <v>56</v>
      </c>
      <c r="F249" t="s">
        <v>1446</v>
      </c>
      <c r="G249" t="s">
        <v>1106</v>
      </c>
      <c r="H249" t="s">
        <v>1174</v>
      </c>
      <c r="I249" t="s">
        <v>979</v>
      </c>
      <c r="J249" t="s">
        <v>1182</v>
      </c>
      <c r="K249" t="s">
        <v>1538</v>
      </c>
      <c r="L249" t="s">
        <v>968</v>
      </c>
      <c r="M249" t="s">
        <v>1046</v>
      </c>
      <c r="N249" t="s">
        <v>2034</v>
      </c>
      <c r="O249" t="s">
        <v>922</v>
      </c>
      <c r="P249" t="s">
        <v>1030</v>
      </c>
      <c r="Q249" t="s">
        <v>1665</v>
      </c>
      <c r="R249" t="s">
        <v>1091</v>
      </c>
      <c r="S249" t="s">
        <v>987</v>
      </c>
      <c r="T249" t="s">
        <v>923</v>
      </c>
      <c r="U249" t="s">
        <v>1421</v>
      </c>
      <c r="V249" t="s">
        <v>1008</v>
      </c>
      <c r="W249" t="s">
        <v>968</v>
      </c>
      <c r="X249" t="s">
        <v>993</v>
      </c>
      <c r="Y249" t="s">
        <v>964</v>
      </c>
      <c r="Z249" t="s">
        <v>923</v>
      </c>
      <c r="AA249" t="s">
        <v>1094</v>
      </c>
      <c r="AB249" t="s">
        <v>969</v>
      </c>
      <c r="AC249" t="s">
        <v>922</v>
      </c>
      <c r="AD249" t="s">
        <v>1072</v>
      </c>
      <c r="AE249">
        <v>9.6000000000000014</v>
      </c>
      <c r="AF249">
        <v>9.513300000000001</v>
      </c>
    </row>
    <row r="250" spans="1:32" x14ac:dyDescent="0.25">
      <c r="A250" s="191" t="s">
        <v>2035</v>
      </c>
      <c r="B250" t="s">
        <v>116</v>
      </c>
      <c r="C250" t="s">
        <v>1084</v>
      </c>
      <c r="D250" t="s">
        <v>1279</v>
      </c>
      <c r="E250" t="s">
        <v>93</v>
      </c>
      <c r="F250" t="s">
        <v>1033</v>
      </c>
      <c r="G250" t="s">
        <v>995</v>
      </c>
      <c r="H250" t="s">
        <v>1196</v>
      </c>
      <c r="I250" t="s">
        <v>946</v>
      </c>
      <c r="J250" t="s">
        <v>1011</v>
      </c>
      <c r="K250" t="s">
        <v>1225</v>
      </c>
      <c r="L250" t="s">
        <v>1310</v>
      </c>
      <c r="M250" t="s">
        <v>1211</v>
      </c>
      <c r="N250" t="s">
        <v>1089</v>
      </c>
      <c r="O250" t="s">
        <v>1029</v>
      </c>
      <c r="P250" t="s">
        <v>970</v>
      </c>
      <c r="Q250" t="s">
        <v>1300</v>
      </c>
      <c r="R250" t="s">
        <v>1451</v>
      </c>
      <c r="S250" t="s">
        <v>922</v>
      </c>
      <c r="T250" t="s">
        <v>908</v>
      </c>
      <c r="U250" t="s">
        <v>1597</v>
      </c>
      <c r="V250" t="s">
        <v>918</v>
      </c>
      <c r="W250" t="s">
        <v>993</v>
      </c>
      <c r="X250" t="s">
        <v>1000</v>
      </c>
      <c r="Y250" t="s">
        <v>968</v>
      </c>
      <c r="Z250" t="s">
        <v>1065</v>
      </c>
      <c r="AA250" t="s">
        <v>1119</v>
      </c>
      <c r="AB250" t="s">
        <v>923</v>
      </c>
      <c r="AC250" t="s">
        <v>908</v>
      </c>
      <c r="AD250" t="s">
        <v>1072</v>
      </c>
      <c r="AE250">
        <v>9.4</v>
      </c>
      <c r="AF250">
        <v>9.4467999999999996</v>
      </c>
    </row>
    <row r="251" spans="1:32" x14ac:dyDescent="0.25">
      <c r="A251" s="191" t="s">
        <v>2036</v>
      </c>
      <c r="B251" t="s">
        <v>2037</v>
      </c>
      <c r="C251" t="s">
        <v>902</v>
      </c>
      <c r="D251" t="s">
        <v>102</v>
      </c>
      <c r="E251" t="s">
        <v>63</v>
      </c>
      <c r="F251" t="s">
        <v>1416</v>
      </c>
      <c r="G251" t="s">
        <v>1106</v>
      </c>
      <c r="H251" t="s">
        <v>1874</v>
      </c>
      <c r="I251" t="s">
        <v>970</v>
      </c>
      <c r="J251" t="s">
        <v>1028</v>
      </c>
      <c r="K251" t="s">
        <v>1018</v>
      </c>
      <c r="L251" t="s">
        <v>922</v>
      </c>
      <c r="M251" t="s">
        <v>1047</v>
      </c>
      <c r="N251" t="s">
        <v>1679</v>
      </c>
      <c r="O251" t="s">
        <v>1029</v>
      </c>
      <c r="P251" t="s">
        <v>1135</v>
      </c>
      <c r="Q251" t="s">
        <v>1551</v>
      </c>
      <c r="R251" t="s">
        <v>1184</v>
      </c>
      <c r="S251" t="s">
        <v>1064</v>
      </c>
      <c r="T251" t="s">
        <v>1230</v>
      </c>
      <c r="U251" t="s">
        <v>1593</v>
      </c>
      <c r="V251" t="s">
        <v>1008</v>
      </c>
      <c r="W251" t="s">
        <v>1012</v>
      </c>
      <c r="X251" t="s">
        <v>1048</v>
      </c>
      <c r="Y251" t="s">
        <v>1220</v>
      </c>
      <c r="Z251" t="s">
        <v>969</v>
      </c>
      <c r="AA251" t="s">
        <v>991</v>
      </c>
      <c r="AB251" t="s">
        <v>945</v>
      </c>
      <c r="AC251" t="s">
        <v>922</v>
      </c>
      <c r="AD251" t="s">
        <v>1832</v>
      </c>
      <c r="AE251">
        <v>9.3999999999999986</v>
      </c>
      <c r="AF251">
        <v>9.3795000000000019</v>
      </c>
    </row>
    <row r="252" spans="1:32" x14ac:dyDescent="0.25">
      <c r="A252" s="191" t="s">
        <v>2038</v>
      </c>
      <c r="B252" t="s">
        <v>2039</v>
      </c>
      <c r="C252" t="s">
        <v>1084</v>
      </c>
      <c r="D252" t="s">
        <v>142</v>
      </c>
      <c r="E252" t="s">
        <v>56</v>
      </c>
      <c r="F252" t="s">
        <v>930</v>
      </c>
      <c r="G252" t="s">
        <v>995</v>
      </c>
      <c r="H252" t="s">
        <v>1540</v>
      </c>
      <c r="I252" t="s">
        <v>1000</v>
      </c>
      <c r="J252" t="s">
        <v>1027</v>
      </c>
      <c r="K252" t="s">
        <v>2040</v>
      </c>
      <c r="L252" t="s">
        <v>1064</v>
      </c>
      <c r="M252" t="s">
        <v>970</v>
      </c>
      <c r="N252" t="s">
        <v>1886</v>
      </c>
      <c r="O252" t="s">
        <v>947</v>
      </c>
      <c r="P252" t="s">
        <v>1046</v>
      </c>
      <c r="Q252" t="s">
        <v>1916</v>
      </c>
      <c r="R252" t="s">
        <v>1158</v>
      </c>
      <c r="S252" t="s">
        <v>1230</v>
      </c>
      <c r="T252" t="s">
        <v>922</v>
      </c>
      <c r="U252" t="s">
        <v>1276</v>
      </c>
      <c r="V252" t="s">
        <v>1008</v>
      </c>
      <c r="W252" t="s">
        <v>924</v>
      </c>
      <c r="X252" t="s">
        <v>1135</v>
      </c>
      <c r="Y252" t="s">
        <v>964</v>
      </c>
      <c r="Z252" t="s">
        <v>1008</v>
      </c>
      <c r="AA252" t="s">
        <v>1065</v>
      </c>
      <c r="AB252" t="s">
        <v>1310</v>
      </c>
      <c r="AC252" t="s">
        <v>947</v>
      </c>
      <c r="AD252" t="s">
        <v>1832</v>
      </c>
      <c r="AE252">
        <v>9.3000000000000007</v>
      </c>
      <c r="AF252">
        <v>9.4153999999999982</v>
      </c>
    </row>
    <row r="253" spans="1:32" x14ac:dyDescent="0.25">
      <c r="A253" s="191" t="s">
        <v>2041</v>
      </c>
      <c r="B253" t="s">
        <v>2042</v>
      </c>
      <c r="C253" t="s">
        <v>1245</v>
      </c>
      <c r="D253" t="s">
        <v>142</v>
      </c>
      <c r="E253" t="s">
        <v>56</v>
      </c>
      <c r="F253" t="s">
        <v>1459</v>
      </c>
      <c r="G253" t="s">
        <v>1106</v>
      </c>
      <c r="H253" t="s">
        <v>1264</v>
      </c>
      <c r="I253" t="s">
        <v>1000</v>
      </c>
      <c r="J253" t="s">
        <v>915</v>
      </c>
      <c r="K253" t="s">
        <v>1419</v>
      </c>
      <c r="L253" t="s">
        <v>987</v>
      </c>
      <c r="M253" t="s">
        <v>993</v>
      </c>
      <c r="N253" t="s">
        <v>1791</v>
      </c>
      <c r="O253" t="s">
        <v>1012</v>
      </c>
      <c r="P253" t="s">
        <v>1329</v>
      </c>
      <c r="Q253" t="s">
        <v>1916</v>
      </c>
      <c r="R253" t="s">
        <v>1205</v>
      </c>
      <c r="S253" t="s">
        <v>1049</v>
      </c>
      <c r="T253" t="s">
        <v>993</v>
      </c>
      <c r="U253" t="s">
        <v>2043</v>
      </c>
      <c r="V253" t="s">
        <v>1008</v>
      </c>
      <c r="W253" t="s">
        <v>947</v>
      </c>
      <c r="X253" t="s">
        <v>964</v>
      </c>
      <c r="Y253" t="s">
        <v>946</v>
      </c>
      <c r="Z253" t="s">
        <v>1064</v>
      </c>
      <c r="AA253" t="s">
        <v>969</v>
      </c>
      <c r="AB253" t="s">
        <v>968</v>
      </c>
      <c r="AC253" t="s">
        <v>908</v>
      </c>
      <c r="AD253" t="s">
        <v>1832</v>
      </c>
      <c r="AE253">
        <v>9.5</v>
      </c>
      <c r="AF253">
        <v>9.3742999999999999</v>
      </c>
    </row>
    <row r="254" spans="1:32" x14ac:dyDescent="0.25">
      <c r="A254" s="191" t="s">
        <v>2044</v>
      </c>
      <c r="B254" t="s">
        <v>479</v>
      </c>
      <c r="C254" t="s">
        <v>1015</v>
      </c>
      <c r="D254" t="s">
        <v>85</v>
      </c>
      <c r="E254" t="s">
        <v>47</v>
      </c>
      <c r="F254" t="s">
        <v>975</v>
      </c>
      <c r="G254" t="s">
        <v>1376</v>
      </c>
      <c r="H254" t="s">
        <v>1794</v>
      </c>
      <c r="I254" t="s">
        <v>970</v>
      </c>
      <c r="J254" t="s">
        <v>1028</v>
      </c>
      <c r="K254" t="s">
        <v>1603</v>
      </c>
      <c r="L254" t="s">
        <v>947</v>
      </c>
      <c r="M254" t="s">
        <v>1126</v>
      </c>
      <c r="N254" t="s">
        <v>1588</v>
      </c>
      <c r="O254" t="s">
        <v>923</v>
      </c>
      <c r="P254" t="s">
        <v>1029</v>
      </c>
      <c r="Q254" t="s">
        <v>2028</v>
      </c>
      <c r="R254" t="s">
        <v>1561</v>
      </c>
      <c r="S254" t="s">
        <v>969</v>
      </c>
      <c r="T254" t="s">
        <v>1008</v>
      </c>
      <c r="U254" t="s">
        <v>1341</v>
      </c>
      <c r="V254" t="s">
        <v>1064</v>
      </c>
      <c r="W254" t="s">
        <v>970</v>
      </c>
      <c r="X254" t="s">
        <v>1170</v>
      </c>
      <c r="Y254" t="s">
        <v>1048</v>
      </c>
      <c r="Z254" t="s">
        <v>1065</v>
      </c>
      <c r="AA254" t="s">
        <v>934</v>
      </c>
      <c r="AB254" t="s">
        <v>1064</v>
      </c>
      <c r="AC254" t="s">
        <v>908</v>
      </c>
      <c r="AD254" t="s">
        <v>1832</v>
      </c>
      <c r="AE254">
        <v>9.4999999999999982</v>
      </c>
      <c r="AF254">
        <v>9.4890000000000008</v>
      </c>
    </row>
    <row r="255" spans="1:32" x14ac:dyDescent="0.25">
      <c r="A255" s="191" t="s">
        <v>2045</v>
      </c>
      <c r="B255" t="s">
        <v>2046</v>
      </c>
      <c r="C255" t="s">
        <v>1245</v>
      </c>
      <c r="D255" t="s">
        <v>77</v>
      </c>
      <c r="E255" t="s">
        <v>72</v>
      </c>
      <c r="F255" t="s">
        <v>1343</v>
      </c>
      <c r="G255" t="s">
        <v>901</v>
      </c>
      <c r="H255" t="s">
        <v>1675</v>
      </c>
      <c r="I255" t="s">
        <v>1000</v>
      </c>
      <c r="J255" t="s">
        <v>1116</v>
      </c>
      <c r="K255" t="s">
        <v>1476</v>
      </c>
      <c r="L255" t="s">
        <v>1064</v>
      </c>
      <c r="M255" t="s">
        <v>964</v>
      </c>
      <c r="N255" t="s">
        <v>1411</v>
      </c>
      <c r="O255" t="s">
        <v>947</v>
      </c>
      <c r="P255" t="s">
        <v>1228</v>
      </c>
      <c r="Q255" t="s">
        <v>1251</v>
      </c>
      <c r="R255" t="s">
        <v>1077</v>
      </c>
      <c r="S255" t="s">
        <v>1310</v>
      </c>
      <c r="T255" t="s">
        <v>1049</v>
      </c>
      <c r="U255" t="s">
        <v>1710</v>
      </c>
      <c r="V255" t="s">
        <v>1008</v>
      </c>
      <c r="W255" t="s">
        <v>1135</v>
      </c>
      <c r="X255" t="s">
        <v>1030</v>
      </c>
      <c r="Y255" t="s">
        <v>1064</v>
      </c>
      <c r="Z255" t="s">
        <v>1094</v>
      </c>
      <c r="AA255" t="s">
        <v>1008</v>
      </c>
      <c r="AB255" t="s">
        <v>945</v>
      </c>
      <c r="AC255" t="s">
        <v>1029</v>
      </c>
      <c r="AD255" t="s">
        <v>1832</v>
      </c>
      <c r="AE255">
        <v>9.4</v>
      </c>
      <c r="AF255">
        <v>9.4074999999999989</v>
      </c>
    </row>
    <row r="256" spans="1:32" x14ac:dyDescent="0.25">
      <c r="A256" s="191" t="s">
        <v>2567</v>
      </c>
      <c r="B256" t="s">
        <v>2568</v>
      </c>
      <c r="C256" t="s">
        <v>995</v>
      </c>
      <c r="D256" t="s">
        <v>1223</v>
      </c>
      <c r="E256" t="s">
        <v>93</v>
      </c>
      <c r="F256" t="s">
        <v>1410</v>
      </c>
      <c r="G256" t="s">
        <v>928</v>
      </c>
      <c r="H256" t="s">
        <v>1199</v>
      </c>
      <c r="I256" t="s">
        <v>1310</v>
      </c>
      <c r="J256" t="s">
        <v>1048</v>
      </c>
      <c r="K256" t="s">
        <v>1555</v>
      </c>
      <c r="L256" t="s">
        <v>969</v>
      </c>
      <c r="M256" t="s">
        <v>968</v>
      </c>
      <c r="N256" t="s">
        <v>1828</v>
      </c>
      <c r="O256" t="s">
        <v>918</v>
      </c>
      <c r="P256" t="s">
        <v>1230</v>
      </c>
      <c r="Q256" t="s">
        <v>2489</v>
      </c>
      <c r="R256" t="s">
        <v>1184</v>
      </c>
      <c r="S256" t="s">
        <v>1065</v>
      </c>
      <c r="T256" t="s">
        <v>987</v>
      </c>
      <c r="U256" t="s">
        <v>2185</v>
      </c>
      <c r="V256" t="s">
        <v>1195</v>
      </c>
      <c r="W256" t="s">
        <v>968</v>
      </c>
      <c r="X256" t="s">
        <v>946</v>
      </c>
      <c r="Y256" t="s">
        <v>1230</v>
      </c>
      <c r="Z256" t="s">
        <v>991</v>
      </c>
      <c r="AA256" t="s">
        <v>934</v>
      </c>
      <c r="AB256" t="s">
        <v>987</v>
      </c>
      <c r="AC256" t="s">
        <v>1029</v>
      </c>
      <c r="AD256" t="s">
        <v>919</v>
      </c>
      <c r="AE256">
        <v>4.0999999999999996</v>
      </c>
      <c r="AF256">
        <v>4.1036000000000001</v>
      </c>
    </row>
    <row r="257" spans="1:32" x14ac:dyDescent="0.25">
      <c r="A257" s="194" t="s">
        <v>2050</v>
      </c>
      <c r="B257" t="s">
        <v>2051</v>
      </c>
      <c r="C257" t="s">
        <v>1293</v>
      </c>
      <c r="D257" t="s">
        <v>974</v>
      </c>
      <c r="E257" t="s">
        <v>72</v>
      </c>
      <c r="F257" t="s">
        <v>1489</v>
      </c>
      <c r="G257" t="s">
        <v>1414</v>
      </c>
      <c r="H257" t="s">
        <v>1732</v>
      </c>
      <c r="I257" t="s">
        <v>992</v>
      </c>
      <c r="J257" t="s">
        <v>1059</v>
      </c>
      <c r="K257" t="s">
        <v>1813</v>
      </c>
      <c r="L257" t="s">
        <v>1600</v>
      </c>
      <c r="M257" t="s">
        <v>1600</v>
      </c>
      <c r="N257" t="s">
        <v>1646</v>
      </c>
      <c r="O257" t="s">
        <v>992</v>
      </c>
      <c r="P257" t="s">
        <v>1059</v>
      </c>
      <c r="Q257" t="s">
        <v>1561</v>
      </c>
      <c r="R257" t="s">
        <v>1813</v>
      </c>
      <c r="S257" t="s">
        <v>908</v>
      </c>
      <c r="T257" t="s">
        <v>1104</v>
      </c>
      <c r="U257" t="s">
        <v>1762</v>
      </c>
      <c r="V257" t="s">
        <v>1012</v>
      </c>
      <c r="W257" t="s">
        <v>1092</v>
      </c>
      <c r="X257" t="s">
        <v>989</v>
      </c>
      <c r="Y257" t="s">
        <v>918</v>
      </c>
      <c r="Z257" t="s">
        <v>934</v>
      </c>
      <c r="AA257" t="s">
        <v>923</v>
      </c>
      <c r="AB257" t="s">
        <v>1230</v>
      </c>
      <c r="AC257" t="s">
        <v>993</v>
      </c>
      <c r="AD257" t="s">
        <v>959</v>
      </c>
      <c r="AE257">
        <v>9.3000000000000007</v>
      </c>
      <c r="AF257">
        <v>9.3299999999999983</v>
      </c>
    </row>
    <row r="258" spans="1:32" x14ac:dyDescent="0.25">
      <c r="A258" s="191" t="s">
        <v>2050</v>
      </c>
      <c r="B258" t="s">
        <v>2051</v>
      </c>
      <c r="C258" t="s">
        <v>1293</v>
      </c>
      <c r="D258" t="s">
        <v>1149</v>
      </c>
      <c r="E258" t="s">
        <v>72</v>
      </c>
      <c r="F258" t="s">
        <v>1245</v>
      </c>
      <c r="G258" t="s">
        <v>1096</v>
      </c>
      <c r="H258" t="s">
        <v>1087</v>
      </c>
      <c r="I258" t="s">
        <v>1135</v>
      </c>
      <c r="J258" t="s">
        <v>1329</v>
      </c>
      <c r="K258" t="s">
        <v>1559</v>
      </c>
      <c r="L258" t="s">
        <v>1600</v>
      </c>
      <c r="M258" t="s">
        <v>1600</v>
      </c>
      <c r="N258" t="s">
        <v>1646</v>
      </c>
      <c r="O258" t="s">
        <v>1135</v>
      </c>
      <c r="P258" t="s">
        <v>1329</v>
      </c>
      <c r="Q258" t="s">
        <v>1504</v>
      </c>
      <c r="R258" t="s">
        <v>1559</v>
      </c>
      <c r="S258" t="s">
        <v>1104</v>
      </c>
      <c r="T258" t="s">
        <v>919</v>
      </c>
      <c r="U258" t="s">
        <v>2052</v>
      </c>
      <c r="V258" t="s">
        <v>924</v>
      </c>
      <c r="W258" t="s">
        <v>1005</v>
      </c>
      <c r="X258" t="s">
        <v>1028</v>
      </c>
      <c r="Y258" t="s">
        <v>1195</v>
      </c>
      <c r="Z258" t="s">
        <v>1094</v>
      </c>
      <c r="AA258" t="s">
        <v>945</v>
      </c>
      <c r="AB258" t="s">
        <v>1029</v>
      </c>
      <c r="AC258" t="s">
        <v>947</v>
      </c>
      <c r="AD258" t="s">
        <v>1024</v>
      </c>
      <c r="AE258">
        <v>8.8000000000000007</v>
      </c>
      <c r="AF258">
        <v>8.8925999999999998</v>
      </c>
    </row>
    <row r="259" spans="1:32" x14ac:dyDescent="0.25">
      <c r="A259" s="191" t="s">
        <v>2050</v>
      </c>
      <c r="B259" t="s">
        <v>2051</v>
      </c>
      <c r="C259" t="s">
        <v>1293</v>
      </c>
      <c r="D259" t="s">
        <v>1069</v>
      </c>
      <c r="E259" t="s">
        <v>72</v>
      </c>
      <c r="F259" t="s">
        <v>1068</v>
      </c>
      <c r="G259" t="s">
        <v>1164</v>
      </c>
      <c r="H259" t="s">
        <v>1883</v>
      </c>
      <c r="I259" t="s">
        <v>1160</v>
      </c>
      <c r="J259" t="s">
        <v>940</v>
      </c>
      <c r="K259" t="s">
        <v>1879</v>
      </c>
      <c r="L259" t="s">
        <v>1600</v>
      </c>
      <c r="M259" t="s">
        <v>1600</v>
      </c>
      <c r="N259" t="s">
        <v>1646</v>
      </c>
      <c r="O259" t="s">
        <v>1160</v>
      </c>
      <c r="P259" t="s">
        <v>921</v>
      </c>
      <c r="Q259" t="s">
        <v>2053</v>
      </c>
      <c r="R259" t="s">
        <v>1879</v>
      </c>
      <c r="S259" t="s">
        <v>922</v>
      </c>
      <c r="T259" t="s">
        <v>956</v>
      </c>
      <c r="U259" t="s">
        <v>1942</v>
      </c>
      <c r="V259" t="s">
        <v>1220</v>
      </c>
      <c r="W259" t="s">
        <v>1126</v>
      </c>
      <c r="X259" t="s">
        <v>1152</v>
      </c>
      <c r="Y259" t="s">
        <v>969</v>
      </c>
      <c r="Z259" t="s">
        <v>934</v>
      </c>
      <c r="AA259" t="s">
        <v>987</v>
      </c>
      <c r="AB259" t="s">
        <v>1195</v>
      </c>
      <c r="AC259" t="s">
        <v>1012</v>
      </c>
      <c r="AD259" t="s">
        <v>1072</v>
      </c>
      <c r="AE259">
        <v>9.5</v>
      </c>
      <c r="AF259">
        <v>9.548</v>
      </c>
    </row>
    <row r="260" spans="1:32" x14ac:dyDescent="0.25">
      <c r="A260" s="191" t="s">
        <v>2054</v>
      </c>
      <c r="B260" t="s">
        <v>372</v>
      </c>
      <c r="C260" t="s">
        <v>1238</v>
      </c>
      <c r="D260" t="s">
        <v>133</v>
      </c>
      <c r="E260" t="s">
        <v>72</v>
      </c>
      <c r="F260" t="s">
        <v>1446</v>
      </c>
      <c r="G260" t="s">
        <v>1068</v>
      </c>
      <c r="H260" t="s">
        <v>1354</v>
      </c>
      <c r="I260" t="s">
        <v>1228</v>
      </c>
      <c r="J260" t="s">
        <v>1118</v>
      </c>
      <c r="K260" t="s">
        <v>1656</v>
      </c>
      <c r="L260" t="s">
        <v>1065</v>
      </c>
      <c r="M260" t="s">
        <v>922</v>
      </c>
      <c r="N260" t="s">
        <v>2055</v>
      </c>
      <c r="O260" t="s">
        <v>979</v>
      </c>
      <c r="P260" t="s">
        <v>1291</v>
      </c>
      <c r="Q260" t="s">
        <v>2001</v>
      </c>
      <c r="R260" t="s">
        <v>1533</v>
      </c>
      <c r="S260" t="s">
        <v>1008</v>
      </c>
      <c r="T260" t="s">
        <v>923</v>
      </c>
      <c r="U260" t="s">
        <v>2056</v>
      </c>
      <c r="V260" t="s">
        <v>968</v>
      </c>
      <c r="W260" t="s">
        <v>1092</v>
      </c>
      <c r="X260" t="s">
        <v>988</v>
      </c>
      <c r="Y260" t="s">
        <v>918</v>
      </c>
      <c r="Z260" t="s">
        <v>969</v>
      </c>
      <c r="AA260" t="s">
        <v>1064</v>
      </c>
      <c r="AB260" t="s">
        <v>918</v>
      </c>
      <c r="AC260" t="s">
        <v>922</v>
      </c>
      <c r="AD260" t="s">
        <v>959</v>
      </c>
      <c r="AE260">
        <v>9.1999999999999993</v>
      </c>
      <c r="AF260">
        <v>9.3382999999999985</v>
      </c>
    </row>
    <row r="261" spans="1:32" x14ac:dyDescent="0.25">
      <c r="A261" s="191" t="s">
        <v>2057</v>
      </c>
      <c r="B261" t="s">
        <v>273</v>
      </c>
      <c r="C261" t="s">
        <v>995</v>
      </c>
      <c r="D261" t="s">
        <v>156</v>
      </c>
      <c r="E261" t="s">
        <v>72</v>
      </c>
      <c r="F261" t="s">
        <v>1535</v>
      </c>
      <c r="G261" t="s">
        <v>1480</v>
      </c>
      <c r="H261" t="s">
        <v>1389</v>
      </c>
      <c r="I261" t="s">
        <v>1155</v>
      </c>
      <c r="J261" t="s">
        <v>1006</v>
      </c>
      <c r="K261" t="s">
        <v>1606</v>
      </c>
      <c r="L261" t="s">
        <v>1094</v>
      </c>
      <c r="M261" t="s">
        <v>987</v>
      </c>
      <c r="N261" t="s">
        <v>1499</v>
      </c>
      <c r="O261" t="s">
        <v>979</v>
      </c>
      <c r="P261" t="s">
        <v>1079</v>
      </c>
      <c r="Q261" t="s">
        <v>1822</v>
      </c>
      <c r="R261" t="s">
        <v>1836</v>
      </c>
      <c r="S261" t="s">
        <v>1230</v>
      </c>
      <c r="T261" t="s">
        <v>1049</v>
      </c>
      <c r="U261" t="s">
        <v>2058</v>
      </c>
      <c r="V261" t="s">
        <v>979</v>
      </c>
      <c r="W261" t="s">
        <v>1134</v>
      </c>
      <c r="X261" t="s">
        <v>1010</v>
      </c>
      <c r="Y261" t="s">
        <v>923</v>
      </c>
      <c r="Z261" t="s">
        <v>1065</v>
      </c>
      <c r="AA261" t="s">
        <v>1195</v>
      </c>
      <c r="AB261" t="s">
        <v>1195</v>
      </c>
      <c r="AC261" t="s">
        <v>1104</v>
      </c>
      <c r="AD261" t="s">
        <v>911</v>
      </c>
      <c r="AE261">
        <v>9.3000000000000007</v>
      </c>
      <c r="AF261">
        <v>9.2766999999999999</v>
      </c>
    </row>
    <row r="262" spans="1:32" x14ac:dyDescent="0.25">
      <c r="A262" s="194" t="s">
        <v>2059</v>
      </c>
      <c r="B262" t="s">
        <v>2060</v>
      </c>
      <c r="C262" t="s">
        <v>973</v>
      </c>
      <c r="D262" t="s">
        <v>142</v>
      </c>
      <c r="E262" t="s">
        <v>72</v>
      </c>
      <c r="F262" t="s">
        <v>1431</v>
      </c>
      <c r="G262" t="s">
        <v>1177</v>
      </c>
      <c r="H262" t="s">
        <v>1136</v>
      </c>
      <c r="I262" t="s">
        <v>970</v>
      </c>
      <c r="J262" t="s">
        <v>1026</v>
      </c>
      <c r="K262" t="s">
        <v>1455</v>
      </c>
      <c r="L262" t="s">
        <v>1065</v>
      </c>
      <c r="M262" t="s">
        <v>947</v>
      </c>
      <c r="N262" t="s">
        <v>2061</v>
      </c>
      <c r="O262" t="s">
        <v>1104</v>
      </c>
      <c r="P262" t="s">
        <v>1046</v>
      </c>
      <c r="Q262" t="s">
        <v>1462</v>
      </c>
      <c r="R262" t="s">
        <v>1387</v>
      </c>
      <c r="S262" t="s">
        <v>1049</v>
      </c>
      <c r="T262" t="s">
        <v>1012</v>
      </c>
      <c r="U262" t="s">
        <v>2062</v>
      </c>
      <c r="V262" t="s">
        <v>925</v>
      </c>
      <c r="W262" t="s">
        <v>920</v>
      </c>
      <c r="X262" t="s">
        <v>1026</v>
      </c>
      <c r="Y262" t="s">
        <v>956</v>
      </c>
      <c r="Z262" t="s">
        <v>987</v>
      </c>
      <c r="AA262" t="s">
        <v>969</v>
      </c>
      <c r="AB262" t="s">
        <v>1064</v>
      </c>
      <c r="AC262" t="s">
        <v>964</v>
      </c>
      <c r="AD262" t="s">
        <v>1035</v>
      </c>
      <c r="AE262">
        <v>9</v>
      </c>
      <c r="AF262">
        <v>9.0972000000000008</v>
      </c>
    </row>
    <row r="263" spans="1:32" x14ac:dyDescent="0.25">
      <c r="A263" s="191" t="s">
        <v>2063</v>
      </c>
      <c r="B263" t="s">
        <v>2064</v>
      </c>
      <c r="C263" t="s">
        <v>1238</v>
      </c>
      <c r="D263" t="s">
        <v>1279</v>
      </c>
      <c r="E263" t="s">
        <v>93</v>
      </c>
      <c r="F263" t="s">
        <v>1123</v>
      </c>
      <c r="G263" t="s">
        <v>1238</v>
      </c>
      <c r="H263" t="s">
        <v>1883</v>
      </c>
      <c r="I263" t="s">
        <v>964</v>
      </c>
      <c r="J263" t="s">
        <v>1027</v>
      </c>
      <c r="K263" t="s">
        <v>1625</v>
      </c>
      <c r="L263" t="s">
        <v>1049</v>
      </c>
      <c r="M263" t="s">
        <v>909</v>
      </c>
      <c r="N263" t="s">
        <v>1666</v>
      </c>
      <c r="O263" t="s">
        <v>923</v>
      </c>
      <c r="P263" t="s">
        <v>924</v>
      </c>
      <c r="Q263" t="s">
        <v>1968</v>
      </c>
      <c r="R263" t="s">
        <v>1268</v>
      </c>
      <c r="S263" t="s">
        <v>1310</v>
      </c>
      <c r="T263" t="s">
        <v>922</v>
      </c>
      <c r="U263" t="s">
        <v>1757</v>
      </c>
      <c r="V263" t="s">
        <v>918</v>
      </c>
      <c r="W263" t="s">
        <v>1135</v>
      </c>
      <c r="X263" t="s">
        <v>1160</v>
      </c>
      <c r="Y263" t="s">
        <v>918</v>
      </c>
      <c r="Z263" t="s">
        <v>1065</v>
      </c>
      <c r="AA263" t="s">
        <v>1065</v>
      </c>
      <c r="AB263" t="s">
        <v>923</v>
      </c>
      <c r="AC263" t="s">
        <v>947</v>
      </c>
      <c r="AD263" t="s">
        <v>1035</v>
      </c>
      <c r="AE263">
        <v>9.1999999999999993</v>
      </c>
      <c r="AF263">
        <v>9.1060999999999996</v>
      </c>
    </row>
    <row r="264" spans="1:32" x14ac:dyDescent="0.25">
      <c r="A264" s="191" t="s">
        <v>2065</v>
      </c>
      <c r="B264" t="s">
        <v>2066</v>
      </c>
      <c r="C264" t="s">
        <v>1032</v>
      </c>
      <c r="D264" t="s">
        <v>1014</v>
      </c>
      <c r="E264" t="s">
        <v>47</v>
      </c>
      <c r="F264" t="s">
        <v>1459</v>
      </c>
      <c r="G264" t="s">
        <v>1202</v>
      </c>
      <c r="H264" t="s">
        <v>1479</v>
      </c>
      <c r="I264" t="s">
        <v>970</v>
      </c>
      <c r="J264" t="s">
        <v>1128</v>
      </c>
      <c r="K264" t="s">
        <v>1141</v>
      </c>
      <c r="L264" t="s">
        <v>1029</v>
      </c>
      <c r="M264" t="s">
        <v>1103</v>
      </c>
      <c r="N264" t="s">
        <v>1169</v>
      </c>
      <c r="O264" t="s">
        <v>922</v>
      </c>
      <c r="P264" t="s">
        <v>1104</v>
      </c>
      <c r="Q264" t="s">
        <v>1561</v>
      </c>
      <c r="R264" t="s">
        <v>955</v>
      </c>
      <c r="S264" t="s">
        <v>987</v>
      </c>
      <c r="T264" t="s">
        <v>1064</v>
      </c>
      <c r="U264" t="s">
        <v>1972</v>
      </c>
      <c r="V264" t="s">
        <v>1065</v>
      </c>
      <c r="W264" t="s">
        <v>947</v>
      </c>
      <c r="X264" t="s">
        <v>1104</v>
      </c>
      <c r="Y264" t="s">
        <v>987</v>
      </c>
      <c r="Z264" t="s">
        <v>1094</v>
      </c>
      <c r="AA264" t="s">
        <v>1119</v>
      </c>
      <c r="AB264" t="s">
        <v>1065</v>
      </c>
      <c r="AC264" t="s">
        <v>945</v>
      </c>
      <c r="AD264" t="s">
        <v>1035</v>
      </c>
      <c r="AE264">
        <v>9</v>
      </c>
      <c r="AF264">
        <v>9.0090000000000003</v>
      </c>
    </row>
    <row r="265" spans="1:32" x14ac:dyDescent="0.25">
      <c r="A265" s="191" t="s">
        <v>2067</v>
      </c>
      <c r="B265" t="s">
        <v>2068</v>
      </c>
      <c r="C265" t="s">
        <v>1084</v>
      </c>
      <c r="D265" t="s">
        <v>163</v>
      </c>
      <c r="E265" t="s">
        <v>63</v>
      </c>
      <c r="F265" t="s">
        <v>902</v>
      </c>
      <c r="G265" t="s">
        <v>928</v>
      </c>
      <c r="H265" t="s">
        <v>937</v>
      </c>
      <c r="I265" t="s">
        <v>946</v>
      </c>
      <c r="J265" t="s">
        <v>1118</v>
      </c>
      <c r="K265" t="s">
        <v>1818</v>
      </c>
      <c r="L265" t="s">
        <v>1195</v>
      </c>
      <c r="M265" t="s">
        <v>1160</v>
      </c>
      <c r="N265" t="s">
        <v>2069</v>
      </c>
      <c r="O265" t="s">
        <v>968</v>
      </c>
      <c r="P265" t="s">
        <v>1000</v>
      </c>
      <c r="Q265" t="s">
        <v>1171</v>
      </c>
      <c r="R265" t="s">
        <v>1471</v>
      </c>
      <c r="S265" t="s">
        <v>922</v>
      </c>
      <c r="T265" t="s">
        <v>924</v>
      </c>
      <c r="U265" t="s">
        <v>2070</v>
      </c>
      <c r="V265" t="s">
        <v>987</v>
      </c>
      <c r="W265" t="s">
        <v>993</v>
      </c>
      <c r="X265" t="s">
        <v>970</v>
      </c>
      <c r="Y265" t="s">
        <v>945</v>
      </c>
      <c r="Z265" t="s">
        <v>1065</v>
      </c>
      <c r="AA265" t="s">
        <v>934</v>
      </c>
      <c r="AB265" t="s">
        <v>969</v>
      </c>
      <c r="AC265" t="s">
        <v>922</v>
      </c>
      <c r="AD265" t="s">
        <v>1035</v>
      </c>
      <c r="AE265">
        <v>9.1999999999999993</v>
      </c>
      <c r="AF265">
        <v>9.0555000000000003</v>
      </c>
    </row>
    <row r="266" spans="1:32" x14ac:dyDescent="0.25">
      <c r="A266" s="191" t="s">
        <v>2071</v>
      </c>
      <c r="B266" t="s">
        <v>380</v>
      </c>
      <c r="C266" t="s">
        <v>1204</v>
      </c>
      <c r="D266" t="s">
        <v>170</v>
      </c>
      <c r="E266" t="s">
        <v>56</v>
      </c>
      <c r="F266" t="s">
        <v>1033</v>
      </c>
      <c r="G266" t="s">
        <v>901</v>
      </c>
      <c r="H266" t="s">
        <v>1286</v>
      </c>
      <c r="I266" t="s">
        <v>919</v>
      </c>
      <c r="J266" t="s">
        <v>915</v>
      </c>
      <c r="K266" t="s">
        <v>907</v>
      </c>
      <c r="L266" t="s">
        <v>934</v>
      </c>
      <c r="M266" t="s">
        <v>969</v>
      </c>
      <c r="N266" t="s">
        <v>1960</v>
      </c>
      <c r="O266" t="s">
        <v>1160</v>
      </c>
      <c r="P266" t="s">
        <v>1118</v>
      </c>
      <c r="Q266" t="s">
        <v>1058</v>
      </c>
      <c r="R266" t="s">
        <v>1275</v>
      </c>
      <c r="S266" t="s">
        <v>1008</v>
      </c>
      <c r="T266" t="s">
        <v>923</v>
      </c>
      <c r="U266" t="s">
        <v>2072</v>
      </c>
      <c r="V266" t="s">
        <v>969</v>
      </c>
      <c r="W266" t="s">
        <v>1049</v>
      </c>
      <c r="X266" t="s">
        <v>924</v>
      </c>
      <c r="Y266" t="s">
        <v>1103</v>
      </c>
      <c r="Z266" t="s">
        <v>1064</v>
      </c>
      <c r="AA266" t="s">
        <v>1094</v>
      </c>
      <c r="AB266" t="s">
        <v>1230</v>
      </c>
      <c r="AC266" t="s">
        <v>923</v>
      </c>
      <c r="AD266" t="s">
        <v>1035</v>
      </c>
      <c r="AE266">
        <v>9.0999999999999979</v>
      </c>
      <c r="AF266">
        <v>9.131000000000002</v>
      </c>
    </row>
    <row r="267" spans="1:32" x14ac:dyDescent="0.25">
      <c r="A267" s="194" t="s">
        <v>2073</v>
      </c>
      <c r="B267" t="s">
        <v>145</v>
      </c>
      <c r="C267" t="s">
        <v>1238</v>
      </c>
      <c r="D267" t="s">
        <v>83</v>
      </c>
      <c r="E267" t="s">
        <v>72</v>
      </c>
      <c r="F267" t="s">
        <v>1438</v>
      </c>
      <c r="G267" t="s">
        <v>930</v>
      </c>
      <c r="H267" t="s">
        <v>1066</v>
      </c>
      <c r="I267" t="s">
        <v>1030</v>
      </c>
      <c r="J267" t="s">
        <v>1112</v>
      </c>
      <c r="K267" t="s">
        <v>1042</v>
      </c>
      <c r="L267" t="s">
        <v>1600</v>
      </c>
      <c r="M267" t="s">
        <v>1600</v>
      </c>
      <c r="N267" t="s">
        <v>1646</v>
      </c>
      <c r="O267" t="s">
        <v>1030</v>
      </c>
      <c r="P267" t="s">
        <v>1112</v>
      </c>
      <c r="Q267" t="s">
        <v>1370</v>
      </c>
      <c r="R267" t="s">
        <v>1042</v>
      </c>
      <c r="S267" t="s">
        <v>922</v>
      </c>
      <c r="T267" t="s">
        <v>1104</v>
      </c>
      <c r="U267" t="s">
        <v>2074</v>
      </c>
      <c r="V267" t="s">
        <v>979</v>
      </c>
      <c r="W267" t="s">
        <v>957</v>
      </c>
      <c r="X267" t="s">
        <v>989</v>
      </c>
      <c r="Y267" t="s">
        <v>1230</v>
      </c>
      <c r="Z267" t="s">
        <v>1065</v>
      </c>
      <c r="AA267" t="s">
        <v>1195</v>
      </c>
      <c r="AB267" t="s">
        <v>1064</v>
      </c>
      <c r="AC267" t="s">
        <v>956</v>
      </c>
      <c r="AD267" t="s">
        <v>1035</v>
      </c>
      <c r="AE267">
        <v>9.1</v>
      </c>
      <c r="AF267">
        <v>9.0876000000000001</v>
      </c>
    </row>
    <row r="268" spans="1:32" x14ac:dyDescent="0.25">
      <c r="A268" s="191" t="s">
        <v>2075</v>
      </c>
      <c r="B268" t="s">
        <v>2076</v>
      </c>
      <c r="C268" t="s">
        <v>1176</v>
      </c>
      <c r="D268" t="s">
        <v>1069</v>
      </c>
      <c r="E268" t="s">
        <v>47</v>
      </c>
      <c r="F268" t="s">
        <v>1138</v>
      </c>
      <c r="G268" t="s">
        <v>995</v>
      </c>
      <c r="H268" t="s">
        <v>1231</v>
      </c>
      <c r="I268" t="s">
        <v>1048</v>
      </c>
      <c r="J268" t="s">
        <v>1009</v>
      </c>
      <c r="K268" t="s">
        <v>1419</v>
      </c>
      <c r="L268" t="s">
        <v>924</v>
      </c>
      <c r="M268" t="s">
        <v>1126</v>
      </c>
      <c r="N268" t="s">
        <v>1538</v>
      </c>
      <c r="O268" t="s">
        <v>987</v>
      </c>
      <c r="P268" t="s">
        <v>922</v>
      </c>
      <c r="Q268" t="s">
        <v>1300</v>
      </c>
      <c r="R268" t="s">
        <v>1606</v>
      </c>
      <c r="S268" t="s">
        <v>1094</v>
      </c>
      <c r="T268" t="s">
        <v>1094</v>
      </c>
      <c r="U268" t="s">
        <v>1557</v>
      </c>
      <c r="V268" t="s">
        <v>1008</v>
      </c>
      <c r="W268" t="s">
        <v>1160</v>
      </c>
      <c r="X268" t="s">
        <v>957</v>
      </c>
      <c r="Y268" t="s">
        <v>925</v>
      </c>
      <c r="Z268" t="s">
        <v>918</v>
      </c>
      <c r="AA268" t="s">
        <v>1065</v>
      </c>
      <c r="AB268" t="s">
        <v>918</v>
      </c>
      <c r="AC268" t="s">
        <v>956</v>
      </c>
      <c r="AD268" t="s">
        <v>1035</v>
      </c>
      <c r="AE268">
        <v>9.1000000000000014</v>
      </c>
      <c r="AF268">
        <v>9.0409000000000006</v>
      </c>
    </row>
    <row r="269" spans="1:32" x14ac:dyDescent="0.25">
      <c r="A269" s="191" t="s">
        <v>2077</v>
      </c>
      <c r="B269" t="s">
        <v>262</v>
      </c>
      <c r="C269" t="s">
        <v>1084</v>
      </c>
      <c r="D269" t="s">
        <v>974</v>
      </c>
      <c r="E269" t="s">
        <v>63</v>
      </c>
      <c r="F269" t="s">
        <v>1255</v>
      </c>
      <c r="G269" t="s">
        <v>1212</v>
      </c>
      <c r="H269" t="s">
        <v>2078</v>
      </c>
      <c r="I269" t="s">
        <v>1000</v>
      </c>
      <c r="J269" t="s">
        <v>1009</v>
      </c>
      <c r="K269" t="s">
        <v>1168</v>
      </c>
      <c r="L269" t="s">
        <v>923</v>
      </c>
      <c r="M269" t="s">
        <v>1104</v>
      </c>
      <c r="N269" t="s">
        <v>1425</v>
      </c>
      <c r="O269" t="s">
        <v>924</v>
      </c>
      <c r="P269" t="s">
        <v>957</v>
      </c>
      <c r="Q269" t="s">
        <v>1340</v>
      </c>
      <c r="R269" t="s">
        <v>1308</v>
      </c>
      <c r="S269" t="s">
        <v>1195</v>
      </c>
      <c r="T269" t="s">
        <v>1310</v>
      </c>
      <c r="U269" t="s">
        <v>1341</v>
      </c>
      <c r="V269" t="s">
        <v>991</v>
      </c>
      <c r="W269" t="s">
        <v>1230</v>
      </c>
      <c r="X269" t="s">
        <v>968</v>
      </c>
      <c r="Y269" t="s">
        <v>1030</v>
      </c>
      <c r="Z269" t="s">
        <v>1008</v>
      </c>
      <c r="AA269" t="s">
        <v>934</v>
      </c>
      <c r="AB269" t="s">
        <v>1195</v>
      </c>
      <c r="AC269" t="s">
        <v>1029</v>
      </c>
      <c r="AD269" t="s">
        <v>1108</v>
      </c>
      <c r="AE269">
        <v>9.1</v>
      </c>
      <c r="AF269">
        <v>9.0564</v>
      </c>
    </row>
    <row r="270" spans="1:32" x14ac:dyDescent="0.25">
      <c r="A270" s="191" t="s">
        <v>2077</v>
      </c>
      <c r="B270" t="s">
        <v>262</v>
      </c>
      <c r="C270" t="s">
        <v>1084</v>
      </c>
      <c r="D270" t="s">
        <v>77</v>
      </c>
      <c r="E270" t="s">
        <v>56</v>
      </c>
      <c r="F270" t="s">
        <v>1204</v>
      </c>
      <c r="G270" t="s">
        <v>1717</v>
      </c>
      <c r="H270" t="s">
        <v>905</v>
      </c>
      <c r="I270" t="s">
        <v>1220</v>
      </c>
      <c r="J270" t="s">
        <v>1291</v>
      </c>
      <c r="K270" t="s">
        <v>1466</v>
      </c>
      <c r="L270" t="s">
        <v>1065</v>
      </c>
      <c r="M270" t="s">
        <v>1195</v>
      </c>
      <c r="N270" t="s">
        <v>2023</v>
      </c>
      <c r="O270" t="s">
        <v>925</v>
      </c>
      <c r="P270" t="s">
        <v>1081</v>
      </c>
      <c r="Q270" t="s">
        <v>907</v>
      </c>
      <c r="R270" t="s">
        <v>1239</v>
      </c>
      <c r="S270" t="s">
        <v>1064</v>
      </c>
      <c r="T270" t="s">
        <v>1230</v>
      </c>
      <c r="U270" t="s">
        <v>1864</v>
      </c>
      <c r="V270" t="s">
        <v>991</v>
      </c>
      <c r="W270" t="s">
        <v>987</v>
      </c>
      <c r="X270" t="s">
        <v>1195</v>
      </c>
      <c r="Y270" t="s">
        <v>1012</v>
      </c>
      <c r="Z270" t="s">
        <v>991</v>
      </c>
      <c r="AA270" t="s">
        <v>934</v>
      </c>
      <c r="AB270" t="s">
        <v>918</v>
      </c>
      <c r="AC270" t="s">
        <v>1195</v>
      </c>
      <c r="AD270" t="s">
        <v>1116</v>
      </c>
      <c r="AE270">
        <v>7</v>
      </c>
      <c r="AF270">
        <v>6.8762000000000008</v>
      </c>
    </row>
    <row r="271" spans="1:32" x14ac:dyDescent="0.25">
      <c r="A271" s="191" t="s">
        <v>2077</v>
      </c>
      <c r="B271" t="s">
        <v>262</v>
      </c>
      <c r="C271" t="s">
        <v>1084</v>
      </c>
      <c r="D271" t="s">
        <v>108</v>
      </c>
      <c r="E271" t="s">
        <v>63</v>
      </c>
      <c r="F271" t="s">
        <v>1015</v>
      </c>
      <c r="G271" t="s">
        <v>1212</v>
      </c>
      <c r="H271" t="s">
        <v>1237</v>
      </c>
      <c r="I271" t="s">
        <v>1081</v>
      </c>
      <c r="J271" t="s">
        <v>965</v>
      </c>
      <c r="K271" t="s">
        <v>1474</v>
      </c>
      <c r="L271" t="s">
        <v>1029</v>
      </c>
      <c r="M271" t="s">
        <v>1211</v>
      </c>
      <c r="N271" t="s">
        <v>1250</v>
      </c>
      <c r="O271" t="s">
        <v>1012</v>
      </c>
      <c r="P271" t="s">
        <v>1043</v>
      </c>
      <c r="Q271" t="s">
        <v>1565</v>
      </c>
      <c r="R271" t="s">
        <v>1262</v>
      </c>
      <c r="S271" t="s">
        <v>1230</v>
      </c>
      <c r="T271" t="s">
        <v>1029</v>
      </c>
      <c r="U271" t="s">
        <v>1452</v>
      </c>
      <c r="V271" t="s">
        <v>991</v>
      </c>
      <c r="W271" t="s">
        <v>908</v>
      </c>
      <c r="X271" t="s">
        <v>993</v>
      </c>
      <c r="Y271" t="s">
        <v>1046</v>
      </c>
      <c r="Z271" t="s">
        <v>1064</v>
      </c>
      <c r="AA271" t="s">
        <v>1094</v>
      </c>
      <c r="AB271" t="s">
        <v>968</v>
      </c>
      <c r="AC271" t="s">
        <v>956</v>
      </c>
      <c r="AD271" t="s">
        <v>1002</v>
      </c>
      <c r="AE271">
        <v>11.4</v>
      </c>
      <c r="AF271">
        <v>11.4436</v>
      </c>
    </row>
    <row r="272" spans="1:32" x14ac:dyDescent="0.25">
      <c r="A272" s="191" t="s">
        <v>2079</v>
      </c>
      <c r="B272" t="s">
        <v>2080</v>
      </c>
      <c r="C272" t="s">
        <v>929</v>
      </c>
      <c r="D272" t="s">
        <v>974</v>
      </c>
      <c r="E272" t="s">
        <v>56</v>
      </c>
      <c r="F272" t="s">
        <v>1164</v>
      </c>
      <c r="G272" t="s">
        <v>1067</v>
      </c>
      <c r="H272" t="s">
        <v>1017</v>
      </c>
      <c r="I272" t="s">
        <v>1135</v>
      </c>
      <c r="J272" t="s">
        <v>1009</v>
      </c>
      <c r="K272" t="s">
        <v>1393</v>
      </c>
      <c r="L272" t="s">
        <v>1230</v>
      </c>
      <c r="M272" t="s">
        <v>919</v>
      </c>
      <c r="N272" t="s">
        <v>2081</v>
      </c>
      <c r="O272" t="s">
        <v>1310</v>
      </c>
      <c r="P272" t="s">
        <v>1000</v>
      </c>
      <c r="Q272" t="s">
        <v>1168</v>
      </c>
      <c r="R272" t="s">
        <v>1110</v>
      </c>
      <c r="S272" t="s">
        <v>1029</v>
      </c>
      <c r="T272" t="s">
        <v>908</v>
      </c>
      <c r="U272" t="s">
        <v>2043</v>
      </c>
      <c r="V272" t="s">
        <v>1065</v>
      </c>
      <c r="W272" t="s">
        <v>1029</v>
      </c>
      <c r="X272" t="s">
        <v>908</v>
      </c>
      <c r="Y272" t="s">
        <v>1048</v>
      </c>
      <c r="Z272" t="s">
        <v>1064</v>
      </c>
      <c r="AA272" t="s">
        <v>1094</v>
      </c>
      <c r="AB272" t="s">
        <v>1029</v>
      </c>
      <c r="AC272" t="s">
        <v>1029</v>
      </c>
      <c r="AD272" t="s">
        <v>1108</v>
      </c>
      <c r="AE272">
        <v>9</v>
      </c>
      <c r="AF272">
        <v>9.0145</v>
      </c>
    </row>
    <row r="273" spans="1:32" x14ac:dyDescent="0.25">
      <c r="A273" s="191" t="s">
        <v>2079</v>
      </c>
      <c r="B273" t="s">
        <v>2080</v>
      </c>
      <c r="C273" t="s">
        <v>929</v>
      </c>
      <c r="D273" t="s">
        <v>156</v>
      </c>
      <c r="E273" t="s">
        <v>56</v>
      </c>
      <c r="F273" t="s">
        <v>1232</v>
      </c>
      <c r="G273" t="s">
        <v>1051</v>
      </c>
      <c r="H273" t="s">
        <v>1408</v>
      </c>
      <c r="I273" t="s">
        <v>1104</v>
      </c>
      <c r="J273" t="s">
        <v>1011</v>
      </c>
      <c r="K273" t="s">
        <v>1625</v>
      </c>
      <c r="L273" t="s">
        <v>1310</v>
      </c>
      <c r="M273" t="s">
        <v>957</v>
      </c>
      <c r="N273" t="s">
        <v>1315</v>
      </c>
      <c r="O273" t="s">
        <v>1195</v>
      </c>
      <c r="P273" t="s">
        <v>946</v>
      </c>
      <c r="Q273" t="s">
        <v>1968</v>
      </c>
      <c r="R273" t="s">
        <v>1923</v>
      </c>
      <c r="S273" t="s">
        <v>1029</v>
      </c>
      <c r="T273" t="s">
        <v>1049</v>
      </c>
      <c r="U273" t="s">
        <v>1765</v>
      </c>
      <c r="V273" t="s">
        <v>1008</v>
      </c>
      <c r="W273" t="s">
        <v>1310</v>
      </c>
      <c r="X273" t="s">
        <v>947</v>
      </c>
      <c r="Y273" t="s">
        <v>1030</v>
      </c>
      <c r="Z273" t="s">
        <v>945</v>
      </c>
      <c r="AA273" t="s">
        <v>1094</v>
      </c>
      <c r="AB273" t="s">
        <v>968</v>
      </c>
      <c r="AC273" t="s">
        <v>1029</v>
      </c>
      <c r="AD273" t="s">
        <v>1062</v>
      </c>
      <c r="AE273">
        <v>8.6999999999999993</v>
      </c>
      <c r="AF273">
        <v>8.6897000000000002</v>
      </c>
    </row>
    <row r="274" spans="1:32" x14ac:dyDescent="0.25">
      <c r="A274" s="191" t="s">
        <v>2079</v>
      </c>
      <c r="B274" t="s">
        <v>2080</v>
      </c>
      <c r="C274" t="s">
        <v>929</v>
      </c>
      <c r="D274" t="s">
        <v>77</v>
      </c>
      <c r="E274" t="s">
        <v>56</v>
      </c>
      <c r="F274" t="s">
        <v>1175</v>
      </c>
      <c r="G274" t="s">
        <v>901</v>
      </c>
      <c r="H274" t="s">
        <v>937</v>
      </c>
      <c r="I274" t="s">
        <v>1048</v>
      </c>
      <c r="J274" t="s">
        <v>1118</v>
      </c>
      <c r="K274" t="s">
        <v>1966</v>
      </c>
      <c r="L274" t="s">
        <v>1195</v>
      </c>
      <c r="M274" t="s">
        <v>1000</v>
      </c>
      <c r="N274" t="s">
        <v>1478</v>
      </c>
      <c r="O274" t="s">
        <v>1049</v>
      </c>
      <c r="P274" t="s">
        <v>1160</v>
      </c>
      <c r="Q274" t="s">
        <v>1466</v>
      </c>
      <c r="R274" t="s">
        <v>1615</v>
      </c>
      <c r="S274" t="s">
        <v>1029</v>
      </c>
      <c r="T274" t="s">
        <v>947</v>
      </c>
      <c r="U274" t="s">
        <v>2082</v>
      </c>
      <c r="V274" t="s">
        <v>1094</v>
      </c>
      <c r="W274" t="s">
        <v>922</v>
      </c>
      <c r="X274" t="s">
        <v>1049</v>
      </c>
      <c r="Y274" t="s">
        <v>993</v>
      </c>
      <c r="Z274" t="s">
        <v>1064</v>
      </c>
      <c r="AA274" t="s">
        <v>934</v>
      </c>
      <c r="AB274" t="s">
        <v>1195</v>
      </c>
      <c r="AC274" t="s">
        <v>1310</v>
      </c>
      <c r="AD274" t="s">
        <v>959</v>
      </c>
      <c r="AE274">
        <v>9.3000000000000007</v>
      </c>
      <c r="AF274">
        <v>9.3436000000000003</v>
      </c>
    </row>
    <row r="275" spans="1:32" x14ac:dyDescent="0.25">
      <c r="A275" s="191" t="s">
        <v>2606</v>
      </c>
      <c r="B275" t="s">
        <v>2607</v>
      </c>
      <c r="C275" t="s">
        <v>1015</v>
      </c>
      <c r="D275" t="s">
        <v>1223</v>
      </c>
      <c r="E275" t="s">
        <v>93</v>
      </c>
      <c r="F275" t="s">
        <v>1051</v>
      </c>
      <c r="G275" t="s">
        <v>1717</v>
      </c>
      <c r="H275" t="s">
        <v>1062</v>
      </c>
      <c r="I275" t="s">
        <v>1195</v>
      </c>
      <c r="J275" t="s">
        <v>1104</v>
      </c>
      <c r="K275" t="s">
        <v>1916</v>
      </c>
      <c r="L275" t="s">
        <v>1065</v>
      </c>
      <c r="M275" t="s">
        <v>922</v>
      </c>
      <c r="N275" t="s">
        <v>2341</v>
      </c>
      <c r="O275" t="s">
        <v>987</v>
      </c>
      <c r="P275" t="s">
        <v>945</v>
      </c>
      <c r="Q275" t="s">
        <v>1999</v>
      </c>
      <c r="R275" t="s">
        <v>1057</v>
      </c>
      <c r="S275" t="s">
        <v>1065</v>
      </c>
      <c r="T275" t="s">
        <v>923</v>
      </c>
      <c r="U275" t="s">
        <v>1131</v>
      </c>
      <c r="V275" t="s">
        <v>1065</v>
      </c>
      <c r="W275" t="s">
        <v>1195</v>
      </c>
      <c r="X275" t="s">
        <v>968</v>
      </c>
      <c r="Y275" t="s">
        <v>1008</v>
      </c>
      <c r="Z275" t="s">
        <v>1008</v>
      </c>
      <c r="AA275" t="s">
        <v>1600</v>
      </c>
      <c r="AB275" t="s">
        <v>934</v>
      </c>
      <c r="AC275" t="s">
        <v>1008</v>
      </c>
      <c r="AD275" t="s">
        <v>1030</v>
      </c>
      <c r="AE275">
        <v>3.6</v>
      </c>
      <c r="AF275">
        <v>3.6007999999999996</v>
      </c>
    </row>
    <row r="276" spans="1:32" x14ac:dyDescent="0.25">
      <c r="A276" s="191" t="s">
        <v>2085</v>
      </c>
      <c r="B276" t="s">
        <v>2086</v>
      </c>
      <c r="C276" t="s">
        <v>1032</v>
      </c>
      <c r="D276" t="s">
        <v>1279</v>
      </c>
      <c r="E276" t="s">
        <v>56</v>
      </c>
      <c r="F276" t="s">
        <v>1051</v>
      </c>
      <c r="G276" t="s">
        <v>1031</v>
      </c>
      <c r="H276" t="s">
        <v>1894</v>
      </c>
      <c r="I276" t="s">
        <v>1135</v>
      </c>
      <c r="J276" t="s">
        <v>1026</v>
      </c>
      <c r="K276" t="s">
        <v>1761</v>
      </c>
      <c r="L276" t="s">
        <v>1195</v>
      </c>
      <c r="M276" t="s">
        <v>979</v>
      </c>
      <c r="N276" t="s">
        <v>1679</v>
      </c>
      <c r="O276" t="s">
        <v>922</v>
      </c>
      <c r="P276" t="s">
        <v>1030</v>
      </c>
      <c r="Q276" t="s">
        <v>1665</v>
      </c>
      <c r="R276" t="s">
        <v>1274</v>
      </c>
      <c r="S276" t="s">
        <v>922</v>
      </c>
      <c r="T276" t="s">
        <v>956</v>
      </c>
      <c r="U276" t="s">
        <v>1765</v>
      </c>
      <c r="V276" t="s">
        <v>987</v>
      </c>
      <c r="W276" t="s">
        <v>925</v>
      </c>
      <c r="X276" t="s">
        <v>1135</v>
      </c>
      <c r="Y276" t="s">
        <v>962</v>
      </c>
      <c r="Z276" t="s">
        <v>1008</v>
      </c>
      <c r="AA276" t="s">
        <v>1008</v>
      </c>
      <c r="AB276" t="s">
        <v>1310</v>
      </c>
      <c r="AC276" t="s">
        <v>925</v>
      </c>
      <c r="AD276" t="s">
        <v>1108</v>
      </c>
      <c r="AE276">
        <v>9</v>
      </c>
      <c r="AF276">
        <v>9.0335000000000001</v>
      </c>
    </row>
    <row r="277" spans="1:32" x14ac:dyDescent="0.25">
      <c r="A277" s="191" t="s">
        <v>2087</v>
      </c>
      <c r="B277" t="s">
        <v>256</v>
      </c>
      <c r="C277" t="s">
        <v>1384</v>
      </c>
      <c r="D277" t="s">
        <v>113</v>
      </c>
      <c r="E277" t="s">
        <v>72</v>
      </c>
      <c r="F277" t="s">
        <v>1255</v>
      </c>
      <c r="G277" t="s">
        <v>1187</v>
      </c>
      <c r="H277" t="s">
        <v>1661</v>
      </c>
      <c r="I277" t="s">
        <v>970</v>
      </c>
      <c r="J277" t="s">
        <v>990</v>
      </c>
      <c r="K277" t="s">
        <v>1419</v>
      </c>
      <c r="L277" t="s">
        <v>1049</v>
      </c>
      <c r="M277" t="s">
        <v>962</v>
      </c>
      <c r="N277" t="s">
        <v>1475</v>
      </c>
      <c r="O277" t="s">
        <v>1230</v>
      </c>
      <c r="P277" t="s">
        <v>993</v>
      </c>
      <c r="Q277" t="s">
        <v>1115</v>
      </c>
      <c r="R277" t="s">
        <v>1042</v>
      </c>
      <c r="S277" t="s">
        <v>969</v>
      </c>
      <c r="T277" t="s">
        <v>969</v>
      </c>
      <c r="U277" t="s">
        <v>1969</v>
      </c>
      <c r="V277" t="s">
        <v>1195</v>
      </c>
      <c r="W277" t="s">
        <v>1134</v>
      </c>
      <c r="X277" t="s">
        <v>985</v>
      </c>
      <c r="Y277" t="s">
        <v>908</v>
      </c>
      <c r="Z277" t="s">
        <v>969</v>
      </c>
      <c r="AA277" t="s">
        <v>918</v>
      </c>
      <c r="AB277" t="s">
        <v>987</v>
      </c>
      <c r="AC277" t="s">
        <v>1230</v>
      </c>
      <c r="AD277" t="s">
        <v>1108</v>
      </c>
      <c r="AE277">
        <v>9.1</v>
      </c>
      <c r="AF277">
        <v>8.9548000000000005</v>
      </c>
    </row>
    <row r="278" spans="1:32" x14ac:dyDescent="0.25">
      <c r="A278" s="191" t="s">
        <v>2088</v>
      </c>
      <c r="B278" t="s">
        <v>2089</v>
      </c>
      <c r="C278" t="s">
        <v>995</v>
      </c>
      <c r="D278" t="s">
        <v>148</v>
      </c>
      <c r="E278" t="s">
        <v>63</v>
      </c>
      <c r="F278" t="s">
        <v>1107</v>
      </c>
      <c r="G278" t="s">
        <v>972</v>
      </c>
      <c r="H278" t="s">
        <v>1153</v>
      </c>
      <c r="I278" t="s">
        <v>1048</v>
      </c>
      <c r="J278" t="s">
        <v>1028</v>
      </c>
      <c r="K278" t="s">
        <v>1434</v>
      </c>
      <c r="L278" t="s">
        <v>1230</v>
      </c>
      <c r="M278" t="s">
        <v>919</v>
      </c>
      <c r="N278" t="s">
        <v>1282</v>
      </c>
      <c r="O278" t="s">
        <v>968</v>
      </c>
      <c r="P278" t="s">
        <v>970</v>
      </c>
      <c r="Q278" t="s">
        <v>1261</v>
      </c>
      <c r="R278" t="s">
        <v>1352</v>
      </c>
      <c r="S278" t="s">
        <v>1064</v>
      </c>
      <c r="T278" t="s">
        <v>1230</v>
      </c>
      <c r="U278" t="s">
        <v>1942</v>
      </c>
      <c r="V278" t="s">
        <v>1094</v>
      </c>
      <c r="W278" t="s">
        <v>1049</v>
      </c>
      <c r="X278" t="s">
        <v>925</v>
      </c>
      <c r="Y278" t="s">
        <v>1195</v>
      </c>
      <c r="Z278" t="s">
        <v>969</v>
      </c>
      <c r="AA278" t="s">
        <v>934</v>
      </c>
      <c r="AB278" t="s">
        <v>918</v>
      </c>
      <c r="AC278" t="s">
        <v>947</v>
      </c>
      <c r="AD278" t="s">
        <v>1108</v>
      </c>
      <c r="AE278">
        <v>8.9</v>
      </c>
      <c r="AF278">
        <v>9.0815000000000001</v>
      </c>
    </row>
    <row r="279" spans="1:32" x14ac:dyDescent="0.25">
      <c r="A279" s="191" t="s">
        <v>2090</v>
      </c>
      <c r="B279" t="s">
        <v>240</v>
      </c>
      <c r="C279" t="s">
        <v>1032</v>
      </c>
      <c r="D279" t="s">
        <v>131</v>
      </c>
      <c r="E279" t="s">
        <v>93</v>
      </c>
      <c r="F279" t="s">
        <v>1349</v>
      </c>
      <c r="G279" t="s">
        <v>1068</v>
      </c>
      <c r="H279" t="s">
        <v>1317</v>
      </c>
      <c r="I279" t="s">
        <v>970</v>
      </c>
      <c r="J279" t="s">
        <v>989</v>
      </c>
      <c r="K279" t="s">
        <v>1225</v>
      </c>
      <c r="L279" t="s">
        <v>1310</v>
      </c>
      <c r="M279" t="s">
        <v>1170</v>
      </c>
      <c r="N279" t="s">
        <v>1886</v>
      </c>
      <c r="O279" t="s">
        <v>922</v>
      </c>
      <c r="P279" t="s">
        <v>1160</v>
      </c>
      <c r="Q279" t="s">
        <v>1037</v>
      </c>
      <c r="R279" t="s">
        <v>1565</v>
      </c>
      <c r="S279" t="s">
        <v>923</v>
      </c>
      <c r="T279" t="s">
        <v>1195</v>
      </c>
      <c r="U279" t="s">
        <v>2091</v>
      </c>
      <c r="V279" t="s">
        <v>1008</v>
      </c>
      <c r="W279" t="s">
        <v>946</v>
      </c>
      <c r="X279" t="s">
        <v>1155</v>
      </c>
      <c r="Y279" t="s">
        <v>956</v>
      </c>
      <c r="Z279" t="s">
        <v>987</v>
      </c>
      <c r="AA279" t="s">
        <v>1065</v>
      </c>
      <c r="AB279" t="s">
        <v>1230</v>
      </c>
      <c r="AC279" t="s">
        <v>1230</v>
      </c>
      <c r="AD279" t="s">
        <v>1108</v>
      </c>
      <c r="AE279">
        <v>9.1</v>
      </c>
      <c r="AF279">
        <v>8.9801999999999982</v>
      </c>
    </row>
    <row r="280" spans="1:32" x14ac:dyDescent="0.25">
      <c r="A280" s="191" t="s">
        <v>2092</v>
      </c>
      <c r="B280" t="s">
        <v>2093</v>
      </c>
      <c r="C280" t="s">
        <v>929</v>
      </c>
      <c r="D280" t="s">
        <v>974</v>
      </c>
      <c r="E280" t="s">
        <v>72</v>
      </c>
      <c r="F280" t="s">
        <v>1177</v>
      </c>
      <c r="G280" t="s">
        <v>1204</v>
      </c>
      <c r="H280" t="s">
        <v>1098</v>
      </c>
      <c r="I280" t="s">
        <v>970</v>
      </c>
      <c r="J280" t="s">
        <v>1116</v>
      </c>
      <c r="K280" t="s">
        <v>1358</v>
      </c>
      <c r="L280" t="s">
        <v>969</v>
      </c>
      <c r="M280" t="s">
        <v>908</v>
      </c>
      <c r="N280" t="s">
        <v>1641</v>
      </c>
      <c r="O280" t="s">
        <v>1220</v>
      </c>
      <c r="P280" t="s">
        <v>1134</v>
      </c>
      <c r="Q280" t="s">
        <v>1115</v>
      </c>
      <c r="R280" t="s">
        <v>1339</v>
      </c>
      <c r="S280" t="s">
        <v>922</v>
      </c>
      <c r="T280" t="s">
        <v>993</v>
      </c>
      <c r="U280" t="s">
        <v>2094</v>
      </c>
      <c r="V280" t="s">
        <v>922</v>
      </c>
      <c r="W280" t="s">
        <v>1059</v>
      </c>
      <c r="X280" t="s">
        <v>1011</v>
      </c>
      <c r="Y280" t="s">
        <v>947</v>
      </c>
      <c r="Z280" t="s">
        <v>987</v>
      </c>
      <c r="AA280" t="s">
        <v>1008</v>
      </c>
      <c r="AB280" t="s">
        <v>1049</v>
      </c>
      <c r="AC280" t="s">
        <v>993</v>
      </c>
      <c r="AD280" t="s">
        <v>1024</v>
      </c>
      <c r="AE280">
        <v>8.8999999999999986</v>
      </c>
      <c r="AF280">
        <v>8.871100000000002</v>
      </c>
    </row>
    <row r="281" spans="1:32" x14ac:dyDescent="0.25">
      <c r="A281" s="191" t="s">
        <v>2092</v>
      </c>
      <c r="B281" t="s">
        <v>2093</v>
      </c>
      <c r="C281" t="s">
        <v>929</v>
      </c>
      <c r="D281" t="s">
        <v>1069</v>
      </c>
      <c r="E281" t="s">
        <v>72</v>
      </c>
      <c r="F281" t="s">
        <v>973</v>
      </c>
      <c r="G281" t="s">
        <v>1032</v>
      </c>
      <c r="H281" t="s">
        <v>1975</v>
      </c>
      <c r="I281" t="s">
        <v>1135</v>
      </c>
      <c r="J281" t="s">
        <v>940</v>
      </c>
      <c r="K281" t="s">
        <v>1337</v>
      </c>
      <c r="L281" t="s">
        <v>987</v>
      </c>
      <c r="M281" t="s">
        <v>924</v>
      </c>
      <c r="N281" t="s">
        <v>1315</v>
      </c>
      <c r="O281" t="s">
        <v>925</v>
      </c>
      <c r="P281" t="s">
        <v>1081</v>
      </c>
      <c r="Q281" t="s">
        <v>1352</v>
      </c>
      <c r="R281" t="s">
        <v>1274</v>
      </c>
      <c r="S281" t="s">
        <v>1049</v>
      </c>
      <c r="T281" t="s">
        <v>1104</v>
      </c>
      <c r="U281" t="s">
        <v>1875</v>
      </c>
      <c r="V281" t="s">
        <v>968</v>
      </c>
      <c r="W281" t="s">
        <v>1118</v>
      </c>
      <c r="X281" t="s">
        <v>911</v>
      </c>
      <c r="Y281" t="s">
        <v>1049</v>
      </c>
      <c r="Z281" t="s">
        <v>918</v>
      </c>
      <c r="AA281" t="s">
        <v>969</v>
      </c>
      <c r="AB281" t="s">
        <v>947</v>
      </c>
      <c r="AC281" t="s">
        <v>946</v>
      </c>
      <c r="AD281" t="s">
        <v>1152</v>
      </c>
      <c r="AE281">
        <v>8.7000000000000011</v>
      </c>
      <c r="AF281">
        <v>8.6050000000000004</v>
      </c>
    </row>
    <row r="282" spans="1:32" x14ac:dyDescent="0.25">
      <c r="A282" s="194" t="s">
        <v>874</v>
      </c>
      <c r="B282" t="s">
        <v>171</v>
      </c>
      <c r="C282" t="s">
        <v>875</v>
      </c>
      <c r="D282" t="s">
        <v>172</v>
      </c>
      <c r="E282" t="s">
        <v>876</v>
      </c>
      <c r="F282" t="s">
        <v>392</v>
      </c>
      <c r="G282" t="s">
        <v>877</v>
      </c>
      <c r="H282" t="s">
        <v>878</v>
      </c>
      <c r="I282" t="s">
        <v>879</v>
      </c>
      <c r="J282" t="s">
        <v>880</v>
      </c>
      <c r="K282" t="s">
        <v>881</v>
      </c>
      <c r="L282" t="s">
        <v>882</v>
      </c>
      <c r="M282" t="s">
        <v>883</v>
      </c>
      <c r="N282" t="s">
        <v>884</v>
      </c>
      <c r="O282" t="s">
        <v>885</v>
      </c>
      <c r="P282" t="s">
        <v>886</v>
      </c>
      <c r="Q282" t="s">
        <v>887</v>
      </c>
      <c r="R282" t="s">
        <v>888</v>
      </c>
      <c r="S282" t="s">
        <v>889</v>
      </c>
      <c r="T282" t="s">
        <v>890</v>
      </c>
      <c r="U282" t="s">
        <v>891</v>
      </c>
      <c r="V282" t="s">
        <v>892</v>
      </c>
      <c r="W282" t="s">
        <v>893</v>
      </c>
      <c r="X282" t="s">
        <v>894</v>
      </c>
      <c r="Y282" t="s">
        <v>895</v>
      </c>
      <c r="Z282" t="s">
        <v>896</v>
      </c>
      <c r="AA282" t="s">
        <v>897</v>
      </c>
      <c r="AB282" t="s">
        <v>898</v>
      </c>
      <c r="AC282" t="s">
        <v>93</v>
      </c>
      <c r="AD282" t="s">
        <v>899</v>
      </c>
      <c r="AE282" t="e">
        <v>#VALUE!</v>
      </c>
      <c r="AF282" t="e">
        <v>#VALUE!</v>
      </c>
    </row>
    <row r="283" spans="1:32" x14ac:dyDescent="0.25">
      <c r="A283" s="191" t="s">
        <v>2092</v>
      </c>
      <c r="B283" t="s">
        <v>2093</v>
      </c>
      <c r="C283" t="s">
        <v>929</v>
      </c>
      <c r="D283" t="s">
        <v>1149</v>
      </c>
      <c r="E283" t="s">
        <v>72</v>
      </c>
      <c r="F283" t="s">
        <v>902</v>
      </c>
      <c r="G283" t="s">
        <v>1096</v>
      </c>
      <c r="H283" t="s">
        <v>1073</v>
      </c>
      <c r="I283" t="s">
        <v>992</v>
      </c>
      <c r="J283" t="s">
        <v>1118</v>
      </c>
      <c r="K283" t="s">
        <v>1587</v>
      </c>
      <c r="L283" t="s">
        <v>1065</v>
      </c>
      <c r="M283" t="s">
        <v>968</v>
      </c>
      <c r="N283" t="s">
        <v>2095</v>
      </c>
      <c r="O283" t="s">
        <v>946</v>
      </c>
      <c r="P283" t="s">
        <v>1291</v>
      </c>
      <c r="Q283" t="s">
        <v>1504</v>
      </c>
      <c r="R283" t="s">
        <v>1615</v>
      </c>
      <c r="S283" t="s">
        <v>1230</v>
      </c>
      <c r="T283" t="s">
        <v>947</v>
      </c>
      <c r="U283" t="s">
        <v>961</v>
      </c>
      <c r="V283" t="s">
        <v>1310</v>
      </c>
      <c r="W283" t="s">
        <v>920</v>
      </c>
      <c r="X283" t="s">
        <v>940</v>
      </c>
      <c r="Y283" t="s">
        <v>1012</v>
      </c>
      <c r="Z283" t="s">
        <v>1008</v>
      </c>
      <c r="AA283" t="s">
        <v>1008</v>
      </c>
      <c r="AB283" t="s">
        <v>1310</v>
      </c>
      <c r="AC283" t="s">
        <v>956</v>
      </c>
      <c r="AD283" t="s">
        <v>911</v>
      </c>
      <c r="AE283">
        <v>9.1</v>
      </c>
      <c r="AF283">
        <v>9.196299999999999</v>
      </c>
    </row>
    <row r="284" spans="1:32" x14ac:dyDescent="0.25">
      <c r="A284" s="191" t="s">
        <v>2096</v>
      </c>
      <c r="B284" t="s">
        <v>2097</v>
      </c>
      <c r="C284" t="s">
        <v>929</v>
      </c>
      <c r="D284" t="s">
        <v>111</v>
      </c>
      <c r="E284" t="s">
        <v>72</v>
      </c>
      <c r="F284" t="s">
        <v>1480</v>
      </c>
      <c r="G284" t="s">
        <v>1403</v>
      </c>
      <c r="H284" t="s">
        <v>1398</v>
      </c>
      <c r="I284" t="s">
        <v>1228</v>
      </c>
      <c r="J284" t="s">
        <v>1128</v>
      </c>
      <c r="K284" t="s">
        <v>1057</v>
      </c>
      <c r="L284" t="s">
        <v>1600</v>
      </c>
      <c r="M284" t="s">
        <v>1600</v>
      </c>
      <c r="N284" t="s">
        <v>1646</v>
      </c>
      <c r="O284" t="s">
        <v>1228</v>
      </c>
      <c r="P284" t="s">
        <v>1128</v>
      </c>
      <c r="Q284" t="s">
        <v>1192</v>
      </c>
      <c r="R284" t="s">
        <v>1057</v>
      </c>
      <c r="S284" t="s">
        <v>918</v>
      </c>
      <c r="T284" t="s">
        <v>968</v>
      </c>
      <c r="U284" t="s">
        <v>984</v>
      </c>
      <c r="V284" t="s">
        <v>1048</v>
      </c>
      <c r="W284" t="s">
        <v>1329</v>
      </c>
      <c r="X284" t="s">
        <v>1182</v>
      </c>
      <c r="Y284" t="s">
        <v>1064</v>
      </c>
      <c r="Z284" t="s">
        <v>969</v>
      </c>
      <c r="AA284" t="s">
        <v>923</v>
      </c>
      <c r="AB284" t="s">
        <v>918</v>
      </c>
      <c r="AC284" t="s">
        <v>1049</v>
      </c>
      <c r="AD284" t="s">
        <v>1024</v>
      </c>
      <c r="AE284">
        <v>8.9</v>
      </c>
      <c r="AF284">
        <v>8.9168000000000003</v>
      </c>
    </row>
    <row r="285" spans="1:32" x14ac:dyDescent="0.25">
      <c r="A285" s="191" t="s">
        <v>2098</v>
      </c>
      <c r="B285" t="s">
        <v>360</v>
      </c>
      <c r="C285" t="s">
        <v>1032</v>
      </c>
      <c r="D285" t="s">
        <v>45</v>
      </c>
      <c r="E285" t="s">
        <v>63</v>
      </c>
      <c r="F285" t="s">
        <v>1446</v>
      </c>
      <c r="G285" t="s">
        <v>1222</v>
      </c>
      <c r="H285" t="s">
        <v>1125</v>
      </c>
      <c r="I285" t="s">
        <v>1048</v>
      </c>
      <c r="J285" t="s">
        <v>988</v>
      </c>
      <c r="K285" t="s">
        <v>1729</v>
      </c>
      <c r="L285" t="s">
        <v>968</v>
      </c>
      <c r="M285" t="s">
        <v>1046</v>
      </c>
      <c r="N285" t="s">
        <v>1169</v>
      </c>
      <c r="O285" t="s">
        <v>1195</v>
      </c>
      <c r="P285" t="s">
        <v>993</v>
      </c>
      <c r="Q285" t="s">
        <v>1226</v>
      </c>
      <c r="R285" t="s">
        <v>1656</v>
      </c>
      <c r="S285" t="s">
        <v>1008</v>
      </c>
      <c r="T285" t="s">
        <v>987</v>
      </c>
      <c r="U285" t="s">
        <v>1701</v>
      </c>
      <c r="V285" t="s">
        <v>1008</v>
      </c>
      <c r="W285" t="s">
        <v>925</v>
      </c>
      <c r="X285" t="s">
        <v>964</v>
      </c>
      <c r="Y285" t="s">
        <v>1064</v>
      </c>
      <c r="Z285" t="s">
        <v>969</v>
      </c>
      <c r="AA285" t="s">
        <v>1119</v>
      </c>
      <c r="AB285" t="s">
        <v>969</v>
      </c>
      <c r="AC285" t="s">
        <v>956</v>
      </c>
      <c r="AD285" t="s">
        <v>1024</v>
      </c>
      <c r="AE285">
        <v>8.9</v>
      </c>
      <c r="AF285">
        <v>8.8764000000000003</v>
      </c>
    </row>
    <row r="286" spans="1:32" x14ac:dyDescent="0.25">
      <c r="A286" s="191" t="s">
        <v>2099</v>
      </c>
      <c r="B286" t="s">
        <v>2100</v>
      </c>
      <c r="C286" t="s">
        <v>1015</v>
      </c>
      <c r="D286" t="s">
        <v>156</v>
      </c>
      <c r="E286" t="s">
        <v>63</v>
      </c>
      <c r="F286" t="s">
        <v>1107</v>
      </c>
      <c r="G286" t="s">
        <v>1121</v>
      </c>
      <c r="H286" t="s">
        <v>2101</v>
      </c>
      <c r="I286" t="s">
        <v>1048</v>
      </c>
      <c r="J286" t="s">
        <v>1006</v>
      </c>
      <c r="K286" t="s">
        <v>1157</v>
      </c>
      <c r="L286" t="s">
        <v>922</v>
      </c>
      <c r="M286" t="s">
        <v>1228</v>
      </c>
      <c r="N286" t="s">
        <v>1784</v>
      </c>
      <c r="O286" t="s">
        <v>1230</v>
      </c>
      <c r="P286" t="s">
        <v>1012</v>
      </c>
      <c r="Q286" t="s">
        <v>1042</v>
      </c>
      <c r="R286" t="s">
        <v>1325</v>
      </c>
      <c r="S286" t="s">
        <v>987</v>
      </c>
      <c r="T286" t="s">
        <v>918</v>
      </c>
      <c r="U286" t="s">
        <v>1969</v>
      </c>
      <c r="V286" t="s">
        <v>969</v>
      </c>
      <c r="W286" t="s">
        <v>925</v>
      </c>
      <c r="X286" t="s">
        <v>1104</v>
      </c>
      <c r="Y286" t="s">
        <v>970</v>
      </c>
      <c r="Z286" t="s">
        <v>987</v>
      </c>
      <c r="AA286" t="s">
        <v>1119</v>
      </c>
      <c r="AB286" t="s">
        <v>1064</v>
      </c>
      <c r="AC286" t="s">
        <v>918</v>
      </c>
      <c r="AD286" t="s">
        <v>1024</v>
      </c>
      <c r="AE286">
        <v>8.9</v>
      </c>
      <c r="AF286">
        <v>8.8459000000000003</v>
      </c>
    </row>
    <row r="287" spans="1:32" x14ac:dyDescent="0.25">
      <c r="A287" s="194" t="s">
        <v>2102</v>
      </c>
      <c r="B287" t="s">
        <v>351</v>
      </c>
      <c r="C287" t="s">
        <v>1032</v>
      </c>
      <c r="D287" t="s">
        <v>77</v>
      </c>
      <c r="E287" t="s">
        <v>47</v>
      </c>
      <c r="F287" t="s">
        <v>1070</v>
      </c>
      <c r="G287" t="s">
        <v>1176</v>
      </c>
      <c r="H287" t="s">
        <v>1383</v>
      </c>
      <c r="I287" t="s">
        <v>1000</v>
      </c>
      <c r="J287" t="s">
        <v>1006</v>
      </c>
      <c r="K287" t="s">
        <v>1091</v>
      </c>
      <c r="L287" t="s">
        <v>945</v>
      </c>
      <c r="M287" t="s">
        <v>946</v>
      </c>
      <c r="N287" t="s">
        <v>1111</v>
      </c>
      <c r="O287" t="s">
        <v>925</v>
      </c>
      <c r="P287" t="s">
        <v>979</v>
      </c>
      <c r="Q287" t="s">
        <v>2103</v>
      </c>
      <c r="R287" t="s">
        <v>933</v>
      </c>
      <c r="S287" t="s">
        <v>987</v>
      </c>
      <c r="T287" t="s">
        <v>945</v>
      </c>
      <c r="U287" t="s">
        <v>2104</v>
      </c>
      <c r="V287" t="s">
        <v>968</v>
      </c>
      <c r="W287" t="s">
        <v>1160</v>
      </c>
      <c r="X287" t="s">
        <v>909</v>
      </c>
      <c r="Y287" t="s">
        <v>923</v>
      </c>
      <c r="Z287" t="s">
        <v>923</v>
      </c>
      <c r="AA287" t="s">
        <v>969</v>
      </c>
      <c r="AB287" t="s">
        <v>918</v>
      </c>
      <c r="AC287" t="s">
        <v>968</v>
      </c>
      <c r="AD287" t="s">
        <v>916</v>
      </c>
      <c r="AE287">
        <v>8.8000000000000007</v>
      </c>
      <c r="AF287">
        <v>8.7518999999999991</v>
      </c>
    </row>
    <row r="288" spans="1:32" x14ac:dyDescent="0.25">
      <c r="A288" s="191" t="s">
        <v>2105</v>
      </c>
      <c r="B288" t="s">
        <v>2106</v>
      </c>
      <c r="C288" t="s">
        <v>1293</v>
      </c>
      <c r="D288" t="s">
        <v>45</v>
      </c>
      <c r="E288" t="s">
        <v>47</v>
      </c>
      <c r="F288" t="s">
        <v>1384</v>
      </c>
      <c r="G288" t="s">
        <v>1147</v>
      </c>
      <c r="H288" t="s">
        <v>1017</v>
      </c>
      <c r="I288" t="s">
        <v>946</v>
      </c>
      <c r="J288" t="s">
        <v>915</v>
      </c>
      <c r="K288" t="s">
        <v>1595</v>
      </c>
      <c r="L288" t="s">
        <v>968</v>
      </c>
      <c r="M288" t="s">
        <v>1043</v>
      </c>
      <c r="N288" t="s">
        <v>1726</v>
      </c>
      <c r="O288" t="s">
        <v>1195</v>
      </c>
      <c r="P288" t="s">
        <v>1012</v>
      </c>
      <c r="Q288" t="s">
        <v>1514</v>
      </c>
      <c r="R288" t="s">
        <v>1262</v>
      </c>
      <c r="S288" t="s">
        <v>1008</v>
      </c>
      <c r="T288" t="s">
        <v>918</v>
      </c>
      <c r="U288" t="s">
        <v>963</v>
      </c>
      <c r="V288" t="s">
        <v>969</v>
      </c>
      <c r="W288" t="s">
        <v>968</v>
      </c>
      <c r="X288" t="s">
        <v>924</v>
      </c>
      <c r="Y288" t="s">
        <v>956</v>
      </c>
      <c r="Z288" t="s">
        <v>1065</v>
      </c>
      <c r="AA288" t="s">
        <v>934</v>
      </c>
      <c r="AB288" t="s">
        <v>1230</v>
      </c>
      <c r="AC288" t="s">
        <v>1064</v>
      </c>
      <c r="AD288" t="s">
        <v>916</v>
      </c>
      <c r="AE288">
        <v>8.6999999999999993</v>
      </c>
      <c r="AF288">
        <v>8.7275000000000009</v>
      </c>
    </row>
    <row r="289" spans="1:32" x14ac:dyDescent="0.25">
      <c r="A289" s="191" t="s">
        <v>2107</v>
      </c>
      <c r="B289" t="s">
        <v>335</v>
      </c>
      <c r="C289" t="s">
        <v>1390</v>
      </c>
      <c r="D289" t="s">
        <v>70</v>
      </c>
      <c r="E289" t="s">
        <v>56</v>
      </c>
      <c r="F289" t="s">
        <v>1416</v>
      </c>
      <c r="G289" t="s">
        <v>1416</v>
      </c>
      <c r="H289" t="s">
        <v>1742</v>
      </c>
      <c r="I289" t="s">
        <v>1135</v>
      </c>
      <c r="J289" t="s">
        <v>1128</v>
      </c>
      <c r="K289" t="s">
        <v>1908</v>
      </c>
      <c r="L289" t="s">
        <v>922</v>
      </c>
      <c r="M289" t="s">
        <v>1047</v>
      </c>
      <c r="N289" t="s">
        <v>1456</v>
      </c>
      <c r="O289" t="s">
        <v>1195</v>
      </c>
      <c r="P289" t="s">
        <v>1012</v>
      </c>
      <c r="Q289" t="s">
        <v>1308</v>
      </c>
      <c r="R289" t="s">
        <v>1042</v>
      </c>
      <c r="S289" t="s">
        <v>923</v>
      </c>
      <c r="T289" t="s">
        <v>1064</v>
      </c>
      <c r="U289" t="s">
        <v>2108</v>
      </c>
      <c r="V289" t="s">
        <v>991</v>
      </c>
      <c r="W289" t="s">
        <v>1048</v>
      </c>
      <c r="X289" t="s">
        <v>992</v>
      </c>
      <c r="Y289" t="s">
        <v>988</v>
      </c>
      <c r="Z289" t="s">
        <v>1195</v>
      </c>
      <c r="AA289" t="s">
        <v>1094</v>
      </c>
      <c r="AB289" t="s">
        <v>1029</v>
      </c>
      <c r="AC289" t="s">
        <v>968</v>
      </c>
      <c r="AD289" t="s">
        <v>916</v>
      </c>
      <c r="AE289">
        <v>8.6999999999999993</v>
      </c>
      <c r="AF289">
        <v>8.7786999999999988</v>
      </c>
    </row>
    <row r="290" spans="1:32" x14ac:dyDescent="0.25">
      <c r="A290" s="191" t="s">
        <v>2109</v>
      </c>
      <c r="B290" t="s">
        <v>2110</v>
      </c>
      <c r="C290" t="s">
        <v>1355</v>
      </c>
      <c r="D290" t="s">
        <v>974</v>
      </c>
      <c r="E290" t="s">
        <v>72</v>
      </c>
      <c r="F290" t="s">
        <v>1422</v>
      </c>
      <c r="G290" t="s">
        <v>995</v>
      </c>
      <c r="H290" t="s">
        <v>1054</v>
      </c>
      <c r="I290" t="s">
        <v>1135</v>
      </c>
      <c r="J290" t="s">
        <v>1059</v>
      </c>
      <c r="K290" t="s">
        <v>1131</v>
      </c>
      <c r="L290" t="s">
        <v>987</v>
      </c>
      <c r="M290" t="s">
        <v>968</v>
      </c>
      <c r="N290" t="s">
        <v>1373</v>
      </c>
      <c r="O290" t="s">
        <v>947</v>
      </c>
      <c r="P290" t="s">
        <v>1170</v>
      </c>
      <c r="Q290" t="s">
        <v>1226</v>
      </c>
      <c r="R290" t="s">
        <v>1324</v>
      </c>
      <c r="S290" t="s">
        <v>1049</v>
      </c>
      <c r="T290" t="s">
        <v>993</v>
      </c>
      <c r="U290" t="s">
        <v>1947</v>
      </c>
      <c r="V290" t="s">
        <v>1230</v>
      </c>
      <c r="W290" t="s">
        <v>970</v>
      </c>
      <c r="X290" t="s">
        <v>957</v>
      </c>
      <c r="Y290" t="s">
        <v>964</v>
      </c>
      <c r="Z290" t="s">
        <v>987</v>
      </c>
      <c r="AA290" t="s">
        <v>991</v>
      </c>
      <c r="AB290" t="s">
        <v>922</v>
      </c>
      <c r="AC290" t="s">
        <v>1104</v>
      </c>
      <c r="AD290" t="s">
        <v>1062</v>
      </c>
      <c r="AE290">
        <v>8.7000000000000011</v>
      </c>
      <c r="AF290">
        <v>8.7721</v>
      </c>
    </row>
    <row r="291" spans="1:32" x14ac:dyDescent="0.25">
      <c r="A291" s="191" t="s">
        <v>2109</v>
      </c>
      <c r="B291" t="s">
        <v>2110</v>
      </c>
      <c r="C291" t="s">
        <v>1355</v>
      </c>
      <c r="D291" t="s">
        <v>163</v>
      </c>
      <c r="E291" t="s">
        <v>72</v>
      </c>
      <c r="F291" t="s">
        <v>1084</v>
      </c>
      <c r="G291" t="s">
        <v>928</v>
      </c>
      <c r="H291" t="s">
        <v>1332</v>
      </c>
      <c r="I291" t="s">
        <v>993</v>
      </c>
      <c r="J291" t="s">
        <v>1046</v>
      </c>
      <c r="K291" t="s">
        <v>1131</v>
      </c>
      <c r="L291" t="s">
        <v>987</v>
      </c>
      <c r="M291" t="s">
        <v>968</v>
      </c>
      <c r="N291" t="s">
        <v>1603</v>
      </c>
      <c r="O291" t="s">
        <v>922</v>
      </c>
      <c r="P291" t="s">
        <v>946</v>
      </c>
      <c r="Q291" t="s">
        <v>1381</v>
      </c>
      <c r="R291" t="s">
        <v>1520</v>
      </c>
      <c r="S291" t="s">
        <v>1230</v>
      </c>
      <c r="T291" t="s">
        <v>968</v>
      </c>
      <c r="U291" t="s">
        <v>1025</v>
      </c>
      <c r="V291" t="s">
        <v>923</v>
      </c>
      <c r="W291" t="s">
        <v>1220</v>
      </c>
      <c r="X291" t="s">
        <v>1030</v>
      </c>
      <c r="Y291" t="s">
        <v>947</v>
      </c>
      <c r="Z291" t="s">
        <v>1008</v>
      </c>
      <c r="AA291" t="s">
        <v>1094</v>
      </c>
      <c r="AB291" t="s">
        <v>1310</v>
      </c>
      <c r="AC291" t="s">
        <v>993</v>
      </c>
      <c r="AD291" t="s">
        <v>1128</v>
      </c>
      <c r="AE291">
        <v>7.2000000000000011</v>
      </c>
      <c r="AF291">
        <v>7.1152000000000006</v>
      </c>
    </row>
    <row r="292" spans="1:32" x14ac:dyDescent="0.25">
      <c r="A292" s="194" t="s">
        <v>2109</v>
      </c>
      <c r="B292" t="s">
        <v>2110</v>
      </c>
      <c r="C292" t="s">
        <v>1355</v>
      </c>
      <c r="D292" t="s">
        <v>83</v>
      </c>
      <c r="E292" t="s">
        <v>72</v>
      </c>
      <c r="F292" t="s">
        <v>1238</v>
      </c>
      <c r="G292" t="s">
        <v>1238</v>
      </c>
      <c r="H292" t="s">
        <v>1736</v>
      </c>
      <c r="I292" t="s">
        <v>1155</v>
      </c>
      <c r="J292" t="s">
        <v>1028</v>
      </c>
      <c r="K292" t="s">
        <v>1131</v>
      </c>
      <c r="L292" t="s">
        <v>1008</v>
      </c>
      <c r="M292" t="s">
        <v>968</v>
      </c>
      <c r="N292" t="s">
        <v>1461</v>
      </c>
      <c r="O292" t="s">
        <v>946</v>
      </c>
      <c r="P292" t="s">
        <v>909</v>
      </c>
      <c r="Q292" t="s">
        <v>1261</v>
      </c>
      <c r="R292" t="s">
        <v>1042</v>
      </c>
      <c r="S292" t="s">
        <v>993</v>
      </c>
      <c r="T292" t="s">
        <v>970</v>
      </c>
      <c r="U292" t="s">
        <v>1484</v>
      </c>
      <c r="V292" t="s">
        <v>1049</v>
      </c>
      <c r="W292" t="s">
        <v>1228</v>
      </c>
      <c r="X292" t="s">
        <v>1126</v>
      </c>
      <c r="Y292" t="s">
        <v>992</v>
      </c>
      <c r="Z292" t="s">
        <v>918</v>
      </c>
      <c r="AA292" t="s">
        <v>969</v>
      </c>
      <c r="AB292" t="s">
        <v>908</v>
      </c>
      <c r="AC292" t="s">
        <v>1048</v>
      </c>
      <c r="AD292" t="s">
        <v>1655</v>
      </c>
      <c r="AE292">
        <v>10.799999999999999</v>
      </c>
      <c r="AF292">
        <v>10.687799999999999</v>
      </c>
    </row>
    <row r="293" spans="1:32" x14ac:dyDescent="0.25">
      <c r="A293" s="191" t="s">
        <v>2111</v>
      </c>
      <c r="B293" t="s">
        <v>216</v>
      </c>
      <c r="C293" t="s">
        <v>1176</v>
      </c>
      <c r="D293" t="s">
        <v>974</v>
      </c>
      <c r="E293" t="s">
        <v>93</v>
      </c>
      <c r="F293" t="s">
        <v>1349</v>
      </c>
      <c r="G293" t="s">
        <v>1233</v>
      </c>
      <c r="H293" t="s">
        <v>1992</v>
      </c>
      <c r="I293" t="s">
        <v>946</v>
      </c>
      <c r="J293" t="s">
        <v>1116</v>
      </c>
      <c r="K293" t="s">
        <v>1168</v>
      </c>
      <c r="L293" t="s">
        <v>956</v>
      </c>
      <c r="M293" t="s">
        <v>920</v>
      </c>
      <c r="N293" t="s">
        <v>1266</v>
      </c>
      <c r="O293" t="s">
        <v>923</v>
      </c>
      <c r="P293" t="s">
        <v>1049</v>
      </c>
      <c r="Q293" t="s">
        <v>1713</v>
      </c>
      <c r="R293" t="s">
        <v>1768</v>
      </c>
      <c r="S293" t="s">
        <v>1065</v>
      </c>
      <c r="T293" t="s">
        <v>1008</v>
      </c>
      <c r="U293" t="s">
        <v>1696</v>
      </c>
      <c r="V293" t="s">
        <v>1195</v>
      </c>
      <c r="W293" t="s">
        <v>1220</v>
      </c>
      <c r="X293" t="s">
        <v>1160</v>
      </c>
      <c r="Y293" t="s">
        <v>1230</v>
      </c>
      <c r="Z293" t="s">
        <v>918</v>
      </c>
      <c r="AA293" t="s">
        <v>991</v>
      </c>
      <c r="AB293" t="s">
        <v>918</v>
      </c>
      <c r="AC293" t="s">
        <v>925</v>
      </c>
      <c r="AD293" t="s">
        <v>1062</v>
      </c>
      <c r="AE293">
        <v>8.6999999999999993</v>
      </c>
      <c r="AF293">
        <v>8.7029000000000014</v>
      </c>
    </row>
    <row r="294" spans="1:32" x14ac:dyDescent="0.25">
      <c r="A294" s="191" t="s">
        <v>2111</v>
      </c>
      <c r="B294" t="s">
        <v>216</v>
      </c>
      <c r="C294" t="s">
        <v>1176</v>
      </c>
      <c r="D294" t="s">
        <v>1279</v>
      </c>
      <c r="E294" t="s">
        <v>93</v>
      </c>
      <c r="F294" t="s">
        <v>1238</v>
      </c>
      <c r="G294" t="s">
        <v>1238</v>
      </c>
      <c r="H294" t="s">
        <v>2112</v>
      </c>
      <c r="I294" t="s">
        <v>1030</v>
      </c>
      <c r="J294" t="s">
        <v>1061</v>
      </c>
      <c r="K294" t="s">
        <v>1904</v>
      </c>
      <c r="L294" t="s">
        <v>924</v>
      </c>
      <c r="M294" t="s">
        <v>1329</v>
      </c>
      <c r="N294" t="s">
        <v>1718</v>
      </c>
      <c r="O294" t="s">
        <v>1195</v>
      </c>
      <c r="P294" t="s">
        <v>1012</v>
      </c>
      <c r="Q294" t="s">
        <v>1436</v>
      </c>
      <c r="R294" t="s">
        <v>939</v>
      </c>
      <c r="S294" t="s">
        <v>987</v>
      </c>
      <c r="T294" t="s">
        <v>945</v>
      </c>
      <c r="U294" t="s">
        <v>1842</v>
      </c>
      <c r="V294" t="s">
        <v>1029</v>
      </c>
      <c r="W294" t="s">
        <v>1135</v>
      </c>
      <c r="X294" t="s">
        <v>1211</v>
      </c>
      <c r="Y294" t="s">
        <v>1029</v>
      </c>
      <c r="Z294" t="s">
        <v>918</v>
      </c>
      <c r="AA294" t="s">
        <v>969</v>
      </c>
      <c r="AB294" t="s">
        <v>918</v>
      </c>
      <c r="AC294" t="s">
        <v>1220</v>
      </c>
      <c r="AD294" t="s">
        <v>1020</v>
      </c>
      <c r="AE294">
        <v>10.600000000000001</v>
      </c>
      <c r="AF294">
        <v>10.449</v>
      </c>
    </row>
    <row r="295" spans="1:32" x14ac:dyDescent="0.25">
      <c r="A295" s="191" t="s">
        <v>2111</v>
      </c>
      <c r="B295" t="s">
        <v>216</v>
      </c>
      <c r="C295" t="s">
        <v>1176</v>
      </c>
      <c r="D295" t="s">
        <v>1014</v>
      </c>
      <c r="E295" t="s">
        <v>93</v>
      </c>
      <c r="F295" t="s">
        <v>1414</v>
      </c>
      <c r="G295" t="s">
        <v>1238</v>
      </c>
      <c r="H295" t="s">
        <v>1465</v>
      </c>
      <c r="I295" t="s">
        <v>1104</v>
      </c>
      <c r="J295" t="s">
        <v>921</v>
      </c>
      <c r="K295" t="s">
        <v>1603</v>
      </c>
      <c r="L295" t="s">
        <v>1049</v>
      </c>
      <c r="M295" t="s">
        <v>1134</v>
      </c>
      <c r="N295" t="s">
        <v>1686</v>
      </c>
      <c r="O295" t="s">
        <v>918</v>
      </c>
      <c r="P295" t="s">
        <v>1029</v>
      </c>
      <c r="Q295" t="s">
        <v>913</v>
      </c>
      <c r="R295" t="s">
        <v>1813</v>
      </c>
      <c r="S295" t="s">
        <v>1094</v>
      </c>
      <c r="T295" t="s">
        <v>1065</v>
      </c>
      <c r="U295" t="s">
        <v>1999</v>
      </c>
      <c r="V295" t="s">
        <v>1064</v>
      </c>
      <c r="W295" t="s">
        <v>993</v>
      </c>
      <c r="X295" t="s">
        <v>992</v>
      </c>
      <c r="Y295" t="s">
        <v>1230</v>
      </c>
      <c r="Z295" t="s">
        <v>918</v>
      </c>
      <c r="AA295" t="s">
        <v>1094</v>
      </c>
      <c r="AB295" t="s">
        <v>918</v>
      </c>
      <c r="AC295" t="s">
        <v>1049</v>
      </c>
      <c r="AD295" t="s">
        <v>915</v>
      </c>
      <c r="AE295">
        <v>7.7999999999999989</v>
      </c>
      <c r="AF295">
        <v>7.9154000000000009</v>
      </c>
    </row>
    <row r="296" spans="1:32" x14ac:dyDescent="0.25">
      <c r="A296" s="191" t="s">
        <v>2113</v>
      </c>
      <c r="B296" t="s">
        <v>2114</v>
      </c>
      <c r="C296" t="s">
        <v>902</v>
      </c>
      <c r="D296" t="s">
        <v>108</v>
      </c>
      <c r="E296" t="s">
        <v>47</v>
      </c>
      <c r="F296" t="s">
        <v>1051</v>
      </c>
      <c r="G296" t="s">
        <v>928</v>
      </c>
      <c r="H296" t="s">
        <v>1975</v>
      </c>
      <c r="I296" t="s">
        <v>1048</v>
      </c>
      <c r="J296" t="s">
        <v>940</v>
      </c>
      <c r="K296" t="s">
        <v>1845</v>
      </c>
      <c r="L296" t="s">
        <v>923</v>
      </c>
      <c r="M296" t="s">
        <v>1135</v>
      </c>
      <c r="N296" t="s">
        <v>1666</v>
      </c>
      <c r="O296" t="s">
        <v>925</v>
      </c>
      <c r="P296" t="s">
        <v>979</v>
      </c>
      <c r="Q296" t="s">
        <v>2115</v>
      </c>
      <c r="R296" t="s">
        <v>1333</v>
      </c>
      <c r="S296" t="s">
        <v>1195</v>
      </c>
      <c r="T296" t="s">
        <v>947</v>
      </c>
      <c r="U296" t="s">
        <v>913</v>
      </c>
      <c r="V296" t="s">
        <v>945</v>
      </c>
      <c r="W296" t="s">
        <v>993</v>
      </c>
      <c r="X296" t="s">
        <v>1030</v>
      </c>
      <c r="Y296" t="s">
        <v>1008</v>
      </c>
      <c r="Z296" t="s">
        <v>1008</v>
      </c>
      <c r="AA296" t="s">
        <v>1065</v>
      </c>
      <c r="AB296" t="s">
        <v>1195</v>
      </c>
      <c r="AC296" t="s">
        <v>947</v>
      </c>
      <c r="AD296" t="s">
        <v>1062</v>
      </c>
      <c r="AE296">
        <v>8.7000000000000011</v>
      </c>
      <c r="AF296">
        <v>8.6433</v>
      </c>
    </row>
    <row r="297" spans="1:32" x14ac:dyDescent="0.25">
      <c r="A297" s="194" t="s">
        <v>2116</v>
      </c>
      <c r="B297" t="s">
        <v>166</v>
      </c>
      <c r="C297" t="s">
        <v>1176</v>
      </c>
      <c r="D297" t="s">
        <v>142</v>
      </c>
      <c r="E297" t="s">
        <v>63</v>
      </c>
      <c r="F297" t="s">
        <v>1285</v>
      </c>
      <c r="G297" t="s">
        <v>1285</v>
      </c>
      <c r="H297" t="s">
        <v>971</v>
      </c>
      <c r="I297" t="s">
        <v>946</v>
      </c>
      <c r="J297" t="s">
        <v>1128</v>
      </c>
      <c r="K297" t="s">
        <v>1577</v>
      </c>
      <c r="L297" t="s">
        <v>1310</v>
      </c>
      <c r="M297" t="s">
        <v>1170</v>
      </c>
      <c r="N297" t="s">
        <v>1756</v>
      </c>
      <c r="O297" t="s">
        <v>1029</v>
      </c>
      <c r="P297" t="s">
        <v>1104</v>
      </c>
      <c r="Q297" t="s">
        <v>2117</v>
      </c>
      <c r="R297" t="s">
        <v>1396</v>
      </c>
      <c r="S297" t="s">
        <v>1064</v>
      </c>
      <c r="T297" t="s">
        <v>945</v>
      </c>
      <c r="U297" t="s">
        <v>2118</v>
      </c>
      <c r="V297" t="s">
        <v>991</v>
      </c>
      <c r="W297" t="s">
        <v>968</v>
      </c>
      <c r="X297" t="s">
        <v>925</v>
      </c>
      <c r="Y297" t="s">
        <v>968</v>
      </c>
      <c r="Z297" t="s">
        <v>1195</v>
      </c>
      <c r="AA297" t="s">
        <v>991</v>
      </c>
      <c r="AB297" t="s">
        <v>987</v>
      </c>
      <c r="AC297" t="s">
        <v>968</v>
      </c>
      <c r="AD297" t="s">
        <v>1062</v>
      </c>
      <c r="AE297">
        <v>8.8000000000000007</v>
      </c>
      <c r="AF297">
        <v>8.7458000000000009</v>
      </c>
    </row>
    <row r="298" spans="1:32" x14ac:dyDescent="0.25">
      <c r="A298" s="191" t="s">
        <v>2119</v>
      </c>
      <c r="B298" t="s">
        <v>196</v>
      </c>
      <c r="C298" t="s">
        <v>1238</v>
      </c>
      <c r="D298" t="s">
        <v>45</v>
      </c>
      <c r="E298" t="s">
        <v>56</v>
      </c>
      <c r="F298" t="s">
        <v>1271</v>
      </c>
      <c r="G298" t="s">
        <v>1123</v>
      </c>
      <c r="H298" t="s">
        <v>1136</v>
      </c>
      <c r="I298" t="s">
        <v>970</v>
      </c>
      <c r="J298" t="s">
        <v>1011</v>
      </c>
      <c r="K298" t="s">
        <v>1863</v>
      </c>
      <c r="L298" t="s">
        <v>969</v>
      </c>
      <c r="M298" t="s">
        <v>924</v>
      </c>
      <c r="N298" t="s">
        <v>2120</v>
      </c>
      <c r="O298" t="s">
        <v>1220</v>
      </c>
      <c r="P298" t="s">
        <v>1329</v>
      </c>
      <c r="Q298" t="s">
        <v>1587</v>
      </c>
      <c r="R298" t="s">
        <v>1904</v>
      </c>
      <c r="S298" t="s">
        <v>1310</v>
      </c>
      <c r="T298" t="s">
        <v>925</v>
      </c>
      <c r="U298" t="s">
        <v>2121</v>
      </c>
      <c r="V298" t="s">
        <v>1065</v>
      </c>
      <c r="W298" t="s">
        <v>964</v>
      </c>
      <c r="X298" t="s">
        <v>970</v>
      </c>
      <c r="Y298" t="s">
        <v>1044</v>
      </c>
      <c r="Z298" t="s">
        <v>918</v>
      </c>
      <c r="AA298" t="s">
        <v>934</v>
      </c>
      <c r="AB298" t="s">
        <v>964</v>
      </c>
      <c r="AC298" t="s">
        <v>908</v>
      </c>
      <c r="AD298" t="s">
        <v>1062</v>
      </c>
      <c r="AE298">
        <v>8.6999999999999993</v>
      </c>
      <c r="AF298">
        <v>8.6608000000000018</v>
      </c>
    </row>
    <row r="299" spans="1:32" x14ac:dyDescent="0.25">
      <c r="A299" s="191" t="s">
        <v>2122</v>
      </c>
      <c r="B299" t="s">
        <v>2123</v>
      </c>
      <c r="C299" t="s">
        <v>950</v>
      </c>
      <c r="D299" t="s">
        <v>151</v>
      </c>
      <c r="E299" t="s">
        <v>56</v>
      </c>
      <c r="F299" t="s">
        <v>1238</v>
      </c>
      <c r="G299" t="s">
        <v>1147</v>
      </c>
      <c r="H299" t="s">
        <v>1248</v>
      </c>
      <c r="I299" t="s">
        <v>1048</v>
      </c>
      <c r="J299" t="s">
        <v>1112</v>
      </c>
      <c r="K299" t="s">
        <v>1157</v>
      </c>
      <c r="L299" t="s">
        <v>945</v>
      </c>
      <c r="M299" t="s">
        <v>1220</v>
      </c>
      <c r="N299" t="s">
        <v>1764</v>
      </c>
      <c r="O299" t="s">
        <v>908</v>
      </c>
      <c r="P299" t="s">
        <v>919</v>
      </c>
      <c r="Q299" t="s">
        <v>1283</v>
      </c>
      <c r="R299" t="s">
        <v>1289</v>
      </c>
      <c r="S299" t="s">
        <v>945</v>
      </c>
      <c r="T299" t="s">
        <v>1029</v>
      </c>
      <c r="U299" t="s">
        <v>2124</v>
      </c>
      <c r="V299" t="s">
        <v>934</v>
      </c>
      <c r="W299" t="s">
        <v>1310</v>
      </c>
      <c r="X299" t="s">
        <v>922</v>
      </c>
      <c r="Y299" t="s">
        <v>1104</v>
      </c>
      <c r="Z299" t="s">
        <v>969</v>
      </c>
      <c r="AA299" t="s">
        <v>934</v>
      </c>
      <c r="AB299" t="s">
        <v>1064</v>
      </c>
      <c r="AC299" t="s">
        <v>922</v>
      </c>
      <c r="AD299" t="s">
        <v>1062</v>
      </c>
      <c r="AE299">
        <v>8.7999999999999989</v>
      </c>
      <c r="AF299">
        <v>8.7506000000000004</v>
      </c>
    </row>
    <row r="300" spans="1:32" x14ac:dyDescent="0.25">
      <c r="A300" s="191" t="s">
        <v>2125</v>
      </c>
      <c r="B300" t="s">
        <v>238</v>
      </c>
      <c r="C300" t="s">
        <v>1245</v>
      </c>
      <c r="D300" t="s">
        <v>77</v>
      </c>
      <c r="E300" t="s">
        <v>63</v>
      </c>
      <c r="F300" t="s">
        <v>1431</v>
      </c>
      <c r="G300" t="s">
        <v>1384</v>
      </c>
      <c r="H300" t="s">
        <v>2126</v>
      </c>
      <c r="I300" t="s">
        <v>1135</v>
      </c>
      <c r="J300" t="s">
        <v>1061</v>
      </c>
      <c r="K300" t="s">
        <v>1558</v>
      </c>
      <c r="L300" t="s">
        <v>922</v>
      </c>
      <c r="M300" t="s">
        <v>962</v>
      </c>
      <c r="N300" t="s">
        <v>1315</v>
      </c>
      <c r="O300" t="s">
        <v>1195</v>
      </c>
      <c r="P300" t="s">
        <v>1104</v>
      </c>
      <c r="Q300" t="s">
        <v>999</v>
      </c>
      <c r="R300" t="s">
        <v>1249</v>
      </c>
      <c r="S300" t="s">
        <v>923</v>
      </c>
      <c r="T300" t="s">
        <v>1230</v>
      </c>
      <c r="U300" t="s">
        <v>2031</v>
      </c>
      <c r="V300" t="s">
        <v>1008</v>
      </c>
      <c r="W300" t="s">
        <v>979</v>
      </c>
      <c r="X300" t="s">
        <v>1081</v>
      </c>
      <c r="Y300" t="s">
        <v>993</v>
      </c>
      <c r="Z300" t="s">
        <v>923</v>
      </c>
      <c r="AA300" t="s">
        <v>1008</v>
      </c>
      <c r="AB300" t="s">
        <v>1230</v>
      </c>
      <c r="AC300" t="s">
        <v>1135</v>
      </c>
      <c r="AD300" t="s">
        <v>1062</v>
      </c>
      <c r="AE300">
        <v>8.6999999999999993</v>
      </c>
      <c r="AF300">
        <v>8.6758000000000006</v>
      </c>
    </row>
    <row r="301" spans="1:32" x14ac:dyDescent="0.25">
      <c r="A301" s="191" t="s">
        <v>2127</v>
      </c>
      <c r="B301" t="s">
        <v>2128</v>
      </c>
      <c r="C301" t="s">
        <v>995</v>
      </c>
      <c r="D301" t="s">
        <v>151</v>
      </c>
      <c r="E301" t="s">
        <v>63</v>
      </c>
      <c r="F301" t="s">
        <v>1489</v>
      </c>
      <c r="G301" t="s">
        <v>949</v>
      </c>
      <c r="H301" t="s">
        <v>1574</v>
      </c>
      <c r="I301" t="s">
        <v>1048</v>
      </c>
      <c r="J301" t="s">
        <v>1118</v>
      </c>
      <c r="K301" t="s">
        <v>1718</v>
      </c>
      <c r="L301" t="s">
        <v>1195</v>
      </c>
      <c r="M301" t="s">
        <v>979</v>
      </c>
      <c r="N301" t="s">
        <v>1588</v>
      </c>
      <c r="O301" t="s">
        <v>968</v>
      </c>
      <c r="P301" t="s">
        <v>1155</v>
      </c>
      <c r="Q301" t="s">
        <v>1795</v>
      </c>
      <c r="R301" t="s">
        <v>1074</v>
      </c>
      <c r="S301" t="s">
        <v>1064</v>
      </c>
      <c r="T301" t="s">
        <v>1310</v>
      </c>
      <c r="U301" t="s">
        <v>2129</v>
      </c>
      <c r="V301" t="s">
        <v>934</v>
      </c>
      <c r="W301" t="s">
        <v>1230</v>
      </c>
      <c r="X301" t="s">
        <v>1029</v>
      </c>
      <c r="Y301" t="s">
        <v>1230</v>
      </c>
      <c r="Z301" t="s">
        <v>1065</v>
      </c>
      <c r="AA301" t="s">
        <v>1119</v>
      </c>
      <c r="AB301" t="s">
        <v>1230</v>
      </c>
      <c r="AC301" t="s">
        <v>1029</v>
      </c>
      <c r="AD301" t="s">
        <v>1062</v>
      </c>
      <c r="AE301">
        <v>8.8000000000000007</v>
      </c>
      <c r="AF301">
        <v>8.7403999999999993</v>
      </c>
    </row>
    <row r="302" spans="1:32" x14ac:dyDescent="0.25">
      <c r="A302" s="194" t="s">
        <v>2130</v>
      </c>
      <c r="B302" t="s">
        <v>291</v>
      </c>
      <c r="C302" t="s">
        <v>1238</v>
      </c>
      <c r="D302" t="s">
        <v>151</v>
      </c>
      <c r="E302" t="s">
        <v>72</v>
      </c>
      <c r="F302" t="s">
        <v>1068</v>
      </c>
      <c r="G302" t="s">
        <v>950</v>
      </c>
      <c r="H302" t="s">
        <v>2131</v>
      </c>
      <c r="I302" t="s">
        <v>1030</v>
      </c>
      <c r="J302" t="s">
        <v>1043</v>
      </c>
      <c r="K302" t="s">
        <v>1825</v>
      </c>
      <c r="L302" t="s">
        <v>1600</v>
      </c>
      <c r="M302" t="s">
        <v>1600</v>
      </c>
      <c r="N302" t="s">
        <v>927</v>
      </c>
      <c r="O302" t="s">
        <v>1030</v>
      </c>
      <c r="P302" t="s">
        <v>1043</v>
      </c>
      <c r="Q302" t="s">
        <v>1825</v>
      </c>
      <c r="R302" t="s">
        <v>1825</v>
      </c>
      <c r="S302" t="s">
        <v>1195</v>
      </c>
      <c r="T302" t="s">
        <v>956</v>
      </c>
      <c r="U302" t="s">
        <v>1407</v>
      </c>
      <c r="V302" t="s">
        <v>964</v>
      </c>
      <c r="W302" t="s">
        <v>1211</v>
      </c>
      <c r="X302" t="s">
        <v>1028</v>
      </c>
      <c r="Y302" t="s">
        <v>924</v>
      </c>
      <c r="Z302" t="s">
        <v>969</v>
      </c>
      <c r="AA302" t="s">
        <v>1029</v>
      </c>
      <c r="AB302" t="s">
        <v>1064</v>
      </c>
      <c r="AC302" t="s">
        <v>1104</v>
      </c>
      <c r="AD302" t="s">
        <v>1062</v>
      </c>
      <c r="AE302">
        <v>8.7000000000000011</v>
      </c>
      <c r="AF302" t="e">
        <v>#VALUE!</v>
      </c>
    </row>
    <row r="303" spans="1:32" x14ac:dyDescent="0.25">
      <c r="A303" s="191" t="s">
        <v>2132</v>
      </c>
      <c r="B303" t="s">
        <v>2133</v>
      </c>
      <c r="C303" t="s">
        <v>973</v>
      </c>
      <c r="D303" t="s">
        <v>1279</v>
      </c>
      <c r="E303" t="s">
        <v>63</v>
      </c>
      <c r="F303" t="s">
        <v>1255</v>
      </c>
      <c r="G303" t="s">
        <v>1121</v>
      </c>
      <c r="H303" t="s">
        <v>1688</v>
      </c>
      <c r="I303" t="s">
        <v>1048</v>
      </c>
      <c r="J303" t="s">
        <v>1011</v>
      </c>
      <c r="K303" t="s">
        <v>1538</v>
      </c>
      <c r="L303" t="s">
        <v>922</v>
      </c>
      <c r="M303" t="s">
        <v>957</v>
      </c>
      <c r="N303" t="s">
        <v>2134</v>
      </c>
      <c r="O303" t="s">
        <v>1310</v>
      </c>
      <c r="P303" t="s">
        <v>946</v>
      </c>
      <c r="Q303" t="s">
        <v>1299</v>
      </c>
      <c r="R303" t="s">
        <v>1235</v>
      </c>
      <c r="S303" t="s">
        <v>987</v>
      </c>
      <c r="T303" t="s">
        <v>923</v>
      </c>
      <c r="U303" t="s">
        <v>2003</v>
      </c>
      <c r="V303" t="s">
        <v>923</v>
      </c>
      <c r="W303" t="s">
        <v>1220</v>
      </c>
      <c r="X303" t="s">
        <v>1030</v>
      </c>
      <c r="Y303" t="s">
        <v>956</v>
      </c>
      <c r="Z303" t="s">
        <v>969</v>
      </c>
      <c r="AA303" t="s">
        <v>934</v>
      </c>
      <c r="AB303" t="s">
        <v>945</v>
      </c>
      <c r="AC303" t="s">
        <v>1195</v>
      </c>
      <c r="AD303" t="s">
        <v>1062</v>
      </c>
      <c r="AE303">
        <v>8.9</v>
      </c>
      <c r="AF303">
        <v>8.7924999999999986</v>
      </c>
    </row>
    <row r="304" spans="1:32" x14ac:dyDescent="0.25">
      <c r="A304" s="191" t="s">
        <v>2135</v>
      </c>
      <c r="B304" t="s">
        <v>252</v>
      </c>
      <c r="C304" t="s">
        <v>1238</v>
      </c>
      <c r="D304" t="s">
        <v>131</v>
      </c>
      <c r="E304" t="s">
        <v>47</v>
      </c>
      <c r="F304" t="s">
        <v>1594</v>
      </c>
      <c r="G304" t="s">
        <v>1176</v>
      </c>
      <c r="H304" t="s">
        <v>1140</v>
      </c>
      <c r="I304" t="s">
        <v>1048</v>
      </c>
      <c r="J304" t="s">
        <v>1116</v>
      </c>
      <c r="K304" t="s">
        <v>1337</v>
      </c>
      <c r="L304" t="s">
        <v>945</v>
      </c>
      <c r="M304" t="s">
        <v>970</v>
      </c>
      <c r="N304" t="s">
        <v>1400</v>
      </c>
      <c r="O304" t="s">
        <v>956</v>
      </c>
      <c r="P304" t="s">
        <v>992</v>
      </c>
      <c r="Q304" t="s">
        <v>1570</v>
      </c>
      <c r="R304" t="s">
        <v>1369</v>
      </c>
      <c r="S304" t="s">
        <v>1064</v>
      </c>
      <c r="T304" t="s">
        <v>1230</v>
      </c>
      <c r="U304" t="s">
        <v>2136</v>
      </c>
      <c r="V304" t="s">
        <v>1008</v>
      </c>
      <c r="W304" t="s">
        <v>1104</v>
      </c>
      <c r="X304" t="s">
        <v>979</v>
      </c>
      <c r="Y304" t="s">
        <v>923</v>
      </c>
      <c r="Z304" t="s">
        <v>991</v>
      </c>
      <c r="AA304" t="s">
        <v>918</v>
      </c>
      <c r="AB304" t="s">
        <v>918</v>
      </c>
      <c r="AC304" t="s">
        <v>1029</v>
      </c>
      <c r="AD304" t="s">
        <v>1152</v>
      </c>
      <c r="AE304">
        <v>8.6999999999999993</v>
      </c>
      <c r="AF304">
        <v>8.6029</v>
      </c>
    </row>
    <row r="305" spans="1:32" x14ac:dyDescent="0.25">
      <c r="A305" s="191" t="s">
        <v>2137</v>
      </c>
      <c r="B305" t="s">
        <v>2138</v>
      </c>
      <c r="C305" t="s">
        <v>1032</v>
      </c>
      <c r="D305" t="s">
        <v>133</v>
      </c>
      <c r="E305" t="s">
        <v>47</v>
      </c>
      <c r="F305" t="s">
        <v>1535</v>
      </c>
      <c r="G305" t="s">
        <v>1212</v>
      </c>
      <c r="H305" t="s">
        <v>2139</v>
      </c>
      <c r="I305" t="s">
        <v>1048</v>
      </c>
      <c r="J305" t="s">
        <v>1023</v>
      </c>
      <c r="K305" t="s">
        <v>1141</v>
      </c>
      <c r="L305" t="s">
        <v>969</v>
      </c>
      <c r="M305" t="s">
        <v>968</v>
      </c>
      <c r="N305" t="s">
        <v>1528</v>
      </c>
      <c r="O305" t="s">
        <v>1220</v>
      </c>
      <c r="P305" t="s">
        <v>962</v>
      </c>
      <c r="Q305" t="s">
        <v>1235</v>
      </c>
      <c r="R305" t="s">
        <v>1041</v>
      </c>
      <c r="S305" t="s">
        <v>1029</v>
      </c>
      <c r="T305" t="s">
        <v>925</v>
      </c>
      <c r="U305" t="s">
        <v>1484</v>
      </c>
      <c r="V305" t="s">
        <v>1195</v>
      </c>
      <c r="W305" t="s">
        <v>946</v>
      </c>
      <c r="X305" t="s">
        <v>1103</v>
      </c>
      <c r="Y305" t="s">
        <v>993</v>
      </c>
      <c r="Z305" t="s">
        <v>918</v>
      </c>
      <c r="AA305" t="s">
        <v>934</v>
      </c>
      <c r="AB305" t="s">
        <v>1310</v>
      </c>
      <c r="AC305" t="s">
        <v>945</v>
      </c>
      <c r="AD305" t="s">
        <v>1152</v>
      </c>
      <c r="AE305">
        <v>8.6</v>
      </c>
      <c r="AF305">
        <v>8.6733999999999991</v>
      </c>
    </row>
    <row r="306" spans="1:32" x14ac:dyDescent="0.25">
      <c r="A306" s="191" t="s">
        <v>2140</v>
      </c>
      <c r="B306" t="s">
        <v>2141</v>
      </c>
      <c r="C306" t="s">
        <v>1238</v>
      </c>
      <c r="D306" t="s">
        <v>163</v>
      </c>
      <c r="E306" t="s">
        <v>63</v>
      </c>
      <c r="F306" t="s">
        <v>1085</v>
      </c>
      <c r="G306" t="s">
        <v>1222</v>
      </c>
      <c r="H306" t="s">
        <v>998</v>
      </c>
      <c r="I306" t="s">
        <v>946</v>
      </c>
      <c r="J306" t="s">
        <v>1009</v>
      </c>
      <c r="K306" t="s">
        <v>1154</v>
      </c>
      <c r="L306" t="s">
        <v>1195</v>
      </c>
      <c r="M306" t="s">
        <v>992</v>
      </c>
      <c r="N306" t="s">
        <v>1282</v>
      </c>
      <c r="O306" t="s">
        <v>968</v>
      </c>
      <c r="P306" t="s">
        <v>1228</v>
      </c>
      <c r="Q306" t="s">
        <v>1337</v>
      </c>
      <c r="R306" t="s">
        <v>1845</v>
      </c>
      <c r="S306" t="s">
        <v>1195</v>
      </c>
      <c r="T306" t="s">
        <v>1029</v>
      </c>
      <c r="U306" t="s">
        <v>2142</v>
      </c>
      <c r="V306" t="s">
        <v>1064</v>
      </c>
      <c r="W306" t="s">
        <v>1049</v>
      </c>
      <c r="X306" t="s">
        <v>946</v>
      </c>
      <c r="Y306" t="s">
        <v>1029</v>
      </c>
      <c r="Z306" t="s">
        <v>987</v>
      </c>
      <c r="AA306" t="s">
        <v>934</v>
      </c>
      <c r="AB306" t="s">
        <v>923</v>
      </c>
      <c r="AC306" t="s">
        <v>968</v>
      </c>
      <c r="AD306" t="s">
        <v>1152</v>
      </c>
      <c r="AE306">
        <v>8.8000000000000007</v>
      </c>
      <c r="AF306">
        <v>8.6731999999999996</v>
      </c>
    </row>
    <row r="307" spans="1:32" x14ac:dyDescent="0.25">
      <c r="A307" s="194" t="s">
        <v>2143</v>
      </c>
      <c r="B307" t="s">
        <v>2144</v>
      </c>
      <c r="C307" t="s">
        <v>1293</v>
      </c>
      <c r="D307" t="s">
        <v>113</v>
      </c>
      <c r="E307" t="s">
        <v>93</v>
      </c>
      <c r="F307" t="s">
        <v>1271</v>
      </c>
      <c r="G307" t="s">
        <v>1232</v>
      </c>
      <c r="H307" t="s">
        <v>1965</v>
      </c>
      <c r="I307" t="s">
        <v>1135</v>
      </c>
      <c r="J307" t="s">
        <v>1112</v>
      </c>
      <c r="K307" t="s">
        <v>1869</v>
      </c>
      <c r="L307" t="s">
        <v>947</v>
      </c>
      <c r="M307" t="s">
        <v>1092</v>
      </c>
      <c r="N307" t="s">
        <v>1608</v>
      </c>
      <c r="O307" t="s">
        <v>1008</v>
      </c>
      <c r="P307" t="s">
        <v>1064</v>
      </c>
      <c r="Q307" t="s">
        <v>2145</v>
      </c>
      <c r="R307" t="s">
        <v>961</v>
      </c>
      <c r="S307" t="s">
        <v>934</v>
      </c>
      <c r="T307" t="s">
        <v>934</v>
      </c>
      <c r="U307" t="s">
        <v>2146</v>
      </c>
      <c r="V307" t="s">
        <v>969</v>
      </c>
      <c r="W307" t="s">
        <v>993</v>
      </c>
      <c r="X307" t="s">
        <v>1048</v>
      </c>
      <c r="Y307" t="s">
        <v>918</v>
      </c>
      <c r="Z307" t="s">
        <v>969</v>
      </c>
      <c r="AA307" t="s">
        <v>934</v>
      </c>
      <c r="AB307" t="s">
        <v>1094</v>
      </c>
      <c r="AC307" t="s">
        <v>945</v>
      </c>
      <c r="AD307" t="s">
        <v>1182</v>
      </c>
      <c r="AE307">
        <v>8.5</v>
      </c>
      <c r="AF307">
        <v>8.5968</v>
      </c>
    </row>
    <row r="308" spans="1:32" x14ac:dyDescent="0.25">
      <c r="A308" s="191" t="s">
        <v>2147</v>
      </c>
      <c r="B308" t="s">
        <v>2148</v>
      </c>
      <c r="C308" t="s">
        <v>1204</v>
      </c>
      <c r="D308" t="s">
        <v>111</v>
      </c>
      <c r="E308" t="s">
        <v>93</v>
      </c>
      <c r="F308" t="s">
        <v>1084</v>
      </c>
      <c r="G308" t="s">
        <v>949</v>
      </c>
      <c r="H308" t="s">
        <v>1473</v>
      </c>
      <c r="I308" t="s">
        <v>970</v>
      </c>
      <c r="J308" t="s">
        <v>940</v>
      </c>
      <c r="K308" t="s">
        <v>1180</v>
      </c>
      <c r="L308" t="s">
        <v>1230</v>
      </c>
      <c r="M308" t="s">
        <v>1048</v>
      </c>
      <c r="N308" t="s">
        <v>1037</v>
      </c>
      <c r="O308" t="s">
        <v>1049</v>
      </c>
      <c r="P308" t="s">
        <v>970</v>
      </c>
      <c r="Q308" t="s">
        <v>1510</v>
      </c>
      <c r="R308" t="s">
        <v>2149</v>
      </c>
      <c r="S308" t="s">
        <v>991</v>
      </c>
      <c r="T308" t="s">
        <v>1065</v>
      </c>
      <c r="U308" t="s">
        <v>1488</v>
      </c>
      <c r="V308" t="s">
        <v>923</v>
      </c>
      <c r="W308" t="s">
        <v>970</v>
      </c>
      <c r="X308" t="s">
        <v>1170</v>
      </c>
      <c r="Y308" t="s">
        <v>1029</v>
      </c>
      <c r="Z308" t="s">
        <v>987</v>
      </c>
      <c r="AA308" t="s">
        <v>1065</v>
      </c>
      <c r="AB308" t="s">
        <v>1008</v>
      </c>
      <c r="AC308" t="s">
        <v>1310</v>
      </c>
      <c r="AD308" t="s">
        <v>1182</v>
      </c>
      <c r="AE308">
        <v>8.3999999999999986</v>
      </c>
      <c r="AF308">
        <v>8.4784000000000006</v>
      </c>
    </row>
    <row r="309" spans="1:32" x14ac:dyDescent="0.25">
      <c r="A309" s="191" t="s">
        <v>2150</v>
      </c>
      <c r="B309" t="s">
        <v>2151</v>
      </c>
      <c r="C309" t="s">
        <v>973</v>
      </c>
      <c r="D309" t="s">
        <v>974</v>
      </c>
      <c r="E309" t="s">
        <v>63</v>
      </c>
      <c r="F309" t="s">
        <v>1162</v>
      </c>
      <c r="G309" t="s">
        <v>928</v>
      </c>
      <c r="H309" t="s">
        <v>1621</v>
      </c>
      <c r="I309" t="s">
        <v>1135</v>
      </c>
      <c r="J309" t="s">
        <v>985</v>
      </c>
      <c r="K309" t="s">
        <v>1466</v>
      </c>
      <c r="L309" t="s">
        <v>918</v>
      </c>
      <c r="M309" t="s">
        <v>1104</v>
      </c>
      <c r="N309" t="s">
        <v>1567</v>
      </c>
      <c r="O309" t="s">
        <v>908</v>
      </c>
      <c r="P309" t="s">
        <v>1000</v>
      </c>
      <c r="Q309" t="s">
        <v>1842</v>
      </c>
      <c r="R309" t="s">
        <v>1592</v>
      </c>
      <c r="S309" t="s">
        <v>1029</v>
      </c>
      <c r="T309" t="s">
        <v>968</v>
      </c>
      <c r="U309" t="s">
        <v>1786</v>
      </c>
      <c r="V309" t="s">
        <v>923</v>
      </c>
      <c r="W309" t="s">
        <v>956</v>
      </c>
      <c r="X309" t="s">
        <v>1135</v>
      </c>
      <c r="Y309" t="s">
        <v>1064</v>
      </c>
      <c r="Z309" t="s">
        <v>1008</v>
      </c>
      <c r="AA309" t="s">
        <v>1119</v>
      </c>
      <c r="AB309" t="s">
        <v>969</v>
      </c>
      <c r="AC309" t="s">
        <v>1230</v>
      </c>
      <c r="AD309" t="s">
        <v>1132</v>
      </c>
      <c r="AE309">
        <v>8.5</v>
      </c>
      <c r="AF309">
        <v>8.4211999999999989</v>
      </c>
    </row>
    <row r="310" spans="1:32" x14ac:dyDescent="0.25">
      <c r="A310" s="191" t="s">
        <v>2150</v>
      </c>
      <c r="B310" t="s">
        <v>2151</v>
      </c>
      <c r="C310" t="s">
        <v>973</v>
      </c>
      <c r="D310" t="s">
        <v>1149</v>
      </c>
      <c r="E310" t="s">
        <v>63</v>
      </c>
      <c r="F310" t="s">
        <v>972</v>
      </c>
      <c r="G310" t="s">
        <v>1717</v>
      </c>
      <c r="H310" t="s">
        <v>1135</v>
      </c>
      <c r="I310" t="s">
        <v>1065</v>
      </c>
      <c r="J310" t="s">
        <v>956</v>
      </c>
      <c r="K310" t="s">
        <v>2152</v>
      </c>
      <c r="L310" t="s">
        <v>1600</v>
      </c>
      <c r="M310" t="s">
        <v>1065</v>
      </c>
      <c r="N310" t="s">
        <v>1646</v>
      </c>
      <c r="O310" t="s">
        <v>1065</v>
      </c>
      <c r="P310" t="s">
        <v>1310</v>
      </c>
      <c r="Q310" t="s">
        <v>1666</v>
      </c>
      <c r="R310" t="s">
        <v>2152</v>
      </c>
      <c r="S310" t="s">
        <v>1600</v>
      </c>
      <c r="T310" t="s">
        <v>1600</v>
      </c>
      <c r="U310" t="s">
        <v>927</v>
      </c>
      <c r="V310" t="s">
        <v>1065</v>
      </c>
      <c r="W310" t="s">
        <v>1065</v>
      </c>
      <c r="X310" t="s">
        <v>923</v>
      </c>
      <c r="Y310" t="s">
        <v>1065</v>
      </c>
      <c r="Z310" t="s">
        <v>1094</v>
      </c>
      <c r="AA310" t="s">
        <v>1600</v>
      </c>
      <c r="AB310" t="s">
        <v>1094</v>
      </c>
      <c r="AC310" t="s">
        <v>1094</v>
      </c>
      <c r="AD310" t="s">
        <v>923</v>
      </c>
      <c r="AE310">
        <v>1</v>
      </c>
      <c r="AF310" t="e">
        <v>#VALUE!</v>
      </c>
    </row>
    <row r="311" spans="1:32" x14ac:dyDescent="0.25">
      <c r="A311" s="191" t="s">
        <v>2150</v>
      </c>
      <c r="B311" t="s">
        <v>2151</v>
      </c>
      <c r="C311" t="s">
        <v>973</v>
      </c>
      <c r="D311" t="s">
        <v>163</v>
      </c>
      <c r="E311" t="s">
        <v>63</v>
      </c>
      <c r="F311" t="s">
        <v>1106</v>
      </c>
      <c r="G311" t="s">
        <v>928</v>
      </c>
      <c r="H311" t="s">
        <v>1389</v>
      </c>
      <c r="I311" t="s">
        <v>1228</v>
      </c>
      <c r="J311" t="s">
        <v>915</v>
      </c>
      <c r="K311" t="s">
        <v>1283</v>
      </c>
      <c r="L311" t="s">
        <v>945</v>
      </c>
      <c r="M311" t="s">
        <v>1030</v>
      </c>
      <c r="N311" t="s">
        <v>1351</v>
      </c>
      <c r="O311" t="s">
        <v>1104</v>
      </c>
      <c r="P311" t="s">
        <v>1081</v>
      </c>
      <c r="Q311" t="s">
        <v>1696</v>
      </c>
      <c r="R311" t="s">
        <v>1510</v>
      </c>
      <c r="S311" t="s">
        <v>925</v>
      </c>
      <c r="T311" t="s">
        <v>993</v>
      </c>
      <c r="U311" t="s">
        <v>1786</v>
      </c>
      <c r="V311" t="s">
        <v>945</v>
      </c>
      <c r="W311" t="s">
        <v>1012</v>
      </c>
      <c r="X311" t="s">
        <v>1155</v>
      </c>
      <c r="Y311" t="s">
        <v>1230</v>
      </c>
      <c r="Z311" t="s">
        <v>918</v>
      </c>
      <c r="AA311" t="s">
        <v>934</v>
      </c>
      <c r="AB311" t="s">
        <v>987</v>
      </c>
      <c r="AC311" t="s">
        <v>1049</v>
      </c>
      <c r="AD311" t="s">
        <v>1546</v>
      </c>
      <c r="AE311">
        <v>11.399999999999999</v>
      </c>
      <c r="AF311">
        <v>11.3992</v>
      </c>
    </row>
    <row r="312" spans="1:32" x14ac:dyDescent="0.25">
      <c r="A312" s="194" t="s">
        <v>2153</v>
      </c>
      <c r="B312" t="s">
        <v>2154</v>
      </c>
      <c r="C312" t="s">
        <v>973</v>
      </c>
      <c r="D312" t="s">
        <v>83</v>
      </c>
      <c r="E312" t="s">
        <v>63</v>
      </c>
      <c r="F312" t="s">
        <v>1083</v>
      </c>
      <c r="G312" t="s">
        <v>1717</v>
      </c>
      <c r="H312" t="s">
        <v>1087</v>
      </c>
      <c r="I312" t="s">
        <v>970</v>
      </c>
      <c r="J312" t="s">
        <v>1035</v>
      </c>
      <c r="K312" t="s">
        <v>1100</v>
      </c>
      <c r="L312" t="s">
        <v>923</v>
      </c>
      <c r="M312" t="s">
        <v>1000</v>
      </c>
      <c r="N312" t="s">
        <v>2155</v>
      </c>
      <c r="O312" t="s">
        <v>947</v>
      </c>
      <c r="P312" t="s">
        <v>1079</v>
      </c>
      <c r="Q312" t="s">
        <v>1595</v>
      </c>
      <c r="R312" t="s">
        <v>1266</v>
      </c>
      <c r="S312" t="s">
        <v>918</v>
      </c>
      <c r="T312" t="s">
        <v>1230</v>
      </c>
      <c r="U312" t="s">
        <v>1771</v>
      </c>
      <c r="V312" t="s">
        <v>987</v>
      </c>
      <c r="W312" t="s">
        <v>968</v>
      </c>
      <c r="X312" t="s">
        <v>993</v>
      </c>
      <c r="Y312" t="s">
        <v>947</v>
      </c>
      <c r="Z312" t="s">
        <v>1119</v>
      </c>
      <c r="AA312" t="s">
        <v>1065</v>
      </c>
      <c r="AB312" t="s">
        <v>923</v>
      </c>
      <c r="AC312" t="s">
        <v>1064</v>
      </c>
      <c r="AD312" t="s">
        <v>1132</v>
      </c>
      <c r="AE312">
        <v>8.5</v>
      </c>
      <c r="AF312">
        <v>8.3669999999999991</v>
      </c>
    </row>
    <row r="313" spans="1:32" x14ac:dyDescent="0.25">
      <c r="A313" s="191" t="s">
        <v>2156</v>
      </c>
      <c r="B313" t="s">
        <v>2157</v>
      </c>
      <c r="C313" t="s">
        <v>1245</v>
      </c>
      <c r="D313" t="s">
        <v>48</v>
      </c>
      <c r="E313" t="s">
        <v>63</v>
      </c>
      <c r="F313" t="s">
        <v>1431</v>
      </c>
      <c r="G313" t="s">
        <v>1414</v>
      </c>
      <c r="H313" t="s">
        <v>1050</v>
      </c>
      <c r="I313" t="s">
        <v>1000</v>
      </c>
      <c r="J313" t="s">
        <v>1026</v>
      </c>
      <c r="K313" t="s">
        <v>1268</v>
      </c>
      <c r="L313" t="s">
        <v>1064</v>
      </c>
      <c r="M313" t="s">
        <v>946</v>
      </c>
      <c r="N313" t="s">
        <v>1100</v>
      </c>
      <c r="O313" t="s">
        <v>947</v>
      </c>
      <c r="P313" t="s">
        <v>919</v>
      </c>
      <c r="Q313" t="s">
        <v>1324</v>
      </c>
      <c r="R313" t="s">
        <v>1442</v>
      </c>
      <c r="S313" t="s">
        <v>991</v>
      </c>
      <c r="T313" t="s">
        <v>1065</v>
      </c>
      <c r="U313" t="s">
        <v>1953</v>
      </c>
      <c r="V313" t="s">
        <v>923</v>
      </c>
      <c r="W313" t="s">
        <v>947</v>
      </c>
      <c r="X313" t="s">
        <v>1000</v>
      </c>
      <c r="Y313" t="s">
        <v>993</v>
      </c>
      <c r="Z313" t="s">
        <v>968</v>
      </c>
      <c r="AA313" t="s">
        <v>1065</v>
      </c>
      <c r="AB313" t="s">
        <v>918</v>
      </c>
      <c r="AC313" t="s">
        <v>908</v>
      </c>
      <c r="AD313" t="s">
        <v>1132</v>
      </c>
      <c r="AE313">
        <v>8.3000000000000007</v>
      </c>
      <c r="AF313">
        <v>8.3247</v>
      </c>
    </row>
    <row r="314" spans="1:32" x14ac:dyDescent="0.25">
      <c r="A314" s="191" t="s">
        <v>2158</v>
      </c>
      <c r="B314" t="s">
        <v>2159</v>
      </c>
      <c r="C314" t="s">
        <v>1015</v>
      </c>
      <c r="D314" t="s">
        <v>974</v>
      </c>
      <c r="E314" t="s">
        <v>56</v>
      </c>
      <c r="F314" t="s">
        <v>1403</v>
      </c>
      <c r="G314" t="s">
        <v>1137</v>
      </c>
      <c r="H314" t="s">
        <v>1985</v>
      </c>
      <c r="I314" t="s">
        <v>1048</v>
      </c>
      <c r="J314" t="s">
        <v>1028</v>
      </c>
      <c r="K314" t="s">
        <v>1818</v>
      </c>
      <c r="L314" t="s">
        <v>1008</v>
      </c>
      <c r="M314" t="s">
        <v>956</v>
      </c>
      <c r="N314" t="s">
        <v>1666</v>
      </c>
      <c r="O314" t="s">
        <v>993</v>
      </c>
      <c r="P314" t="s">
        <v>1092</v>
      </c>
      <c r="Q314" t="s">
        <v>1055</v>
      </c>
      <c r="R314" t="s">
        <v>999</v>
      </c>
      <c r="S314" t="s">
        <v>1195</v>
      </c>
      <c r="T314" t="s">
        <v>1029</v>
      </c>
      <c r="U314" t="s">
        <v>2136</v>
      </c>
      <c r="V314" t="s">
        <v>923</v>
      </c>
      <c r="W314" t="s">
        <v>1135</v>
      </c>
      <c r="X314" t="s">
        <v>1228</v>
      </c>
      <c r="Y314" t="s">
        <v>956</v>
      </c>
      <c r="Z314" t="s">
        <v>987</v>
      </c>
      <c r="AA314" t="s">
        <v>934</v>
      </c>
      <c r="AB314" t="s">
        <v>923</v>
      </c>
      <c r="AC314" t="s">
        <v>922</v>
      </c>
      <c r="AD314" t="s">
        <v>1010</v>
      </c>
      <c r="AE314">
        <v>8.4</v>
      </c>
      <c r="AF314">
        <v>8.2740000000000009</v>
      </c>
    </row>
    <row r="315" spans="1:32" x14ac:dyDescent="0.25">
      <c r="A315" s="191" t="s">
        <v>2158</v>
      </c>
      <c r="B315" t="s">
        <v>2159</v>
      </c>
      <c r="C315" t="s">
        <v>1015</v>
      </c>
      <c r="D315" t="s">
        <v>163</v>
      </c>
      <c r="E315" t="s">
        <v>56</v>
      </c>
      <c r="F315" t="s">
        <v>1222</v>
      </c>
      <c r="G315" t="s">
        <v>1717</v>
      </c>
      <c r="H315" t="s">
        <v>1314</v>
      </c>
      <c r="I315" t="s">
        <v>1048</v>
      </c>
      <c r="J315" t="s">
        <v>1118</v>
      </c>
      <c r="K315" t="s">
        <v>1718</v>
      </c>
      <c r="L315" t="s">
        <v>969</v>
      </c>
      <c r="M315" t="s">
        <v>956</v>
      </c>
      <c r="N315" t="s">
        <v>1960</v>
      </c>
      <c r="O315" t="s">
        <v>1012</v>
      </c>
      <c r="P315" t="s">
        <v>1043</v>
      </c>
      <c r="Q315" t="s">
        <v>1200</v>
      </c>
      <c r="R315" t="s">
        <v>1358</v>
      </c>
      <c r="S315" t="s">
        <v>1230</v>
      </c>
      <c r="T315" t="s">
        <v>1029</v>
      </c>
      <c r="U315" t="s">
        <v>2160</v>
      </c>
      <c r="V315" t="s">
        <v>918</v>
      </c>
      <c r="W315" t="s">
        <v>1104</v>
      </c>
      <c r="X315" t="s">
        <v>1155</v>
      </c>
      <c r="Y315" t="s">
        <v>1029</v>
      </c>
      <c r="Z315" t="s">
        <v>918</v>
      </c>
      <c r="AA315" t="s">
        <v>934</v>
      </c>
      <c r="AB315" t="s">
        <v>1064</v>
      </c>
      <c r="AC315" t="s">
        <v>1230</v>
      </c>
      <c r="AD315" t="s">
        <v>1132</v>
      </c>
      <c r="AE315">
        <v>8.4</v>
      </c>
      <c r="AF315">
        <v>8.4016000000000002</v>
      </c>
    </row>
    <row r="316" spans="1:32" x14ac:dyDescent="0.25">
      <c r="A316" s="191" t="s">
        <v>2158</v>
      </c>
      <c r="B316" t="s">
        <v>2159</v>
      </c>
      <c r="C316" t="s">
        <v>1015</v>
      </c>
      <c r="D316" t="s">
        <v>83</v>
      </c>
      <c r="E316" t="s">
        <v>56</v>
      </c>
      <c r="F316" t="s">
        <v>1032</v>
      </c>
      <c r="G316" t="s">
        <v>1137</v>
      </c>
      <c r="H316" t="s">
        <v>1186</v>
      </c>
      <c r="I316" t="s">
        <v>1048</v>
      </c>
      <c r="J316" t="s">
        <v>990</v>
      </c>
      <c r="K316" t="s">
        <v>1346</v>
      </c>
      <c r="L316" t="s">
        <v>1008</v>
      </c>
      <c r="M316" t="s">
        <v>956</v>
      </c>
      <c r="N316" t="s">
        <v>1100</v>
      </c>
      <c r="O316" t="s">
        <v>993</v>
      </c>
      <c r="P316" t="s">
        <v>1079</v>
      </c>
      <c r="Q316" t="s">
        <v>1729</v>
      </c>
      <c r="R316" t="s">
        <v>1665</v>
      </c>
      <c r="S316" t="s">
        <v>945</v>
      </c>
      <c r="T316" t="s">
        <v>1029</v>
      </c>
      <c r="U316" t="s">
        <v>2049</v>
      </c>
      <c r="V316" t="s">
        <v>923</v>
      </c>
      <c r="W316" t="s">
        <v>1048</v>
      </c>
      <c r="X316" t="s">
        <v>1081</v>
      </c>
      <c r="Y316" t="s">
        <v>924</v>
      </c>
      <c r="Z316" t="s">
        <v>1008</v>
      </c>
      <c r="AA316" t="s">
        <v>1094</v>
      </c>
      <c r="AB316" t="s">
        <v>918</v>
      </c>
      <c r="AC316" t="s">
        <v>956</v>
      </c>
      <c r="AD316" t="s">
        <v>989</v>
      </c>
      <c r="AE316">
        <v>8.2999999999999989</v>
      </c>
      <c r="AF316">
        <v>8.2266000000000012</v>
      </c>
    </row>
    <row r="317" spans="1:32" x14ac:dyDescent="0.25">
      <c r="A317" s="194" t="s">
        <v>2161</v>
      </c>
      <c r="B317" t="s">
        <v>246</v>
      </c>
      <c r="C317" t="s">
        <v>973</v>
      </c>
      <c r="D317" t="s">
        <v>95</v>
      </c>
      <c r="E317" t="s">
        <v>56</v>
      </c>
      <c r="F317" t="s">
        <v>930</v>
      </c>
      <c r="G317" t="s">
        <v>1067</v>
      </c>
      <c r="H317" t="s">
        <v>1392</v>
      </c>
      <c r="I317" t="s">
        <v>1135</v>
      </c>
      <c r="J317" t="s">
        <v>1009</v>
      </c>
      <c r="K317" t="s">
        <v>1595</v>
      </c>
      <c r="L317" t="s">
        <v>1064</v>
      </c>
      <c r="M317" t="s">
        <v>970</v>
      </c>
      <c r="N317" t="s">
        <v>1351</v>
      </c>
      <c r="O317" t="s">
        <v>1049</v>
      </c>
      <c r="P317" t="s">
        <v>1170</v>
      </c>
      <c r="Q317" t="s">
        <v>1603</v>
      </c>
      <c r="R317" t="s">
        <v>1709</v>
      </c>
      <c r="S317" t="s">
        <v>1230</v>
      </c>
      <c r="T317" t="s">
        <v>1049</v>
      </c>
      <c r="U317" t="s">
        <v>2162</v>
      </c>
      <c r="V317" t="s">
        <v>991</v>
      </c>
      <c r="W317" t="s">
        <v>1029</v>
      </c>
      <c r="X317" t="s">
        <v>956</v>
      </c>
      <c r="Y317" t="s">
        <v>924</v>
      </c>
      <c r="Z317" t="s">
        <v>969</v>
      </c>
      <c r="AA317" t="s">
        <v>1065</v>
      </c>
      <c r="AB317" t="s">
        <v>1195</v>
      </c>
      <c r="AC317" t="s">
        <v>918</v>
      </c>
      <c r="AD317" t="s">
        <v>1010</v>
      </c>
      <c r="AE317">
        <v>8.5</v>
      </c>
      <c r="AF317">
        <v>8.3919999999999995</v>
      </c>
    </row>
    <row r="318" spans="1:32" x14ac:dyDescent="0.25">
      <c r="A318" s="191" t="s">
        <v>2163</v>
      </c>
      <c r="B318" t="s">
        <v>2164</v>
      </c>
      <c r="C318" t="s">
        <v>1015</v>
      </c>
      <c r="D318" t="s">
        <v>156</v>
      </c>
      <c r="E318" t="s">
        <v>93</v>
      </c>
      <c r="F318" t="s">
        <v>1446</v>
      </c>
      <c r="G318" t="s">
        <v>1222</v>
      </c>
      <c r="H318" t="s">
        <v>1140</v>
      </c>
      <c r="I318" t="s">
        <v>1030</v>
      </c>
      <c r="J318" t="s">
        <v>1126</v>
      </c>
      <c r="K318" t="s">
        <v>1523</v>
      </c>
      <c r="L318" t="s">
        <v>1600</v>
      </c>
      <c r="M318" t="s">
        <v>1094</v>
      </c>
      <c r="N318" t="s">
        <v>2165</v>
      </c>
      <c r="O318" t="s">
        <v>1030</v>
      </c>
      <c r="P318" t="s">
        <v>909</v>
      </c>
      <c r="Q318" t="s">
        <v>2166</v>
      </c>
      <c r="R318" t="s">
        <v>1814</v>
      </c>
      <c r="S318" t="s">
        <v>923</v>
      </c>
      <c r="T318" t="s">
        <v>1230</v>
      </c>
      <c r="U318" t="s">
        <v>2167</v>
      </c>
      <c r="V318" t="s">
        <v>956</v>
      </c>
      <c r="W318" t="s">
        <v>946</v>
      </c>
      <c r="X318" t="s">
        <v>1005</v>
      </c>
      <c r="Y318" t="s">
        <v>923</v>
      </c>
      <c r="Z318" t="s">
        <v>987</v>
      </c>
      <c r="AA318" t="s">
        <v>969</v>
      </c>
      <c r="AB318" t="s">
        <v>969</v>
      </c>
      <c r="AC318" t="s">
        <v>947</v>
      </c>
      <c r="AD318" t="s">
        <v>1010</v>
      </c>
      <c r="AE318">
        <v>8.4</v>
      </c>
      <c r="AF318">
        <v>8.2809000000000008</v>
      </c>
    </row>
    <row r="319" spans="1:32" x14ac:dyDescent="0.25">
      <c r="A319" s="191" t="s">
        <v>2168</v>
      </c>
      <c r="B319" t="s">
        <v>251</v>
      </c>
      <c r="C319" t="s">
        <v>973</v>
      </c>
      <c r="D319" t="s">
        <v>121</v>
      </c>
      <c r="E319" t="s">
        <v>63</v>
      </c>
      <c r="F319" t="s">
        <v>1594</v>
      </c>
      <c r="G319" t="s">
        <v>1015</v>
      </c>
      <c r="H319" t="s">
        <v>1237</v>
      </c>
      <c r="I319" t="s">
        <v>1104</v>
      </c>
      <c r="J319" t="s">
        <v>1079</v>
      </c>
      <c r="K319" t="s">
        <v>1629</v>
      </c>
      <c r="L319" t="s">
        <v>922</v>
      </c>
      <c r="M319" t="s">
        <v>1228</v>
      </c>
      <c r="N319" t="s">
        <v>1784</v>
      </c>
      <c r="O319" t="s">
        <v>1064</v>
      </c>
      <c r="P319" t="s">
        <v>968</v>
      </c>
      <c r="Q319" t="s">
        <v>2169</v>
      </c>
      <c r="R319" t="s">
        <v>2170</v>
      </c>
      <c r="S319" t="s">
        <v>918</v>
      </c>
      <c r="T319" t="s">
        <v>1064</v>
      </c>
      <c r="U319" t="s">
        <v>1701</v>
      </c>
      <c r="V319" t="s">
        <v>987</v>
      </c>
      <c r="W319" t="s">
        <v>1049</v>
      </c>
      <c r="X319" t="s">
        <v>1220</v>
      </c>
      <c r="Y319" t="s">
        <v>1310</v>
      </c>
      <c r="Z319" t="s">
        <v>1310</v>
      </c>
      <c r="AA319" t="s">
        <v>987</v>
      </c>
      <c r="AB319" t="s">
        <v>918</v>
      </c>
      <c r="AC319" t="s">
        <v>925</v>
      </c>
      <c r="AD319" t="s">
        <v>1010</v>
      </c>
      <c r="AE319">
        <v>8.1999999999999993</v>
      </c>
      <c r="AF319">
        <v>8.3438999999999997</v>
      </c>
    </row>
    <row r="320" spans="1:32" x14ac:dyDescent="0.25">
      <c r="A320" s="191" t="s">
        <v>2171</v>
      </c>
      <c r="B320" t="s">
        <v>2172</v>
      </c>
      <c r="C320" t="s">
        <v>973</v>
      </c>
      <c r="D320" t="s">
        <v>151</v>
      </c>
      <c r="E320" t="s">
        <v>56</v>
      </c>
      <c r="F320" t="s">
        <v>1355</v>
      </c>
      <c r="G320" t="s">
        <v>949</v>
      </c>
      <c r="H320" t="s">
        <v>960</v>
      </c>
      <c r="I320" t="s">
        <v>1135</v>
      </c>
      <c r="J320" t="s">
        <v>909</v>
      </c>
      <c r="K320" t="s">
        <v>1101</v>
      </c>
      <c r="L320" t="s">
        <v>1008</v>
      </c>
      <c r="M320" t="s">
        <v>968</v>
      </c>
      <c r="N320" t="s">
        <v>1719</v>
      </c>
      <c r="O320" t="s">
        <v>925</v>
      </c>
      <c r="P320" t="s">
        <v>1160</v>
      </c>
      <c r="Q320" t="s">
        <v>1374</v>
      </c>
      <c r="R320" t="s">
        <v>2173</v>
      </c>
      <c r="S320" t="s">
        <v>922</v>
      </c>
      <c r="T320" t="s">
        <v>956</v>
      </c>
      <c r="U320" t="s">
        <v>1765</v>
      </c>
      <c r="V320" t="s">
        <v>991</v>
      </c>
      <c r="W320" t="s">
        <v>1230</v>
      </c>
      <c r="X320" t="s">
        <v>968</v>
      </c>
      <c r="Y320" t="s">
        <v>947</v>
      </c>
      <c r="Z320" t="s">
        <v>1008</v>
      </c>
      <c r="AA320" t="s">
        <v>934</v>
      </c>
      <c r="AB320" t="s">
        <v>945</v>
      </c>
      <c r="AC320" t="s">
        <v>923</v>
      </c>
      <c r="AD320" t="s">
        <v>1010</v>
      </c>
      <c r="AE320">
        <v>8.3999999999999986</v>
      </c>
      <c r="AF320">
        <v>8.3344000000000005</v>
      </c>
    </row>
    <row r="321" spans="1:32" x14ac:dyDescent="0.25">
      <c r="A321" s="191" t="s">
        <v>2174</v>
      </c>
      <c r="B321" t="s">
        <v>2175</v>
      </c>
      <c r="C321" t="s">
        <v>1376</v>
      </c>
      <c r="D321" t="s">
        <v>102</v>
      </c>
      <c r="E321" t="s">
        <v>56</v>
      </c>
      <c r="F321" t="s">
        <v>1271</v>
      </c>
      <c r="G321" t="s">
        <v>1446</v>
      </c>
      <c r="H321" t="s">
        <v>1186</v>
      </c>
      <c r="I321" t="s">
        <v>1012</v>
      </c>
      <c r="J321" t="s">
        <v>1006</v>
      </c>
      <c r="K321" t="s">
        <v>1719</v>
      </c>
      <c r="L321" t="s">
        <v>968</v>
      </c>
      <c r="M321" t="s">
        <v>1103</v>
      </c>
      <c r="N321" t="s">
        <v>1346</v>
      </c>
      <c r="O321" t="s">
        <v>987</v>
      </c>
      <c r="P321" t="s">
        <v>925</v>
      </c>
      <c r="Q321" t="s">
        <v>1902</v>
      </c>
      <c r="R321" t="s">
        <v>1261</v>
      </c>
      <c r="S321" t="s">
        <v>1064</v>
      </c>
      <c r="T321" t="s">
        <v>1195</v>
      </c>
      <c r="U321" t="s">
        <v>2176</v>
      </c>
      <c r="V321" t="s">
        <v>1065</v>
      </c>
      <c r="W321" t="s">
        <v>908</v>
      </c>
      <c r="X321" t="s">
        <v>1012</v>
      </c>
      <c r="Y321" t="s">
        <v>1047</v>
      </c>
      <c r="Z321" t="s">
        <v>1064</v>
      </c>
      <c r="AA321" t="s">
        <v>934</v>
      </c>
      <c r="AB321" t="s">
        <v>1064</v>
      </c>
      <c r="AC321" t="s">
        <v>1029</v>
      </c>
      <c r="AD321" t="s">
        <v>989</v>
      </c>
      <c r="AE321">
        <v>8.1</v>
      </c>
      <c r="AF321">
        <v>8.2539999999999996</v>
      </c>
    </row>
    <row r="322" spans="1:32" x14ac:dyDescent="0.25">
      <c r="A322" s="194" t="s">
        <v>2177</v>
      </c>
      <c r="B322" t="s">
        <v>245</v>
      </c>
      <c r="C322" t="s">
        <v>929</v>
      </c>
      <c r="D322" t="s">
        <v>105</v>
      </c>
      <c r="E322" t="s">
        <v>47</v>
      </c>
      <c r="F322" t="s">
        <v>1594</v>
      </c>
      <c r="G322" t="s">
        <v>1438</v>
      </c>
      <c r="H322" t="s">
        <v>1774</v>
      </c>
      <c r="I322" t="s">
        <v>964</v>
      </c>
      <c r="J322" t="s">
        <v>921</v>
      </c>
      <c r="K322" t="s">
        <v>1776</v>
      </c>
      <c r="L322" t="s">
        <v>968</v>
      </c>
      <c r="M322" t="s">
        <v>1081</v>
      </c>
      <c r="N322" t="s">
        <v>1577</v>
      </c>
      <c r="O322" t="s">
        <v>1064</v>
      </c>
      <c r="P322" t="s">
        <v>925</v>
      </c>
      <c r="Q322" t="s">
        <v>1299</v>
      </c>
      <c r="R322" t="s">
        <v>1836</v>
      </c>
      <c r="S322" t="s">
        <v>1065</v>
      </c>
      <c r="T322" t="s">
        <v>969</v>
      </c>
      <c r="U322" t="s">
        <v>1421</v>
      </c>
      <c r="V322" t="s">
        <v>991</v>
      </c>
      <c r="W322" t="s">
        <v>1048</v>
      </c>
      <c r="X322" t="s">
        <v>992</v>
      </c>
      <c r="Y322" t="s">
        <v>1049</v>
      </c>
      <c r="Z322" t="s">
        <v>923</v>
      </c>
      <c r="AA322" t="s">
        <v>934</v>
      </c>
      <c r="AB322" t="s">
        <v>923</v>
      </c>
      <c r="AC322" t="s">
        <v>908</v>
      </c>
      <c r="AD322" t="s">
        <v>989</v>
      </c>
      <c r="AE322">
        <v>8.1</v>
      </c>
      <c r="AF322">
        <v>8.1840000000000011</v>
      </c>
    </row>
    <row r="323" spans="1:32" x14ac:dyDescent="0.25">
      <c r="A323" s="191" t="s">
        <v>2178</v>
      </c>
      <c r="B323" t="s">
        <v>2179</v>
      </c>
      <c r="C323" t="s">
        <v>1084</v>
      </c>
      <c r="D323" t="s">
        <v>131</v>
      </c>
      <c r="E323" t="s">
        <v>72</v>
      </c>
      <c r="F323" t="s">
        <v>1446</v>
      </c>
      <c r="G323" t="s">
        <v>928</v>
      </c>
      <c r="H323" t="s">
        <v>1487</v>
      </c>
      <c r="I323" t="s">
        <v>1135</v>
      </c>
      <c r="J323" t="s">
        <v>921</v>
      </c>
      <c r="K323" t="s">
        <v>1609</v>
      </c>
      <c r="L323" t="s">
        <v>1064</v>
      </c>
      <c r="M323" t="s">
        <v>979</v>
      </c>
      <c r="N323" t="s">
        <v>1351</v>
      </c>
      <c r="O323" t="s">
        <v>968</v>
      </c>
      <c r="P323" t="s">
        <v>964</v>
      </c>
      <c r="Q323" t="s">
        <v>1638</v>
      </c>
      <c r="R323" t="s">
        <v>1656</v>
      </c>
      <c r="S323" t="s">
        <v>1064</v>
      </c>
      <c r="T323" t="s">
        <v>1230</v>
      </c>
      <c r="U323" t="s">
        <v>1468</v>
      </c>
      <c r="V323" t="s">
        <v>1230</v>
      </c>
      <c r="W323" t="s">
        <v>1081</v>
      </c>
      <c r="X323" t="s">
        <v>1092</v>
      </c>
      <c r="Y323" t="s">
        <v>923</v>
      </c>
      <c r="Z323" t="s">
        <v>1094</v>
      </c>
      <c r="AA323" t="s">
        <v>1008</v>
      </c>
      <c r="AB323" t="s">
        <v>969</v>
      </c>
      <c r="AC323" t="s">
        <v>1310</v>
      </c>
      <c r="AD323" t="s">
        <v>989</v>
      </c>
      <c r="AE323">
        <v>8.1999999999999993</v>
      </c>
      <c r="AF323">
        <v>8.2118000000000002</v>
      </c>
    </row>
    <row r="324" spans="1:32" x14ac:dyDescent="0.25">
      <c r="A324" s="191" t="s">
        <v>2635</v>
      </c>
      <c r="B324" t="s">
        <v>2636</v>
      </c>
      <c r="C324" t="s">
        <v>973</v>
      </c>
      <c r="D324" t="s">
        <v>1223</v>
      </c>
      <c r="E324" t="s">
        <v>47</v>
      </c>
      <c r="F324" t="s">
        <v>1162</v>
      </c>
      <c r="G324" t="s">
        <v>1717</v>
      </c>
      <c r="H324" t="s">
        <v>1063</v>
      </c>
      <c r="I324" t="s">
        <v>1195</v>
      </c>
      <c r="J324" t="s">
        <v>1012</v>
      </c>
      <c r="K324" t="s">
        <v>1131</v>
      </c>
      <c r="L324" t="s">
        <v>1094</v>
      </c>
      <c r="M324" t="s">
        <v>1064</v>
      </c>
      <c r="N324" t="s">
        <v>2205</v>
      </c>
      <c r="O324" t="s">
        <v>923</v>
      </c>
      <c r="P324" t="s">
        <v>1310</v>
      </c>
      <c r="Q324" t="s">
        <v>1696</v>
      </c>
      <c r="R324" t="s">
        <v>1401</v>
      </c>
      <c r="S324" t="s">
        <v>991</v>
      </c>
      <c r="T324" t="s">
        <v>969</v>
      </c>
      <c r="U324" t="s">
        <v>2049</v>
      </c>
      <c r="V324" t="s">
        <v>1065</v>
      </c>
      <c r="W324" t="s">
        <v>1008</v>
      </c>
      <c r="X324" t="s">
        <v>945</v>
      </c>
      <c r="Y324" t="s">
        <v>991</v>
      </c>
      <c r="Z324" t="s">
        <v>1119</v>
      </c>
      <c r="AA324" t="s">
        <v>1094</v>
      </c>
      <c r="AB324" t="s">
        <v>1094</v>
      </c>
      <c r="AC324" t="s">
        <v>991</v>
      </c>
      <c r="AD324" t="s">
        <v>970</v>
      </c>
      <c r="AE324">
        <v>3.3</v>
      </c>
      <c r="AF324">
        <v>3.3321000000000005</v>
      </c>
    </row>
    <row r="325" spans="1:32" x14ac:dyDescent="0.25">
      <c r="A325" s="191" t="s">
        <v>2182</v>
      </c>
      <c r="B325" t="s">
        <v>371</v>
      </c>
      <c r="C325" t="s">
        <v>995</v>
      </c>
      <c r="D325" t="s">
        <v>148</v>
      </c>
      <c r="E325" t="s">
        <v>47</v>
      </c>
      <c r="F325" t="s">
        <v>1431</v>
      </c>
      <c r="G325" t="s">
        <v>1222</v>
      </c>
      <c r="H325" t="s">
        <v>1237</v>
      </c>
      <c r="I325" t="s">
        <v>1135</v>
      </c>
      <c r="J325" t="s">
        <v>1044</v>
      </c>
      <c r="K325" t="s">
        <v>1358</v>
      </c>
      <c r="L325" t="s">
        <v>1008</v>
      </c>
      <c r="M325" t="s">
        <v>956</v>
      </c>
      <c r="N325" t="s">
        <v>1886</v>
      </c>
      <c r="O325" t="s">
        <v>947</v>
      </c>
      <c r="P325" t="s">
        <v>1170</v>
      </c>
      <c r="Q325" t="s">
        <v>1226</v>
      </c>
      <c r="R325" t="s">
        <v>1381</v>
      </c>
      <c r="S325" t="s">
        <v>1230</v>
      </c>
      <c r="T325" t="s">
        <v>956</v>
      </c>
      <c r="U325" t="s">
        <v>2183</v>
      </c>
      <c r="V325" t="s">
        <v>1008</v>
      </c>
      <c r="W325" t="s">
        <v>1220</v>
      </c>
      <c r="X325" t="s">
        <v>1000</v>
      </c>
      <c r="Y325" t="s">
        <v>1230</v>
      </c>
      <c r="Z325" t="s">
        <v>1008</v>
      </c>
      <c r="AA325" t="s">
        <v>1230</v>
      </c>
      <c r="AB325" t="s">
        <v>987</v>
      </c>
      <c r="AC325" t="s">
        <v>968</v>
      </c>
      <c r="AD325" t="s">
        <v>1027</v>
      </c>
      <c r="AE325">
        <v>8.1</v>
      </c>
      <c r="AF325">
        <v>8.0963999999999992</v>
      </c>
    </row>
    <row r="326" spans="1:32" x14ac:dyDescent="0.25">
      <c r="A326" s="191" t="s">
        <v>2184</v>
      </c>
      <c r="B326" t="s">
        <v>244</v>
      </c>
      <c r="C326" t="s">
        <v>902</v>
      </c>
      <c r="D326" t="s">
        <v>974</v>
      </c>
      <c r="E326" t="s">
        <v>56</v>
      </c>
      <c r="F326" t="s">
        <v>1322</v>
      </c>
      <c r="G326" t="s">
        <v>1376</v>
      </c>
      <c r="H326" t="s">
        <v>1654</v>
      </c>
      <c r="I326" t="s">
        <v>1135</v>
      </c>
      <c r="J326" t="s">
        <v>921</v>
      </c>
      <c r="K326" t="s">
        <v>1405</v>
      </c>
      <c r="L326" t="s">
        <v>1064</v>
      </c>
      <c r="M326" t="s">
        <v>964</v>
      </c>
      <c r="N326" t="s">
        <v>1686</v>
      </c>
      <c r="O326" t="s">
        <v>1049</v>
      </c>
      <c r="P326" t="s">
        <v>992</v>
      </c>
      <c r="Q326" t="s">
        <v>1144</v>
      </c>
      <c r="R326" t="s">
        <v>1522</v>
      </c>
      <c r="S326" t="s">
        <v>987</v>
      </c>
      <c r="T326" t="s">
        <v>1064</v>
      </c>
      <c r="U326" t="s">
        <v>2185</v>
      </c>
      <c r="V326" t="s">
        <v>1065</v>
      </c>
      <c r="W326" t="s">
        <v>968</v>
      </c>
      <c r="X326" t="s">
        <v>947</v>
      </c>
      <c r="Y326" t="s">
        <v>1046</v>
      </c>
      <c r="Z326" t="s">
        <v>923</v>
      </c>
      <c r="AA326" t="s">
        <v>934</v>
      </c>
      <c r="AB326" t="s">
        <v>922</v>
      </c>
      <c r="AC326" t="s">
        <v>993</v>
      </c>
      <c r="AD326" t="s">
        <v>915</v>
      </c>
      <c r="AE326">
        <v>7.8999999999999995</v>
      </c>
      <c r="AF326">
        <v>7.8966000000000012</v>
      </c>
    </row>
    <row r="327" spans="1:32" x14ac:dyDescent="0.25">
      <c r="A327" s="194" t="s">
        <v>2184</v>
      </c>
      <c r="B327" t="s">
        <v>244</v>
      </c>
      <c r="C327" t="s">
        <v>902</v>
      </c>
      <c r="D327" t="s">
        <v>163</v>
      </c>
      <c r="E327" t="s">
        <v>56</v>
      </c>
      <c r="F327" t="s">
        <v>1422</v>
      </c>
      <c r="G327" t="s">
        <v>995</v>
      </c>
      <c r="H327" t="s">
        <v>1231</v>
      </c>
      <c r="I327" t="s">
        <v>924</v>
      </c>
      <c r="J327" t="s">
        <v>1291</v>
      </c>
      <c r="K327" t="s">
        <v>1764</v>
      </c>
      <c r="L327" t="s">
        <v>923</v>
      </c>
      <c r="M327" t="s">
        <v>1220</v>
      </c>
      <c r="N327" t="s">
        <v>1952</v>
      </c>
      <c r="O327" t="s">
        <v>1310</v>
      </c>
      <c r="P327" t="s">
        <v>964</v>
      </c>
      <c r="Q327" t="s">
        <v>1340</v>
      </c>
      <c r="R327" t="s">
        <v>1667</v>
      </c>
      <c r="S327" t="s">
        <v>969</v>
      </c>
      <c r="T327" t="s">
        <v>987</v>
      </c>
      <c r="U327" t="s">
        <v>2186</v>
      </c>
      <c r="V327" t="s">
        <v>991</v>
      </c>
      <c r="W327" t="s">
        <v>1029</v>
      </c>
      <c r="X327" t="s">
        <v>1049</v>
      </c>
      <c r="Y327" t="s">
        <v>1211</v>
      </c>
      <c r="Z327" t="s">
        <v>1008</v>
      </c>
      <c r="AA327" t="s">
        <v>934</v>
      </c>
      <c r="AB327" t="s">
        <v>968</v>
      </c>
      <c r="AC327" t="s">
        <v>1012</v>
      </c>
      <c r="AD327" t="s">
        <v>1044</v>
      </c>
      <c r="AE327">
        <v>6.3999999999999995</v>
      </c>
      <c r="AF327">
        <v>6.2710999999999997</v>
      </c>
    </row>
    <row r="328" spans="1:32" x14ac:dyDescent="0.25">
      <c r="A328" s="191" t="s">
        <v>2184</v>
      </c>
      <c r="B328" t="s">
        <v>244</v>
      </c>
      <c r="C328" t="s">
        <v>902</v>
      </c>
      <c r="D328" t="s">
        <v>133</v>
      </c>
      <c r="E328" t="s">
        <v>56</v>
      </c>
      <c r="F328" t="s">
        <v>929</v>
      </c>
      <c r="G328" t="s">
        <v>1175</v>
      </c>
      <c r="H328" t="s">
        <v>1507</v>
      </c>
      <c r="I328" t="s">
        <v>1160</v>
      </c>
      <c r="J328" t="s">
        <v>990</v>
      </c>
      <c r="K328" t="s">
        <v>1340</v>
      </c>
      <c r="L328" t="s">
        <v>1230</v>
      </c>
      <c r="M328" t="s">
        <v>946</v>
      </c>
      <c r="N328" t="s">
        <v>1037</v>
      </c>
      <c r="O328" t="s">
        <v>993</v>
      </c>
      <c r="P328" t="s">
        <v>1211</v>
      </c>
      <c r="Q328" t="s">
        <v>1396</v>
      </c>
      <c r="R328" t="s">
        <v>1856</v>
      </c>
      <c r="S328" t="s">
        <v>1064</v>
      </c>
      <c r="T328" t="s">
        <v>1029</v>
      </c>
      <c r="U328" t="s">
        <v>1825</v>
      </c>
      <c r="V328" t="s">
        <v>969</v>
      </c>
      <c r="W328" t="s">
        <v>908</v>
      </c>
      <c r="X328" t="s">
        <v>1220</v>
      </c>
      <c r="Y328" t="s">
        <v>1043</v>
      </c>
      <c r="Z328" t="s">
        <v>1230</v>
      </c>
      <c r="AA328" t="s">
        <v>1094</v>
      </c>
      <c r="AB328" t="s">
        <v>922</v>
      </c>
      <c r="AC328" t="s">
        <v>947</v>
      </c>
      <c r="AD328" t="s">
        <v>1038</v>
      </c>
      <c r="AE328">
        <v>10.299999999999999</v>
      </c>
      <c r="AF328">
        <v>10.2759</v>
      </c>
    </row>
    <row r="329" spans="1:32" x14ac:dyDescent="0.25">
      <c r="A329" s="191" t="s">
        <v>2187</v>
      </c>
      <c r="B329" t="s">
        <v>2188</v>
      </c>
      <c r="C329" t="s">
        <v>950</v>
      </c>
      <c r="D329" t="s">
        <v>974</v>
      </c>
      <c r="E329" t="s">
        <v>47</v>
      </c>
      <c r="F329" t="s">
        <v>1312</v>
      </c>
      <c r="G329" t="s">
        <v>1084</v>
      </c>
      <c r="H329" t="s">
        <v>1774</v>
      </c>
      <c r="I329" t="s">
        <v>964</v>
      </c>
      <c r="J329" t="s">
        <v>1172</v>
      </c>
      <c r="K329" t="s">
        <v>2040</v>
      </c>
      <c r="L329" t="s">
        <v>987</v>
      </c>
      <c r="M329" t="s">
        <v>947</v>
      </c>
      <c r="N329" t="s">
        <v>1952</v>
      </c>
      <c r="O329" t="s">
        <v>956</v>
      </c>
      <c r="P329" t="s">
        <v>1047</v>
      </c>
      <c r="Q329" t="s">
        <v>1555</v>
      </c>
      <c r="R329" t="s">
        <v>1514</v>
      </c>
      <c r="S329" t="s">
        <v>1230</v>
      </c>
      <c r="T329" t="s">
        <v>925</v>
      </c>
      <c r="U329" t="s">
        <v>1814</v>
      </c>
      <c r="V329" t="s">
        <v>945</v>
      </c>
      <c r="W329" t="s">
        <v>1104</v>
      </c>
      <c r="X329" t="s">
        <v>1160</v>
      </c>
      <c r="Y329" t="s">
        <v>908</v>
      </c>
      <c r="Z329" t="s">
        <v>923</v>
      </c>
      <c r="AA329" t="s">
        <v>1065</v>
      </c>
      <c r="AB329" t="s">
        <v>945</v>
      </c>
      <c r="AC329" t="s">
        <v>1049</v>
      </c>
      <c r="AD329" t="s">
        <v>915</v>
      </c>
      <c r="AE329">
        <v>8</v>
      </c>
      <c r="AF329">
        <v>7.9675000000000002</v>
      </c>
    </row>
    <row r="330" spans="1:32" x14ac:dyDescent="0.25">
      <c r="A330" s="191" t="s">
        <v>2187</v>
      </c>
      <c r="B330" t="s">
        <v>2188</v>
      </c>
      <c r="C330" t="s">
        <v>950</v>
      </c>
      <c r="D330" t="s">
        <v>108</v>
      </c>
      <c r="E330" t="s">
        <v>47</v>
      </c>
      <c r="F330" t="s">
        <v>1176</v>
      </c>
      <c r="G330" t="s">
        <v>1084</v>
      </c>
      <c r="H330" t="s">
        <v>948</v>
      </c>
      <c r="I330" t="s">
        <v>970</v>
      </c>
      <c r="J330" t="s">
        <v>1028</v>
      </c>
      <c r="K330" t="s">
        <v>1718</v>
      </c>
      <c r="L330" t="s">
        <v>1064</v>
      </c>
      <c r="M330" t="s">
        <v>1104</v>
      </c>
      <c r="N330" t="s">
        <v>1019</v>
      </c>
      <c r="O330" t="s">
        <v>925</v>
      </c>
      <c r="P330" t="s">
        <v>957</v>
      </c>
      <c r="Q330" t="s">
        <v>1099</v>
      </c>
      <c r="R330" t="s">
        <v>1283</v>
      </c>
      <c r="S330" t="s">
        <v>1310</v>
      </c>
      <c r="T330" t="s">
        <v>924</v>
      </c>
      <c r="U330" t="s">
        <v>1814</v>
      </c>
      <c r="V330" t="s">
        <v>1230</v>
      </c>
      <c r="W330" t="s">
        <v>1135</v>
      </c>
      <c r="X330" t="s">
        <v>1103</v>
      </c>
      <c r="Y330" t="s">
        <v>925</v>
      </c>
      <c r="Z330" t="s">
        <v>1064</v>
      </c>
      <c r="AA330" t="s">
        <v>969</v>
      </c>
      <c r="AB330" t="s">
        <v>1230</v>
      </c>
      <c r="AC330" t="s">
        <v>956</v>
      </c>
      <c r="AD330" t="s">
        <v>1035</v>
      </c>
      <c r="AE330">
        <v>9.1999999999999993</v>
      </c>
      <c r="AF330">
        <v>9.0850000000000009</v>
      </c>
    </row>
    <row r="331" spans="1:32" x14ac:dyDescent="0.25">
      <c r="A331" s="191" t="s">
        <v>2187</v>
      </c>
      <c r="B331" t="s">
        <v>2188</v>
      </c>
      <c r="C331" t="s">
        <v>950</v>
      </c>
      <c r="D331" t="s">
        <v>151</v>
      </c>
      <c r="E331" t="s">
        <v>47</v>
      </c>
      <c r="F331" t="s">
        <v>1162</v>
      </c>
      <c r="G331" t="s">
        <v>1717</v>
      </c>
      <c r="H331" t="s">
        <v>1314</v>
      </c>
      <c r="I331" t="s">
        <v>956</v>
      </c>
      <c r="J331" t="s">
        <v>1005</v>
      </c>
      <c r="K331" t="s">
        <v>1461</v>
      </c>
      <c r="L331" t="s">
        <v>1094</v>
      </c>
      <c r="M331" t="s">
        <v>1064</v>
      </c>
      <c r="N331" t="s">
        <v>2152</v>
      </c>
      <c r="O331" t="s">
        <v>922</v>
      </c>
      <c r="P331" t="s">
        <v>1228</v>
      </c>
      <c r="Q331" t="s">
        <v>1729</v>
      </c>
      <c r="R331" t="s">
        <v>958</v>
      </c>
      <c r="S331" t="s">
        <v>1064</v>
      </c>
      <c r="T331" t="s">
        <v>922</v>
      </c>
      <c r="U331" t="s">
        <v>1842</v>
      </c>
      <c r="V331" t="s">
        <v>1008</v>
      </c>
      <c r="W331" t="s">
        <v>925</v>
      </c>
      <c r="X331" t="s">
        <v>964</v>
      </c>
      <c r="Y331" t="s">
        <v>1049</v>
      </c>
      <c r="Z331" t="s">
        <v>918</v>
      </c>
      <c r="AA331" t="s">
        <v>934</v>
      </c>
      <c r="AB331" t="s">
        <v>918</v>
      </c>
      <c r="AC331" t="s">
        <v>922</v>
      </c>
      <c r="AD331" t="s">
        <v>1329</v>
      </c>
      <c r="AE331">
        <v>5.4</v>
      </c>
      <c r="AF331">
        <v>5.3194999999999997</v>
      </c>
    </row>
    <row r="332" spans="1:32" x14ac:dyDescent="0.25">
      <c r="A332" s="191" t="s">
        <v>2189</v>
      </c>
      <c r="B332" t="s">
        <v>2190</v>
      </c>
      <c r="C332" t="s">
        <v>973</v>
      </c>
      <c r="D332" t="s">
        <v>1279</v>
      </c>
      <c r="E332" t="s">
        <v>56</v>
      </c>
      <c r="F332" t="s">
        <v>1067</v>
      </c>
      <c r="G332" t="s">
        <v>1717</v>
      </c>
      <c r="H332" t="s">
        <v>1383</v>
      </c>
      <c r="I332" t="s">
        <v>924</v>
      </c>
      <c r="J332" t="s">
        <v>988</v>
      </c>
      <c r="K332" t="s">
        <v>2069</v>
      </c>
      <c r="L332" t="s">
        <v>1049</v>
      </c>
      <c r="M332" t="s">
        <v>1044</v>
      </c>
      <c r="N332" t="s">
        <v>1259</v>
      </c>
      <c r="O332" t="s">
        <v>969</v>
      </c>
      <c r="P332" t="s">
        <v>1064</v>
      </c>
      <c r="Q332" t="s">
        <v>1131</v>
      </c>
      <c r="R332" t="s">
        <v>1055</v>
      </c>
      <c r="S332" t="s">
        <v>1064</v>
      </c>
      <c r="T332" t="s">
        <v>1230</v>
      </c>
      <c r="U332" t="s">
        <v>963</v>
      </c>
      <c r="V332" t="s">
        <v>991</v>
      </c>
      <c r="W332" t="s">
        <v>918</v>
      </c>
      <c r="X332" t="s">
        <v>1195</v>
      </c>
      <c r="Y332" t="s">
        <v>922</v>
      </c>
      <c r="Z332" t="s">
        <v>991</v>
      </c>
      <c r="AA332" t="s">
        <v>1119</v>
      </c>
      <c r="AB332" t="s">
        <v>1064</v>
      </c>
      <c r="AC332" t="s">
        <v>924</v>
      </c>
      <c r="AD332" t="s">
        <v>915</v>
      </c>
      <c r="AE332">
        <v>7.7999999999999989</v>
      </c>
      <c r="AF332">
        <v>7.7955000000000005</v>
      </c>
    </row>
    <row r="333" spans="1:32" x14ac:dyDescent="0.25">
      <c r="A333" s="191" t="s">
        <v>2191</v>
      </c>
      <c r="B333" t="s">
        <v>2192</v>
      </c>
      <c r="C333" t="s">
        <v>1032</v>
      </c>
      <c r="D333" t="s">
        <v>1279</v>
      </c>
      <c r="E333" t="s">
        <v>72</v>
      </c>
      <c r="F333" t="s">
        <v>975</v>
      </c>
      <c r="G333" t="s">
        <v>928</v>
      </c>
      <c r="H333" t="s">
        <v>1073</v>
      </c>
      <c r="I333" t="s">
        <v>970</v>
      </c>
      <c r="J333" t="s">
        <v>1044</v>
      </c>
      <c r="K333" t="s">
        <v>1101</v>
      </c>
      <c r="L333" t="s">
        <v>934</v>
      </c>
      <c r="M333" t="s">
        <v>918</v>
      </c>
      <c r="N333" t="s">
        <v>2193</v>
      </c>
      <c r="O333" t="s">
        <v>946</v>
      </c>
      <c r="P333" t="s">
        <v>1329</v>
      </c>
      <c r="Q333" t="s">
        <v>1504</v>
      </c>
      <c r="R333" t="s">
        <v>1307</v>
      </c>
      <c r="S333" t="s">
        <v>1064</v>
      </c>
      <c r="T333" t="s">
        <v>1310</v>
      </c>
      <c r="U333" t="s">
        <v>1684</v>
      </c>
      <c r="V333" t="s">
        <v>1135</v>
      </c>
      <c r="W333" t="s">
        <v>992</v>
      </c>
      <c r="X333" t="s">
        <v>1006</v>
      </c>
      <c r="Y333" t="s">
        <v>968</v>
      </c>
      <c r="Z333" t="s">
        <v>987</v>
      </c>
      <c r="AA333" t="s">
        <v>987</v>
      </c>
      <c r="AB333" t="s">
        <v>1195</v>
      </c>
      <c r="AC333" t="s">
        <v>947</v>
      </c>
      <c r="AD333" t="s">
        <v>915</v>
      </c>
      <c r="AE333">
        <v>7.8999999999999986</v>
      </c>
      <c r="AF333">
        <v>7.9070999999999998</v>
      </c>
    </row>
    <row r="334" spans="1:32" x14ac:dyDescent="0.25">
      <c r="A334" s="191" t="s">
        <v>2194</v>
      </c>
      <c r="B334" t="s">
        <v>331</v>
      </c>
      <c r="C334" t="s">
        <v>995</v>
      </c>
      <c r="D334" t="s">
        <v>1149</v>
      </c>
      <c r="E334" t="s">
        <v>56</v>
      </c>
      <c r="F334" t="s">
        <v>1068</v>
      </c>
      <c r="G334" t="s">
        <v>1175</v>
      </c>
      <c r="H334" t="s">
        <v>2195</v>
      </c>
      <c r="I334" t="s">
        <v>964</v>
      </c>
      <c r="J334" t="s">
        <v>1132</v>
      </c>
      <c r="K334" t="s">
        <v>1499</v>
      </c>
      <c r="L334" t="s">
        <v>918</v>
      </c>
      <c r="M334" t="s">
        <v>992</v>
      </c>
      <c r="N334" t="s">
        <v>2196</v>
      </c>
      <c r="O334" t="s">
        <v>956</v>
      </c>
      <c r="P334" t="s">
        <v>1134</v>
      </c>
      <c r="Q334" t="s">
        <v>1797</v>
      </c>
      <c r="R334" t="s">
        <v>1719</v>
      </c>
      <c r="S334" t="s">
        <v>1064</v>
      </c>
      <c r="T334" t="s">
        <v>1230</v>
      </c>
      <c r="U334" t="s">
        <v>2197</v>
      </c>
      <c r="V334" t="s">
        <v>1064</v>
      </c>
      <c r="W334" t="s">
        <v>1049</v>
      </c>
      <c r="X334" t="s">
        <v>1135</v>
      </c>
      <c r="Y334" t="s">
        <v>946</v>
      </c>
      <c r="Z334" t="s">
        <v>918</v>
      </c>
      <c r="AA334" t="s">
        <v>934</v>
      </c>
      <c r="AB334" t="s">
        <v>1029</v>
      </c>
      <c r="AC334" t="s">
        <v>1029</v>
      </c>
      <c r="AD334" t="s">
        <v>1011</v>
      </c>
      <c r="AE334">
        <v>7.8000000000000007</v>
      </c>
      <c r="AF334">
        <v>7.8751999999999995</v>
      </c>
    </row>
    <row r="335" spans="1:32" x14ac:dyDescent="0.25">
      <c r="A335" s="191" t="s">
        <v>2198</v>
      </c>
      <c r="B335" t="s">
        <v>333</v>
      </c>
      <c r="C335" t="s">
        <v>1015</v>
      </c>
      <c r="D335" t="s">
        <v>974</v>
      </c>
      <c r="E335" t="s">
        <v>63</v>
      </c>
      <c r="F335" t="s">
        <v>930</v>
      </c>
      <c r="G335" t="s">
        <v>1147</v>
      </c>
      <c r="H335" t="s">
        <v>1408</v>
      </c>
      <c r="I335" t="s">
        <v>946</v>
      </c>
      <c r="J335" t="s">
        <v>985</v>
      </c>
      <c r="K335" t="s">
        <v>1476</v>
      </c>
      <c r="L335" t="s">
        <v>918</v>
      </c>
      <c r="M335" t="s">
        <v>924</v>
      </c>
      <c r="N335" t="s">
        <v>981</v>
      </c>
      <c r="O335" t="s">
        <v>925</v>
      </c>
      <c r="P335" t="s">
        <v>1030</v>
      </c>
      <c r="Q335" t="s">
        <v>1606</v>
      </c>
      <c r="R335" t="s">
        <v>914</v>
      </c>
      <c r="S335" t="s">
        <v>1008</v>
      </c>
      <c r="T335" t="s">
        <v>923</v>
      </c>
      <c r="U335" t="s">
        <v>1803</v>
      </c>
      <c r="V335" t="s">
        <v>923</v>
      </c>
      <c r="W335" t="s">
        <v>956</v>
      </c>
      <c r="X335" t="s">
        <v>1135</v>
      </c>
      <c r="Y335" t="s">
        <v>968</v>
      </c>
      <c r="Z335" t="s">
        <v>1008</v>
      </c>
      <c r="AA335" t="s">
        <v>934</v>
      </c>
      <c r="AB335" t="s">
        <v>1008</v>
      </c>
      <c r="AC335" t="s">
        <v>1049</v>
      </c>
      <c r="AD335" t="s">
        <v>990</v>
      </c>
      <c r="AE335">
        <v>7.8000000000000007</v>
      </c>
      <c r="AF335">
        <v>7.7486000000000006</v>
      </c>
    </row>
    <row r="336" spans="1:32" x14ac:dyDescent="0.25">
      <c r="A336" s="191" t="s">
        <v>2198</v>
      </c>
      <c r="B336" t="s">
        <v>333</v>
      </c>
      <c r="C336" t="s">
        <v>1015</v>
      </c>
      <c r="D336" t="s">
        <v>79</v>
      </c>
      <c r="E336" t="s">
        <v>63</v>
      </c>
      <c r="F336" t="s">
        <v>1376</v>
      </c>
      <c r="G336" t="s">
        <v>1137</v>
      </c>
      <c r="H336" t="s">
        <v>1125</v>
      </c>
      <c r="I336" t="s">
        <v>924</v>
      </c>
      <c r="J336" t="s">
        <v>1043</v>
      </c>
      <c r="K336" t="s">
        <v>1319</v>
      </c>
      <c r="L336" t="s">
        <v>1008</v>
      </c>
      <c r="M336" t="s">
        <v>956</v>
      </c>
      <c r="N336" t="s">
        <v>2199</v>
      </c>
      <c r="O336" t="s">
        <v>1029</v>
      </c>
      <c r="P336" t="s">
        <v>1048</v>
      </c>
      <c r="Q336" t="s">
        <v>1471</v>
      </c>
      <c r="R336" t="s">
        <v>1235</v>
      </c>
      <c r="S336" t="s">
        <v>969</v>
      </c>
      <c r="T336" t="s">
        <v>918</v>
      </c>
      <c r="U336" t="s">
        <v>2200</v>
      </c>
      <c r="V336" t="s">
        <v>918</v>
      </c>
      <c r="W336" t="s">
        <v>956</v>
      </c>
      <c r="X336" t="s">
        <v>964</v>
      </c>
      <c r="Y336" t="s">
        <v>1029</v>
      </c>
      <c r="Z336" t="s">
        <v>987</v>
      </c>
      <c r="AA336" t="s">
        <v>1094</v>
      </c>
      <c r="AB336" t="s">
        <v>1008</v>
      </c>
      <c r="AC336" t="s">
        <v>968</v>
      </c>
      <c r="AD336" t="s">
        <v>1063</v>
      </c>
      <c r="AE336">
        <v>6.1</v>
      </c>
      <c r="AF336">
        <v>6.0818999999999992</v>
      </c>
    </row>
    <row r="337" spans="1:32" x14ac:dyDescent="0.25">
      <c r="A337" s="191" t="s">
        <v>2198</v>
      </c>
      <c r="B337" t="s">
        <v>333</v>
      </c>
      <c r="C337" t="s">
        <v>1015</v>
      </c>
      <c r="D337" t="s">
        <v>111</v>
      </c>
      <c r="E337" t="s">
        <v>63</v>
      </c>
      <c r="F337" t="s">
        <v>929</v>
      </c>
      <c r="G337" t="s">
        <v>901</v>
      </c>
      <c r="H337" t="s">
        <v>1883</v>
      </c>
      <c r="I337" t="s">
        <v>1160</v>
      </c>
      <c r="J337" t="s">
        <v>1118</v>
      </c>
      <c r="K337" t="s">
        <v>1369</v>
      </c>
      <c r="L337" t="s">
        <v>1064</v>
      </c>
      <c r="M337" t="s">
        <v>964</v>
      </c>
      <c r="N337" t="s">
        <v>1588</v>
      </c>
      <c r="O337" t="s">
        <v>1104</v>
      </c>
      <c r="P337" t="s">
        <v>1170</v>
      </c>
      <c r="Q337" t="s">
        <v>2201</v>
      </c>
      <c r="R337" t="s">
        <v>2115</v>
      </c>
      <c r="S337" t="s">
        <v>987</v>
      </c>
      <c r="T337" t="s">
        <v>945</v>
      </c>
      <c r="U337" t="s">
        <v>1696</v>
      </c>
      <c r="V337" t="s">
        <v>945</v>
      </c>
      <c r="W337" t="s">
        <v>1049</v>
      </c>
      <c r="X337" t="s">
        <v>946</v>
      </c>
      <c r="Y337" t="s">
        <v>908</v>
      </c>
      <c r="Z337" t="s">
        <v>969</v>
      </c>
      <c r="AA337" t="s">
        <v>1119</v>
      </c>
      <c r="AB337" t="s">
        <v>1008</v>
      </c>
      <c r="AC337" t="s">
        <v>956</v>
      </c>
      <c r="AD337" t="s">
        <v>997</v>
      </c>
      <c r="AE337">
        <v>9.7000000000000011</v>
      </c>
      <c r="AF337">
        <v>9.8434000000000008</v>
      </c>
    </row>
    <row r="338" spans="1:32" x14ac:dyDescent="0.25">
      <c r="A338" s="191" t="s">
        <v>2202</v>
      </c>
      <c r="B338" t="s">
        <v>2203</v>
      </c>
      <c r="C338" t="s">
        <v>1032</v>
      </c>
      <c r="D338" t="s">
        <v>83</v>
      </c>
      <c r="E338" t="s">
        <v>93</v>
      </c>
      <c r="F338" t="s">
        <v>1187</v>
      </c>
      <c r="G338" t="s">
        <v>1067</v>
      </c>
      <c r="H338" t="s">
        <v>1304</v>
      </c>
      <c r="I338" t="s">
        <v>1048</v>
      </c>
      <c r="J338" t="s">
        <v>1092</v>
      </c>
      <c r="K338" t="s">
        <v>1077</v>
      </c>
      <c r="L338" t="s">
        <v>1065</v>
      </c>
      <c r="M338" t="s">
        <v>1029</v>
      </c>
      <c r="N338" t="s">
        <v>1791</v>
      </c>
      <c r="O338" t="s">
        <v>1220</v>
      </c>
      <c r="P338" t="s">
        <v>1228</v>
      </c>
      <c r="Q338" t="s">
        <v>1880</v>
      </c>
      <c r="R338" t="s">
        <v>2115</v>
      </c>
      <c r="S338" t="s">
        <v>987</v>
      </c>
      <c r="T338" t="s">
        <v>923</v>
      </c>
      <c r="U338" t="s">
        <v>1634</v>
      </c>
      <c r="V338" t="s">
        <v>1310</v>
      </c>
      <c r="W338" t="s">
        <v>979</v>
      </c>
      <c r="X338" t="s">
        <v>920</v>
      </c>
      <c r="Y338" t="s">
        <v>1064</v>
      </c>
      <c r="Z338" t="s">
        <v>1065</v>
      </c>
      <c r="AA338" t="s">
        <v>923</v>
      </c>
      <c r="AB338" t="s">
        <v>923</v>
      </c>
      <c r="AC338" t="s">
        <v>993</v>
      </c>
      <c r="AD338" t="s">
        <v>990</v>
      </c>
      <c r="AE338">
        <v>7.7</v>
      </c>
      <c r="AF338">
        <v>7.6993999999999989</v>
      </c>
    </row>
    <row r="339" spans="1:32" x14ac:dyDescent="0.25">
      <c r="A339" s="191" t="s">
        <v>2204</v>
      </c>
      <c r="B339" t="s">
        <v>302</v>
      </c>
      <c r="C339" t="s">
        <v>1238</v>
      </c>
      <c r="D339" t="s">
        <v>974</v>
      </c>
      <c r="E339" t="s">
        <v>63</v>
      </c>
      <c r="F339" t="s">
        <v>950</v>
      </c>
      <c r="G339" t="s">
        <v>1121</v>
      </c>
      <c r="H339" t="s">
        <v>1732</v>
      </c>
      <c r="I339" t="s">
        <v>1104</v>
      </c>
      <c r="J339" t="s">
        <v>1118</v>
      </c>
      <c r="K339" t="s">
        <v>1683</v>
      </c>
      <c r="L339" t="s">
        <v>987</v>
      </c>
      <c r="M339" t="s">
        <v>946</v>
      </c>
      <c r="N339" t="s">
        <v>2205</v>
      </c>
      <c r="O339" t="s">
        <v>956</v>
      </c>
      <c r="P339" t="s">
        <v>1081</v>
      </c>
      <c r="Q339" t="s">
        <v>1287</v>
      </c>
      <c r="R339" t="s">
        <v>1840</v>
      </c>
      <c r="S339" t="s">
        <v>1064</v>
      </c>
      <c r="T339" t="s">
        <v>1195</v>
      </c>
      <c r="U339" t="s">
        <v>1539</v>
      </c>
      <c r="V339" t="s">
        <v>1094</v>
      </c>
      <c r="W339" t="s">
        <v>968</v>
      </c>
      <c r="X339" t="s">
        <v>956</v>
      </c>
      <c r="Y339" t="s">
        <v>1012</v>
      </c>
      <c r="Z339" t="s">
        <v>991</v>
      </c>
      <c r="AA339" t="s">
        <v>1119</v>
      </c>
      <c r="AB339" t="s">
        <v>945</v>
      </c>
      <c r="AC339" t="s">
        <v>922</v>
      </c>
      <c r="AD339" t="s">
        <v>1009</v>
      </c>
      <c r="AE339">
        <v>7.5</v>
      </c>
      <c r="AF339">
        <v>7.5723999999999991</v>
      </c>
    </row>
    <row r="340" spans="1:32" x14ac:dyDescent="0.25">
      <c r="A340" s="191" t="s">
        <v>2204</v>
      </c>
      <c r="B340" t="s">
        <v>302</v>
      </c>
      <c r="C340" t="s">
        <v>1238</v>
      </c>
      <c r="D340" t="s">
        <v>105</v>
      </c>
      <c r="E340" t="s">
        <v>63</v>
      </c>
      <c r="F340" t="s">
        <v>1067</v>
      </c>
      <c r="G340" t="s">
        <v>1717</v>
      </c>
      <c r="H340" t="s">
        <v>1044</v>
      </c>
      <c r="I340" t="s">
        <v>1064</v>
      </c>
      <c r="J340" t="s">
        <v>1220</v>
      </c>
      <c r="K340" t="s">
        <v>1818</v>
      </c>
      <c r="L340" t="s">
        <v>991</v>
      </c>
      <c r="M340" t="s">
        <v>1008</v>
      </c>
      <c r="N340" t="s">
        <v>1836</v>
      </c>
      <c r="O340" t="s">
        <v>1008</v>
      </c>
      <c r="P340" t="s">
        <v>956</v>
      </c>
      <c r="Q340" t="s">
        <v>1545</v>
      </c>
      <c r="R340" t="s">
        <v>1131</v>
      </c>
      <c r="S340" t="s">
        <v>1119</v>
      </c>
      <c r="T340" t="s">
        <v>1094</v>
      </c>
      <c r="U340" t="s">
        <v>1131</v>
      </c>
      <c r="V340" t="s">
        <v>1600</v>
      </c>
      <c r="W340" t="s">
        <v>923</v>
      </c>
      <c r="X340" t="s">
        <v>923</v>
      </c>
      <c r="Y340" t="s">
        <v>923</v>
      </c>
      <c r="Z340" t="s">
        <v>1119</v>
      </c>
      <c r="AA340" t="s">
        <v>1600</v>
      </c>
      <c r="AB340" t="s">
        <v>969</v>
      </c>
      <c r="AC340" t="s">
        <v>1600</v>
      </c>
      <c r="AD340" t="s">
        <v>964</v>
      </c>
      <c r="AE340">
        <v>2.7000000000000006</v>
      </c>
      <c r="AF340">
        <v>2.8379999999999996</v>
      </c>
    </row>
    <row r="341" spans="1:32" x14ac:dyDescent="0.25">
      <c r="A341" s="194" t="s">
        <v>2204</v>
      </c>
      <c r="B341" t="s">
        <v>302</v>
      </c>
      <c r="C341" t="s">
        <v>1238</v>
      </c>
      <c r="D341" t="s">
        <v>77</v>
      </c>
      <c r="E341" t="s">
        <v>63</v>
      </c>
      <c r="F341" t="s">
        <v>995</v>
      </c>
      <c r="G341" t="s">
        <v>1121</v>
      </c>
      <c r="H341" t="s">
        <v>1894</v>
      </c>
      <c r="I341" t="s">
        <v>1000</v>
      </c>
      <c r="J341" t="s">
        <v>916</v>
      </c>
      <c r="K341" t="s">
        <v>1679</v>
      </c>
      <c r="L341" t="s">
        <v>923</v>
      </c>
      <c r="M341" t="s">
        <v>1160</v>
      </c>
      <c r="N341" t="s">
        <v>2206</v>
      </c>
      <c r="O341" t="s">
        <v>924</v>
      </c>
      <c r="P341" t="s">
        <v>920</v>
      </c>
      <c r="Q341" t="s">
        <v>1976</v>
      </c>
      <c r="R341" t="s">
        <v>1659</v>
      </c>
      <c r="S341" t="s">
        <v>1230</v>
      </c>
      <c r="T341" t="s">
        <v>1029</v>
      </c>
      <c r="U341" t="s">
        <v>1397</v>
      </c>
      <c r="V341" t="s">
        <v>991</v>
      </c>
      <c r="W341" t="s">
        <v>956</v>
      </c>
      <c r="X341" t="s">
        <v>924</v>
      </c>
      <c r="Y341" t="s">
        <v>946</v>
      </c>
      <c r="Z341" t="s">
        <v>1065</v>
      </c>
      <c r="AA341" t="s">
        <v>1119</v>
      </c>
      <c r="AB341" t="s">
        <v>1230</v>
      </c>
      <c r="AC341" t="s">
        <v>947</v>
      </c>
      <c r="AD341" t="s">
        <v>1035</v>
      </c>
      <c r="AE341">
        <v>9.1999999999999993</v>
      </c>
      <c r="AF341">
        <v>9.0702999999999996</v>
      </c>
    </row>
    <row r="342" spans="1:32" x14ac:dyDescent="0.25">
      <c r="A342" s="191" t="s">
        <v>2207</v>
      </c>
      <c r="B342" t="s">
        <v>2208</v>
      </c>
      <c r="C342" t="s">
        <v>1293</v>
      </c>
      <c r="D342" t="s">
        <v>131</v>
      </c>
      <c r="E342" t="s">
        <v>56</v>
      </c>
      <c r="F342" t="s">
        <v>1343</v>
      </c>
      <c r="G342" t="s">
        <v>1162</v>
      </c>
      <c r="H342" t="s">
        <v>1354</v>
      </c>
      <c r="I342" t="s">
        <v>993</v>
      </c>
      <c r="J342" t="s">
        <v>1116</v>
      </c>
      <c r="K342" t="s">
        <v>2023</v>
      </c>
      <c r="L342" t="s">
        <v>1049</v>
      </c>
      <c r="M342" t="s">
        <v>1092</v>
      </c>
      <c r="N342" t="s">
        <v>1515</v>
      </c>
      <c r="O342" t="s">
        <v>969</v>
      </c>
      <c r="P342" t="s">
        <v>1230</v>
      </c>
      <c r="Q342" t="s">
        <v>1555</v>
      </c>
      <c r="R342" t="s">
        <v>1340</v>
      </c>
      <c r="S342" t="s">
        <v>969</v>
      </c>
      <c r="T342" t="s">
        <v>987</v>
      </c>
      <c r="U342" t="s">
        <v>2136</v>
      </c>
      <c r="V342" t="s">
        <v>1008</v>
      </c>
      <c r="W342" t="s">
        <v>1220</v>
      </c>
      <c r="X342" t="s">
        <v>1000</v>
      </c>
      <c r="Y342" t="s">
        <v>970</v>
      </c>
      <c r="Z342" t="s">
        <v>1195</v>
      </c>
      <c r="AA342" t="s">
        <v>1065</v>
      </c>
      <c r="AB342" t="s">
        <v>945</v>
      </c>
      <c r="AC342" t="s">
        <v>1029</v>
      </c>
      <c r="AD342" t="s">
        <v>1009</v>
      </c>
      <c r="AE342">
        <v>7.4999999999999991</v>
      </c>
      <c r="AF342">
        <v>7.6220000000000008</v>
      </c>
    </row>
    <row r="343" spans="1:32" x14ac:dyDescent="0.25">
      <c r="A343" s="191" t="s">
        <v>2209</v>
      </c>
      <c r="B343" t="s">
        <v>2210</v>
      </c>
      <c r="C343" t="s">
        <v>973</v>
      </c>
      <c r="D343" t="s">
        <v>45</v>
      </c>
      <c r="E343" t="s">
        <v>72</v>
      </c>
      <c r="F343" t="s">
        <v>1162</v>
      </c>
      <c r="G343" t="s">
        <v>901</v>
      </c>
      <c r="H343" t="s">
        <v>1281</v>
      </c>
      <c r="I343" t="s">
        <v>1135</v>
      </c>
      <c r="J343" t="s">
        <v>920</v>
      </c>
      <c r="K343" t="s">
        <v>1836</v>
      </c>
      <c r="L343" t="s">
        <v>1600</v>
      </c>
      <c r="M343" t="s">
        <v>1600</v>
      </c>
      <c r="N343" t="s">
        <v>927</v>
      </c>
      <c r="O343" t="s">
        <v>1135</v>
      </c>
      <c r="P343" t="s">
        <v>920</v>
      </c>
      <c r="Q343" t="s">
        <v>1836</v>
      </c>
      <c r="R343" t="s">
        <v>1836</v>
      </c>
      <c r="S343" t="s">
        <v>1029</v>
      </c>
      <c r="T343" t="s">
        <v>925</v>
      </c>
      <c r="U343" t="s">
        <v>2124</v>
      </c>
      <c r="V343" t="s">
        <v>970</v>
      </c>
      <c r="W343" t="s">
        <v>1329</v>
      </c>
      <c r="X343" t="s">
        <v>1062</v>
      </c>
      <c r="Y343" t="s">
        <v>969</v>
      </c>
      <c r="Z343" t="s">
        <v>918</v>
      </c>
      <c r="AA343" t="s">
        <v>1119</v>
      </c>
      <c r="AB343" t="s">
        <v>1008</v>
      </c>
      <c r="AC343" t="s">
        <v>922</v>
      </c>
      <c r="AD343" t="s">
        <v>1009</v>
      </c>
      <c r="AE343">
        <v>7.6</v>
      </c>
      <c r="AF343" t="e">
        <v>#VALUE!</v>
      </c>
    </row>
    <row r="344" spans="1:32" x14ac:dyDescent="0.25">
      <c r="A344" s="191" t="s">
        <v>2211</v>
      </c>
      <c r="B344" t="s">
        <v>2212</v>
      </c>
      <c r="C344" t="s">
        <v>1015</v>
      </c>
      <c r="D344" t="s">
        <v>111</v>
      </c>
      <c r="E344" t="s">
        <v>63</v>
      </c>
      <c r="F344" t="s">
        <v>1150</v>
      </c>
      <c r="G344" t="s">
        <v>928</v>
      </c>
      <c r="H344" t="s">
        <v>1350</v>
      </c>
      <c r="I344" t="s">
        <v>925</v>
      </c>
      <c r="J344" t="s">
        <v>1291</v>
      </c>
      <c r="K344" t="s">
        <v>1225</v>
      </c>
      <c r="L344" t="s">
        <v>968</v>
      </c>
      <c r="M344" t="s">
        <v>1211</v>
      </c>
      <c r="N344" t="s">
        <v>1509</v>
      </c>
      <c r="O344" t="s">
        <v>991</v>
      </c>
      <c r="P344" t="s">
        <v>987</v>
      </c>
      <c r="Q344" t="s">
        <v>1659</v>
      </c>
      <c r="R344" t="s">
        <v>1324</v>
      </c>
      <c r="S344" t="s">
        <v>1230</v>
      </c>
      <c r="T344" t="s">
        <v>922</v>
      </c>
      <c r="U344" t="s">
        <v>1117</v>
      </c>
      <c r="V344" t="s">
        <v>1094</v>
      </c>
      <c r="W344" t="s">
        <v>1029</v>
      </c>
      <c r="X344" t="s">
        <v>1049</v>
      </c>
      <c r="Y344" t="s">
        <v>1195</v>
      </c>
      <c r="Z344" t="s">
        <v>969</v>
      </c>
      <c r="AA344" t="s">
        <v>1094</v>
      </c>
      <c r="AB344" t="s">
        <v>1008</v>
      </c>
      <c r="AC344" t="s">
        <v>922</v>
      </c>
      <c r="AD344" t="s">
        <v>1028</v>
      </c>
      <c r="AE344">
        <v>7.6000000000000014</v>
      </c>
      <c r="AF344">
        <v>7.5625</v>
      </c>
    </row>
    <row r="345" spans="1:32" x14ac:dyDescent="0.25">
      <c r="A345" s="191" t="s">
        <v>2213</v>
      </c>
      <c r="B345" t="s">
        <v>326</v>
      </c>
      <c r="C345" t="s">
        <v>1293</v>
      </c>
      <c r="D345" t="s">
        <v>95</v>
      </c>
      <c r="E345" t="s">
        <v>63</v>
      </c>
      <c r="F345" t="s">
        <v>1175</v>
      </c>
      <c r="G345" t="s">
        <v>1031</v>
      </c>
      <c r="H345" t="s">
        <v>1098</v>
      </c>
      <c r="I345" t="s">
        <v>1104</v>
      </c>
      <c r="J345" t="s">
        <v>1126</v>
      </c>
      <c r="K345" t="s">
        <v>1358</v>
      </c>
      <c r="L345" t="s">
        <v>1230</v>
      </c>
      <c r="M345" t="s">
        <v>1048</v>
      </c>
      <c r="N345" t="s">
        <v>1018</v>
      </c>
      <c r="O345" t="s">
        <v>1230</v>
      </c>
      <c r="P345" t="s">
        <v>1220</v>
      </c>
      <c r="Q345" t="s">
        <v>1144</v>
      </c>
      <c r="R345" t="s">
        <v>1768</v>
      </c>
      <c r="S345" t="s">
        <v>1065</v>
      </c>
      <c r="T345" t="s">
        <v>923</v>
      </c>
      <c r="U345" t="s">
        <v>1682</v>
      </c>
      <c r="V345" t="s">
        <v>918</v>
      </c>
      <c r="W345" t="s">
        <v>993</v>
      </c>
      <c r="X345" t="s">
        <v>979</v>
      </c>
      <c r="Y345" t="s">
        <v>1049</v>
      </c>
      <c r="Z345" t="s">
        <v>925</v>
      </c>
      <c r="AA345" t="s">
        <v>969</v>
      </c>
      <c r="AB345" t="s">
        <v>918</v>
      </c>
      <c r="AC345" t="s">
        <v>918</v>
      </c>
      <c r="AD345" t="s">
        <v>1028</v>
      </c>
      <c r="AE345">
        <v>7.4999999999999991</v>
      </c>
      <c r="AF345">
        <v>7.506800000000001</v>
      </c>
    </row>
    <row r="346" spans="1:32" x14ac:dyDescent="0.25">
      <c r="A346" s="194" t="s">
        <v>2214</v>
      </c>
      <c r="B346" t="s">
        <v>363</v>
      </c>
      <c r="C346" t="s">
        <v>973</v>
      </c>
      <c r="D346" t="s">
        <v>105</v>
      </c>
      <c r="E346" t="s">
        <v>63</v>
      </c>
      <c r="F346" t="s">
        <v>1438</v>
      </c>
      <c r="G346" t="s">
        <v>1067</v>
      </c>
      <c r="H346" t="s">
        <v>1883</v>
      </c>
      <c r="I346" t="s">
        <v>993</v>
      </c>
      <c r="J346" t="s">
        <v>1079</v>
      </c>
      <c r="K346" t="s">
        <v>1729</v>
      </c>
      <c r="L346" t="s">
        <v>908</v>
      </c>
      <c r="M346" t="s">
        <v>920</v>
      </c>
      <c r="N346" t="s">
        <v>1908</v>
      </c>
      <c r="O346" t="s">
        <v>991</v>
      </c>
      <c r="P346" t="s">
        <v>987</v>
      </c>
      <c r="Q346" t="s">
        <v>1273</v>
      </c>
      <c r="R346" t="s">
        <v>1822</v>
      </c>
      <c r="S346" t="s">
        <v>1094</v>
      </c>
      <c r="T346" t="s">
        <v>991</v>
      </c>
      <c r="U346" t="s">
        <v>2136</v>
      </c>
      <c r="V346" t="s">
        <v>934</v>
      </c>
      <c r="W346" t="s">
        <v>908</v>
      </c>
      <c r="X346" t="s">
        <v>924</v>
      </c>
      <c r="Y346" t="s">
        <v>1310</v>
      </c>
      <c r="Z346" t="s">
        <v>1065</v>
      </c>
      <c r="AA346" t="s">
        <v>1119</v>
      </c>
      <c r="AB346" t="s">
        <v>1065</v>
      </c>
      <c r="AC346" t="s">
        <v>925</v>
      </c>
      <c r="AD346" t="s">
        <v>988</v>
      </c>
      <c r="AE346">
        <v>7.4</v>
      </c>
      <c r="AF346">
        <v>7.4397999999999991</v>
      </c>
    </row>
    <row r="347" spans="1:32" x14ac:dyDescent="0.25">
      <c r="A347" s="191" t="s">
        <v>2215</v>
      </c>
      <c r="B347" t="s">
        <v>140</v>
      </c>
      <c r="C347" t="s">
        <v>1084</v>
      </c>
      <c r="D347" t="s">
        <v>1149</v>
      </c>
      <c r="E347" t="s">
        <v>63</v>
      </c>
      <c r="F347" t="s">
        <v>1431</v>
      </c>
      <c r="G347" t="s">
        <v>930</v>
      </c>
      <c r="H347" t="s">
        <v>1581</v>
      </c>
      <c r="I347" t="s">
        <v>1012</v>
      </c>
      <c r="J347" t="s">
        <v>985</v>
      </c>
      <c r="K347" t="s">
        <v>1672</v>
      </c>
      <c r="L347" t="s">
        <v>1230</v>
      </c>
      <c r="M347" t="s">
        <v>992</v>
      </c>
      <c r="N347" t="s">
        <v>1595</v>
      </c>
      <c r="O347" t="s">
        <v>945</v>
      </c>
      <c r="P347" t="s">
        <v>993</v>
      </c>
      <c r="Q347" t="s">
        <v>1537</v>
      </c>
      <c r="R347" t="s">
        <v>1396</v>
      </c>
      <c r="S347" t="s">
        <v>1008</v>
      </c>
      <c r="T347" t="s">
        <v>1064</v>
      </c>
      <c r="U347" t="s">
        <v>2216</v>
      </c>
      <c r="V347" t="s">
        <v>987</v>
      </c>
      <c r="W347" t="s">
        <v>922</v>
      </c>
      <c r="X347" t="s">
        <v>993</v>
      </c>
      <c r="Y347" t="s">
        <v>1029</v>
      </c>
      <c r="Z347" t="s">
        <v>1064</v>
      </c>
      <c r="AA347" t="s">
        <v>934</v>
      </c>
      <c r="AB347" t="s">
        <v>923</v>
      </c>
      <c r="AC347" t="s">
        <v>924</v>
      </c>
      <c r="AD347" t="s">
        <v>988</v>
      </c>
      <c r="AE347">
        <v>7.3</v>
      </c>
      <c r="AF347">
        <v>7.4679000000000002</v>
      </c>
    </row>
    <row r="348" spans="1:32" x14ac:dyDescent="0.25">
      <c r="A348" s="191" t="s">
        <v>2217</v>
      </c>
      <c r="B348" t="s">
        <v>2218</v>
      </c>
      <c r="C348" t="s">
        <v>1176</v>
      </c>
      <c r="D348" t="s">
        <v>77</v>
      </c>
      <c r="E348" t="s">
        <v>93</v>
      </c>
      <c r="F348" t="s">
        <v>1176</v>
      </c>
      <c r="G348" t="s">
        <v>1067</v>
      </c>
      <c r="H348" t="s">
        <v>1579</v>
      </c>
      <c r="I348" t="s">
        <v>964</v>
      </c>
      <c r="J348" t="s">
        <v>1047</v>
      </c>
      <c r="K348" t="s">
        <v>2166</v>
      </c>
      <c r="L348" t="s">
        <v>1600</v>
      </c>
      <c r="M348" t="s">
        <v>1119</v>
      </c>
      <c r="N348" t="s">
        <v>1646</v>
      </c>
      <c r="O348" t="s">
        <v>964</v>
      </c>
      <c r="P348" t="s">
        <v>1103</v>
      </c>
      <c r="Q348" t="s">
        <v>2219</v>
      </c>
      <c r="R348" t="s">
        <v>2166</v>
      </c>
      <c r="S348" t="s">
        <v>1029</v>
      </c>
      <c r="T348" t="s">
        <v>1049</v>
      </c>
      <c r="U348" t="s">
        <v>1765</v>
      </c>
      <c r="V348" t="s">
        <v>956</v>
      </c>
      <c r="W348" t="s">
        <v>1030</v>
      </c>
      <c r="X348" t="s">
        <v>909</v>
      </c>
      <c r="Y348" t="s">
        <v>1230</v>
      </c>
      <c r="Z348" t="s">
        <v>1094</v>
      </c>
      <c r="AA348" t="s">
        <v>1008</v>
      </c>
      <c r="AB348" t="s">
        <v>1008</v>
      </c>
      <c r="AC348" t="s">
        <v>1029</v>
      </c>
      <c r="AD348" t="s">
        <v>988</v>
      </c>
      <c r="AE348">
        <v>7.4</v>
      </c>
      <c r="AF348">
        <v>7.4083000000000006</v>
      </c>
    </row>
    <row r="349" spans="1:32" x14ac:dyDescent="0.25">
      <c r="A349" s="191" t="s">
        <v>2220</v>
      </c>
      <c r="B349" t="s">
        <v>2221</v>
      </c>
      <c r="C349" t="s">
        <v>1084</v>
      </c>
      <c r="D349" t="s">
        <v>1149</v>
      </c>
      <c r="E349" t="s">
        <v>63</v>
      </c>
      <c r="F349" t="s">
        <v>1175</v>
      </c>
      <c r="G349" t="s">
        <v>928</v>
      </c>
      <c r="H349" t="s">
        <v>1186</v>
      </c>
      <c r="I349" t="s">
        <v>1104</v>
      </c>
      <c r="J349" t="s">
        <v>1062</v>
      </c>
      <c r="K349" t="s">
        <v>1750</v>
      </c>
      <c r="L349" t="s">
        <v>987</v>
      </c>
      <c r="M349" t="s">
        <v>1030</v>
      </c>
      <c r="N349" t="s">
        <v>2222</v>
      </c>
      <c r="O349" t="s">
        <v>956</v>
      </c>
      <c r="P349" t="s">
        <v>1046</v>
      </c>
      <c r="Q349" t="s">
        <v>1154</v>
      </c>
      <c r="R349" t="s">
        <v>2034</v>
      </c>
      <c r="S349" t="s">
        <v>918</v>
      </c>
      <c r="T349" t="s">
        <v>923</v>
      </c>
      <c r="U349" t="s">
        <v>1582</v>
      </c>
      <c r="V349" t="s">
        <v>918</v>
      </c>
      <c r="W349" t="s">
        <v>924</v>
      </c>
      <c r="X349" t="s">
        <v>970</v>
      </c>
      <c r="Y349" t="s">
        <v>1030</v>
      </c>
      <c r="Z349" t="s">
        <v>923</v>
      </c>
      <c r="AA349" t="s">
        <v>1119</v>
      </c>
      <c r="AB349" t="s">
        <v>908</v>
      </c>
      <c r="AC349" t="s">
        <v>1310</v>
      </c>
      <c r="AD349" t="s">
        <v>1118</v>
      </c>
      <c r="AE349">
        <v>7.3000000000000007</v>
      </c>
      <c r="AF349">
        <v>7.2923999999999998</v>
      </c>
    </row>
    <row r="350" spans="1:32" x14ac:dyDescent="0.25">
      <c r="A350" s="191" t="s">
        <v>2223</v>
      </c>
      <c r="B350" t="s">
        <v>377</v>
      </c>
      <c r="C350" t="s">
        <v>1355</v>
      </c>
      <c r="D350" t="s">
        <v>133</v>
      </c>
      <c r="E350" t="s">
        <v>63</v>
      </c>
      <c r="F350" t="s">
        <v>1453</v>
      </c>
      <c r="G350" t="s">
        <v>1162</v>
      </c>
      <c r="H350" t="s">
        <v>1553</v>
      </c>
      <c r="I350" t="s">
        <v>947</v>
      </c>
      <c r="J350" t="s">
        <v>1291</v>
      </c>
      <c r="K350" t="s">
        <v>2040</v>
      </c>
      <c r="L350" t="s">
        <v>968</v>
      </c>
      <c r="M350" t="s">
        <v>1081</v>
      </c>
      <c r="N350" t="s">
        <v>1941</v>
      </c>
      <c r="O350" t="s">
        <v>969</v>
      </c>
      <c r="P350" t="s">
        <v>1195</v>
      </c>
      <c r="Q350" t="s">
        <v>1863</v>
      </c>
      <c r="R350" t="s">
        <v>1532</v>
      </c>
      <c r="S350" t="s">
        <v>987</v>
      </c>
      <c r="T350" t="s">
        <v>923</v>
      </c>
      <c r="U350" t="s">
        <v>1710</v>
      </c>
      <c r="V350" t="s">
        <v>1094</v>
      </c>
      <c r="W350" t="s">
        <v>925</v>
      </c>
      <c r="X350" t="s">
        <v>993</v>
      </c>
      <c r="Y350" t="s">
        <v>1064</v>
      </c>
      <c r="Z350" t="s">
        <v>969</v>
      </c>
      <c r="AA350" t="s">
        <v>1119</v>
      </c>
      <c r="AB350" t="s">
        <v>969</v>
      </c>
      <c r="AC350" t="s">
        <v>987</v>
      </c>
      <c r="AD350" t="s">
        <v>1118</v>
      </c>
      <c r="AE350">
        <v>7.2</v>
      </c>
      <c r="AF350">
        <v>7.2281999999999993</v>
      </c>
    </row>
    <row r="351" spans="1:32" x14ac:dyDescent="0.25">
      <c r="A351" s="191" t="s">
        <v>2224</v>
      </c>
      <c r="B351" t="s">
        <v>2225</v>
      </c>
      <c r="C351" t="s">
        <v>1032</v>
      </c>
      <c r="D351" t="s">
        <v>108</v>
      </c>
      <c r="E351" t="s">
        <v>47</v>
      </c>
      <c r="F351" t="s">
        <v>1438</v>
      </c>
      <c r="G351" t="s">
        <v>1137</v>
      </c>
      <c r="H351" t="s">
        <v>1167</v>
      </c>
      <c r="I351" t="s">
        <v>924</v>
      </c>
      <c r="J351" t="s">
        <v>1044</v>
      </c>
      <c r="K351" t="s">
        <v>2226</v>
      </c>
      <c r="L351" t="s">
        <v>987</v>
      </c>
      <c r="M351" t="s">
        <v>964</v>
      </c>
      <c r="N351" t="s">
        <v>2227</v>
      </c>
      <c r="O351" t="s">
        <v>922</v>
      </c>
      <c r="P351" t="s">
        <v>1000</v>
      </c>
      <c r="Q351" t="s">
        <v>1110</v>
      </c>
      <c r="R351" t="s">
        <v>1603</v>
      </c>
      <c r="S351" t="s">
        <v>922</v>
      </c>
      <c r="T351" t="s">
        <v>908</v>
      </c>
      <c r="U351" t="s">
        <v>1375</v>
      </c>
      <c r="V351" t="s">
        <v>1008</v>
      </c>
      <c r="W351" t="s">
        <v>925</v>
      </c>
      <c r="X351" t="s">
        <v>964</v>
      </c>
      <c r="Y351" t="s">
        <v>1195</v>
      </c>
      <c r="Z351" t="s">
        <v>991</v>
      </c>
      <c r="AA351" t="s">
        <v>934</v>
      </c>
      <c r="AB351" t="s">
        <v>1008</v>
      </c>
      <c r="AC351" t="s">
        <v>918</v>
      </c>
      <c r="AD351" t="s">
        <v>1118</v>
      </c>
      <c r="AE351">
        <v>7.3</v>
      </c>
      <c r="AF351">
        <v>7.2514000000000003</v>
      </c>
    </row>
    <row r="352" spans="1:32" x14ac:dyDescent="0.25">
      <c r="A352" s="191" t="s">
        <v>2228</v>
      </c>
      <c r="B352" t="s">
        <v>2229</v>
      </c>
      <c r="C352" t="s">
        <v>1176</v>
      </c>
      <c r="D352" t="s">
        <v>108</v>
      </c>
      <c r="E352" t="s">
        <v>72</v>
      </c>
      <c r="F352" t="s">
        <v>1233</v>
      </c>
      <c r="G352" t="s">
        <v>1032</v>
      </c>
      <c r="H352" t="s">
        <v>1304</v>
      </c>
      <c r="I352" t="s">
        <v>964</v>
      </c>
      <c r="J352" t="s">
        <v>1126</v>
      </c>
      <c r="K352" t="s">
        <v>1131</v>
      </c>
      <c r="L352" t="s">
        <v>1119</v>
      </c>
      <c r="M352" t="s">
        <v>1065</v>
      </c>
      <c r="N352" t="s">
        <v>2230</v>
      </c>
      <c r="O352" t="s">
        <v>964</v>
      </c>
      <c r="P352" t="s">
        <v>1329</v>
      </c>
      <c r="Q352" t="s">
        <v>1381</v>
      </c>
      <c r="R352" t="s">
        <v>1283</v>
      </c>
      <c r="S352" t="s">
        <v>1230</v>
      </c>
      <c r="T352" t="s">
        <v>947</v>
      </c>
      <c r="U352" t="s">
        <v>1814</v>
      </c>
      <c r="V352" t="s">
        <v>1220</v>
      </c>
      <c r="W352" t="s">
        <v>920</v>
      </c>
      <c r="X352" t="s">
        <v>1011</v>
      </c>
      <c r="Y352" t="s">
        <v>918</v>
      </c>
      <c r="Z352" t="s">
        <v>923</v>
      </c>
      <c r="AA352" t="s">
        <v>1065</v>
      </c>
      <c r="AB352" t="s">
        <v>1230</v>
      </c>
      <c r="AC352" t="s">
        <v>924</v>
      </c>
      <c r="AD352" t="s">
        <v>1118</v>
      </c>
      <c r="AE352">
        <v>7.2999999999999989</v>
      </c>
      <c r="AF352">
        <v>7.4120000000000008</v>
      </c>
    </row>
    <row r="353" spans="1:32" x14ac:dyDescent="0.25">
      <c r="A353" s="191" t="s">
        <v>2231</v>
      </c>
      <c r="B353" t="s">
        <v>2232</v>
      </c>
      <c r="C353" t="s">
        <v>973</v>
      </c>
      <c r="D353" t="s">
        <v>974</v>
      </c>
      <c r="E353" t="s">
        <v>56</v>
      </c>
      <c r="F353" t="s">
        <v>1123</v>
      </c>
      <c r="G353" t="s">
        <v>1096</v>
      </c>
      <c r="H353" t="s">
        <v>932</v>
      </c>
      <c r="I353" t="s">
        <v>1104</v>
      </c>
      <c r="J353" t="s">
        <v>962</v>
      </c>
      <c r="K353" t="s">
        <v>1307</v>
      </c>
      <c r="L353" t="s">
        <v>991</v>
      </c>
      <c r="M353" t="s">
        <v>923</v>
      </c>
      <c r="N353" t="s">
        <v>1633</v>
      </c>
      <c r="O353" t="s">
        <v>924</v>
      </c>
      <c r="P353" t="s">
        <v>919</v>
      </c>
      <c r="Q353" t="s">
        <v>1077</v>
      </c>
      <c r="R353" t="s">
        <v>1374</v>
      </c>
      <c r="S353" t="s">
        <v>945</v>
      </c>
      <c r="T353" t="s">
        <v>1310</v>
      </c>
      <c r="U353" t="s">
        <v>1117</v>
      </c>
      <c r="V353" t="s">
        <v>1008</v>
      </c>
      <c r="W353" t="s">
        <v>968</v>
      </c>
      <c r="X353" t="s">
        <v>993</v>
      </c>
      <c r="Y353" t="s">
        <v>1081</v>
      </c>
      <c r="Z353" t="s">
        <v>987</v>
      </c>
      <c r="AA353" t="s">
        <v>934</v>
      </c>
      <c r="AB353" t="s">
        <v>987</v>
      </c>
      <c r="AC353" t="s">
        <v>945</v>
      </c>
      <c r="AD353" t="s">
        <v>1026</v>
      </c>
      <c r="AE353">
        <v>7.2</v>
      </c>
      <c r="AF353">
        <v>7.2411000000000012</v>
      </c>
    </row>
    <row r="354" spans="1:32" x14ac:dyDescent="0.25">
      <c r="A354" s="191" t="s">
        <v>2231</v>
      </c>
      <c r="B354" t="s">
        <v>2232</v>
      </c>
      <c r="C354" t="s">
        <v>973</v>
      </c>
      <c r="D354" t="s">
        <v>70</v>
      </c>
      <c r="E354" t="s">
        <v>56</v>
      </c>
      <c r="F354" t="s">
        <v>1015</v>
      </c>
      <c r="G354" t="s">
        <v>1717</v>
      </c>
      <c r="H354" t="s">
        <v>912</v>
      </c>
      <c r="I354" t="s">
        <v>1029</v>
      </c>
      <c r="J354" t="s">
        <v>970</v>
      </c>
      <c r="K354" t="s">
        <v>1200</v>
      </c>
      <c r="L354" t="s">
        <v>1094</v>
      </c>
      <c r="M354" t="s">
        <v>918</v>
      </c>
      <c r="N354" t="s">
        <v>1567</v>
      </c>
      <c r="O354" t="s">
        <v>1195</v>
      </c>
      <c r="P354" t="s">
        <v>924</v>
      </c>
      <c r="Q354" t="s">
        <v>1592</v>
      </c>
      <c r="R354" t="s">
        <v>1074</v>
      </c>
      <c r="S354" t="s">
        <v>918</v>
      </c>
      <c r="T354" t="s">
        <v>945</v>
      </c>
      <c r="U354" t="s">
        <v>1866</v>
      </c>
      <c r="V354" t="s">
        <v>1065</v>
      </c>
      <c r="W354" t="s">
        <v>1310</v>
      </c>
      <c r="X354" t="s">
        <v>908</v>
      </c>
      <c r="Y354" t="s">
        <v>1030</v>
      </c>
      <c r="Z354" t="s">
        <v>969</v>
      </c>
      <c r="AA354" t="s">
        <v>934</v>
      </c>
      <c r="AB354" t="s">
        <v>987</v>
      </c>
      <c r="AC354" t="s">
        <v>945</v>
      </c>
      <c r="AD354" t="s">
        <v>1103</v>
      </c>
      <c r="AE354">
        <v>4.4000000000000004</v>
      </c>
      <c r="AF354">
        <v>4.3907999999999996</v>
      </c>
    </row>
    <row r="355" spans="1:32" x14ac:dyDescent="0.25">
      <c r="A355" s="191" t="s">
        <v>2231</v>
      </c>
      <c r="B355" t="s">
        <v>2232</v>
      </c>
      <c r="C355" t="s">
        <v>973</v>
      </c>
      <c r="D355" t="s">
        <v>131</v>
      </c>
      <c r="E355" t="s">
        <v>56</v>
      </c>
      <c r="F355" t="s">
        <v>1222</v>
      </c>
      <c r="G355" t="s">
        <v>1096</v>
      </c>
      <c r="H355" t="s">
        <v>1874</v>
      </c>
      <c r="I355" t="s">
        <v>1211</v>
      </c>
      <c r="J355" t="s">
        <v>1027</v>
      </c>
      <c r="K355" t="s">
        <v>1227</v>
      </c>
      <c r="L355" t="s">
        <v>969</v>
      </c>
      <c r="M355" t="s">
        <v>945</v>
      </c>
      <c r="N355" t="s">
        <v>1131</v>
      </c>
      <c r="O355" t="s">
        <v>1228</v>
      </c>
      <c r="P355" t="s">
        <v>1172</v>
      </c>
      <c r="Q355" t="s">
        <v>2173</v>
      </c>
      <c r="R355" t="s">
        <v>2233</v>
      </c>
      <c r="S355" t="s">
        <v>922</v>
      </c>
      <c r="T355" t="s">
        <v>1049</v>
      </c>
      <c r="U355" t="s">
        <v>1301</v>
      </c>
      <c r="V355" t="s">
        <v>918</v>
      </c>
      <c r="W355" t="s">
        <v>947</v>
      </c>
      <c r="X355" t="s">
        <v>1048</v>
      </c>
      <c r="Y355" t="s">
        <v>1046</v>
      </c>
      <c r="Z355" t="s">
        <v>1064</v>
      </c>
      <c r="AA355" t="s">
        <v>1094</v>
      </c>
      <c r="AB355" t="s">
        <v>987</v>
      </c>
      <c r="AC355" t="s">
        <v>945</v>
      </c>
      <c r="AD355" t="s">
        <v>1002</v>
      </c>
      <c r="AE355">
        <v>11.499999999999998</v>
      </c>
      <c r="AF355">
        <v>11.548799999999998</v>
      </c>
    </row>
    <row r="356" spans="1:32" x14ac:dyDescent="0.25">
      <c r="A356" s="191" t="s">
        <v>2234</v>
      </c>
      <c r="B356" t="s">
        <v>374</v>
      </c>
      <c r="C356" t="s">
        <v>973</v>
      </c>
      <c r="D356" t="s">
        <v>142</v>
      </c>
      <c r="E356" t="s">
        <v>72</v>
      </c>
      <c r="F356" t="s">
        <v>951</v>
      </c>
      <c r="G356" t="s">
        <v>1187</v>
      </c>
      <c r="H356" t="s">
        <v>1036</v>
      </c>
      <c r="I356" t="s">
        <v>1135</v>
      </c>
      <c r="J356" t="s">
        <v>1134</v>
      </c>
      <c r="K356" t="s">
        <v>1334</v>
      </c>
      <c r="L356" t="s">
        <v>1600</v>
      </c>
      <c r="M356" t="s">
        <v>991</v>
      </c>
      <c r="N356" t="s">
        <v>2235</v>
      </c>
      <c r="O356" t="s">
        <v>964</v>
      </c>
      <c r="P356" t="s">
        <v>1103</v>
      </c>
      <c r="Q356" t="s">
        <v>1219</v>
      </c>
      <c r="R356" t="s">
        <v>2169</v>
      </c>
      <c r="S356" t="s">
        <v>945</v>
      </c>
      <c r="T356" t="s">
        <v>1049</v>
      </c>
      <c r="U356" t="s">
        <v>2170</v>
      </c>
      <c r="V356" t="s">
        <v>924</v>
      </c>
      <c r="W356" t="s">
        <v>1081</v>
      </c>
      <c r="X356" t="s">
        <v>1006</v>
      </c>
      <c r="Y356" t="s">
        <v>956</v>
      </c>
      <c r="Z356" t="s">
        <v>1008</v>
      </c>
      <c r="AA356" t="s">
        <v>1230</v>
      </c>
      <c r="AB356" t="s">
        <v>923</v>
      </c>
      <c r="AC356" t="s">
        <v>908</v>
      </c>
      <c r="AD356" t="s">
        <v>1026</v>
      </c>
      <c r="AE356">
        <v>7.2</v>
      </c>
      <c r="AF356">
        <v>7.1152999999999995</v>
      </c>
    </row>
    <row r="357" spans="1:32" x14ac:dyDescent="0.25">
      <c r="A357" s="191" t="s">
        <v>2236</v>
      </c>
      <c r="B357" t="s">
        <v>2237</v>
      </c>
      <c r="C357" t="s">
        <v>1032</v>
      </c>
      <c r="D357" t="s">
        <v>142</v>
      </c>
      <c r="E357" t="s">
        <v>47</v>
      </c>
      <c r="F357" t="s">
        <v>1322</v>
      </c>
      <c r="G357" t="s">
        <v>1384</v>
      </c>
      <c r="H357" t="s">
        <v>1732</v>
      </c>
      <c r="I357" t="s">
        <v>1220</v>
      </c>
      <c r="J357" t="s">
        <v>940</v>
      </c>
      <c r="K357" t="s">
        <v>1467</v>
      </c>
      <c r="L357" t="s">
        <v>1064</v>
      </c>
      <c r="M357" t="s">
        <v>1048</v>
      </c>
      <c r="N357" t="s">
        <v>2238</v>
      </c>
      <c r="O357" t="s">
        <v>1029</v>
      </c>
      <c r="P357" t="s">
        <v>970</v>
      </c>
      <c r="Q357" t="s">
        <v>1110</v>
      </c>
      <c r="R357" t="s">
        <v>1451</v>
      </c>
      <c r="S357" t="s">
        <v>1008</v>
      </c>
      <c r="T357" t="s">
        <v>918</v>
      </c>
      <c r="U357" t="s">
        <v>2239</v>
      </c>
      <c r="V357" t="s">
        <v>923</v>
      </c>
      <c r="W357" t="s">
        <v>947</v>
      </c>
      <c r="X357" t="s">
        <v>970</v>
      </c>
      <c r="Y357" t="s">
        <v>1310</v>
      </c>
      <c r="Z357" t="s">
        <v>991</v>
      </c>
      <c r="AA357" t="s">
        <v>934</v>
      </c>
      <c r="AB357" t="s">
        <v>987</v>
      </c>
      <c r="AC357" t="s">
        <v>1195</v>
      </c>
      <c r="AD357" t="s">
        <v>1026</v>
      </c>
      <c r="AE357">
        <v>7.2</v>
      </c>
      <c r="AF357">
        <v>7.2225000000000001</v>
      </c>
    </row>
    <row r="358" spans="1:32" x14ac:dyDescent="0.25">
      <c r="A358" s="191" t="s">
        <v>2240</v>
      </c>
      <c r="B358" t="s">
        <v>2241</v>
      </c>
      <c r="C358" t="s">
        <v>1238</v>
      </c>
      <c r="D358" t="s">
        <v>156</v>
      </c>
      <c r="E358" t="s">
        <v>93</v>
      </c>
      <c r="F358" t="s">
        <v>950</v>
      </c>
      <c r="G358" t="s">
        <v>949</v>
      </c>
      <c r="H358" t="s">
        <v>1191</v>
      </c>
      <c r="I358" t="s">
        <v>1012</v>
      </c>
      <c r="J358" t="s">
        <v>1116</v>
      </c>
      <c r="K358" t="s">
        <v>1558</v>
      </c>
      <c r="L358" t="s">
        <v>1064</v>
      </c>
      <c r="M358" t="s">
        <v>970</v>
      </c>
      <c r="N358" t="s">
        <v>1089</v>
      </c>
      <c r="O358" t="s">
        <v>1230</v>
      </c>
      <c r="P358" t="s">
        <v>992</v>
      </c>
      <c r="Q358" t="s">
        <v>2242</v>
      </c>
      <c r="R358" t="s">
        <v>1055</v>
      </c>
      <c r="S358" t="s">
        <v>923</v>
      </c>
      <c r="T358" t="s">
        <v>1230</v>
      </c>
      <c r="U358" t="s">
        <v>1525</v>
      </c>
      <c r="V358" t="s">
        <v>918</v>
      </c>
      <c r="W358" t="s">
        <v>925</v>
      </c>
      <c r="X358" t="s">
        <v>1048</v>
      </c>
      <c r="Y358" t="s">
        <v>923</v>
      </c>
      <c r="Z358" t="s">
        <v>991</v>
      </c>
      <c r="AA358" t="s">
        <v>934</v>
      </c>
      <c r="AB358" t="s">
        <v>1064</v>
      </c>
      <c r="AC358" t="s">
        <v>923</v>
      </c>
      <c r="AD358" t="s">
        <v>1026</v>
      </c>
      <c r="AE358">
        <v>7.3000000000000007</v>
      </c>
      <c r="AF358">
        <v>7.2601000000000004</v>
      </c>
    </row>
    <row r="359" spans="1:32" x14ac:dyDescent="0.25">
      <c r="A359" s="191" t="s">
        <v>2243</v>
      </c>
      <c r="B359" t="s">
        <v>2244</v>
      </c>
      <c r="C359" t="s">
        <v>1084</v>
      </c>
      <c r="D359" t="s">
        <v>111</v>
      </c>
      <c r="E359" t="s">
        <v>56</v>
      </c>
      <c r="F359" t="s">
        <v>1489</v>
      </c>
      <c r="G359" t="s">
        <v>1202</v>
      </c>
      <c r="H359" t="s">
        <v>1458</v>
      </c>
      <c r="I359" t="s">
        <v>993</v>
      </c>
      <c r="J359" t="s">
        <v>1005</v>
      </c>
      <c r="K359" t="s">
        <v>1587</v>
      </c>
      <c r="L359" t="s">
        <v>1029</v>
      </c>
      <c r="M359" t="s">
        <v>992</v>
      </c>
      <c r="N359" t="s">
        <v>1088</v>
      </c>
      <c r="O359" t="s">
        <v>923</v>
      </c>
      <c r="P359" t="s">
        <v>1310</v>
      </c>
      <c r="Q359" t="s">
        <v>2145</v>
      </c>
      <c r="R359" t="s">
        <v>2245</v>
      </c>
      <c r="S359" t="s">
        <v>969</v>
      </c>
      <c r="T359" t="s">
        <v>987</v>
      </c>
      <c r="U359" t="s">
        <v>1801</v>
      </c>
      <c r="V359" t="s">
        <v>991</v>
      </c>
      <c r="W359" t="s">
        <v>924</v>
      </c>
      <c r="X359" t="s">
        <v>1220</v>
      </c>
      <c r="Y359" t="s">
        <v>1012</v>
      </c>
      <c r="Z359" t="s">
        <v>969</v>
      </c>
      <c r="AA359" t="s">
        <v>1065</v>
      </c>
      <c r="AB359" t="s">
        <v>918</v>
      </c>
      <c r="AC359" t="s">
        <v>968</v>
      </c>
      <c r="AD359" t="s">
        <v>1026</v>
      </c>
      <c r="AE359">
        <v>7.2</v>
      </c>
      <c r="AF359">
        <v>7.2083999999999993</v>
      </c>
    </row>
    <row r="360" spans="1:32" x14ac:dyDescent="0.25">
      <c r="A360" s="191" t="s">
        <v>2246</v>
      </c>
      <c r="B360" t="s">
        <v>485</v>
      </c>
      <c r="C360" t="s">
        <v>1015</v>
      </c>
      <c r="D360" t="s">
        <v>85</v>
      </c>
      <c r="E360" t="s">
        <v>63</v>
      </c>
      <c r="F360" t="s">
        <v>1271</v>
      </c>
      <c r="G360" t="s">
        <v>972</v>
      </c>
      <c r="H360" t="s">
        <v>932</v>
      </c>
      <c r="I360" t="s">
        <v>924</v>
      </c>
      <c r="J360" t="s">
        <v>1063</v>
      </c>
      <c r="K360" t="s">
        <v>1538</v>
      </c>
      <c r="L360" t="s">
        <v>1049</v>
      </c>
      <c r="M360" t="s">
        <v>962</v>
      </c>
      <c r="N360" t="s">
        <v>1558</v>
      </c>
      <c r="O360" t="s">
        <v>1065</v>
      </c>
      <c r="P360" t="s">
        <v>987</v>
      </c>
      <c r="Q360" t="s">
        <v>1842</v>
      </c>
      <c r="R360" t="s">
        <v>1215</v>
      </c>
      <c r="S360" t="s">
        <v>991</v>
      </c>
      <c r="T360" t="s">
        <v>991</v>
      </c>
      <c r="U360" t="s">
        <v>2247</v>
      </c>
      <c r="V360" t="s">
        <v>1065</v>
      </c>
      <c r="W360" t="s">
        <v>922</v>
      </c>
      <c r="X360" t="s">
        <v>925</v>
      </c>
      <c r="Y360" t="s">
        <v>1310</v>
      </c>
      <c r="Z360" t="s">
        <v>1008</v>
      </c>
      <c r="AA360" t="s">
        <v>934</v>
      </c>
      <c r="AB360" t="s">
        <v>1065</v>
      </c>
      <c r="AC360" t="s">
        <v>922</v>
      </c>
      <c r="AD360" t="s">
        <v>1026</v>
      </c>
      <c r="AE360">
        <v>7.1</v>
      </c>
      <c r="AF360">
        <v>7.1896000000000004</v>
      </c>
    </row>
    <row r="361" spans="1:32" x14ac:dyDescent="0.25">
      <c r="A361" s="194" t="s">
        <v>2248</v>
      </c>
      <c r="B361" t="s">
        <v>2249</v>
      </c>
      <c r="C361" t="s">
        <v>902</v>
      </c>
      <c r="D361" t="s">
        <v>111</v>
      </c>
      <c r="E361" t="s">
        <v>63</v>
      </c>
      <c r="F361" t="s">
        <v>1051</v>
      </c>
      <c r="G361" t="s">
        <v>1717</v>
      </c>
      <c r="H361" t="s">
        <v>1380</v>
      </c>
      <c r="I361" t="s">
        <v>1220</v>
      </c>
      <c r="J361" t="s">
        <v>1081</v>
      </c>
      <c r="K361" t="s">
        <v>2145</v>
      </c>
      <c r="L361" t="s">
        <v>1310</v>
      </c>
      <c r="M361" t="s">
        <v>1104</v>
      </c>
      <c r="N361" t="s">
        <v>1352</v>
      </c>
      <c r="O361" t="s">
        <v>945</v>
      </c>
      <c r="P361" t="s">
        <v>1195</v>
      </c>
      <c r="Q361" t="s">
        <v>1270</v>
      </c>
      <c r="R361" t="s">
        <v>2197</v>
      </c>
      <c r="S361" t="s">
        <v>1094</v>
      </c>
      <c r="T361" t="s">
        <v>1094</v>
      </c>
      <c r="U361" t="s">
        <v>2146</v>
      </c>
      <c r="V361" t="s">
        <v>1008</v>
      </c>
      <c r="W361" t="s">
        <v>945</v>
      </c>
      <c r="X361" t="s">
        <v>968</v>
      </c>
      <c r="Y361" t="s">
        <v>1094</v>
      </c>
      <c r="Z361" t="s">
        <v>1600</v>
      </c>
      <c r="AA361" t="s">
        <v>1600</v>
      </c>
      <c r="AB361" t="s">
        <v>1008</v>
      </c>
      <c r="AC361" t="s">
        <v>922</v>
      </c>
      <c r="AD361" t="s">
        <v>1026</v>
      </c>
      <c r="AE361">
        <v>7.2</v>
      </c>
      <c r="AF361">
        <v>7.1936000000000009</v>
      </c>
    </row>
    <row r="362" spans="1:32" x14ac:dyDescent="0.25">
      <c r="A362" s="191" t="s">
        <v>2250</v>
      </c>
      <c r="B362" t="s">
        <v>482</v>
      </c>
      <c r="C362" t="s">
        <v>1084</v>
      </c>
      <c r="D362" t="s">
        <v>85</v>
      </c>
      <c r="E362" t="s">
        <v>93</v>
      </c>
      <c r="F362" t="s">
        <v>1031</v>
      </c>
      <c r="G362" t="s">
        <v>901</v>
      </c>
      <c r="H362" t="s">
        <v>1306</v>
      </c>
      <c r="I362" t="s">
        <v>1012</v>
      </c>
      <c r="J362" t="s">
        <v>921</v>
      </c>
      <c r="K362" t="s">
        <v>1538</v>
      </c>
      <c r="L362" t="s">
        <v>991</v>
      </c>
      <c r="M362" t="s">
        <v>956</v>
      </c>
      <c r="N362" t="s">
        <v>2251</v>
      </c>
      <c r="O362" t="s">
        <v>925</v>
      </c>
      <c r="P362" t="s">
        <v>1103</v>
      </c>
      <c r="Q362" t="s">
        <v>1131</v>
      </c>
      <c r="R362" t="s">
        <v>1018</v>
      </c>
      <c r="S362" t="s">
        <v>1029</v>
      </c>
      <c r="T362" t="s">
        <v>925</v>
      </c>
      <c r="U362" t="s">
        <v>1133</v>
      </c>
      <c r="V362" t="s">
        <v>968</v>
      </c>
      <c r="W362" t="s">
        <v>924</v>
      </c>
      <c r="X362" t="s">
        <v>1081</v>
      </c>
      <c r="Y362" t="s">
        <v>991</v>
      </c>
      <c r="Z362" t="s">
        <v>1600</v>
      </c>
      <c r="AA362" t="s">
        <v>934</v>
      </c>
      <c r="AB362" t="s">
        <v>991</v>
      </c>
      <c r="AC362" t="s">
        <v>968</v>
      </c>
      <c r="AD362" t="s">
        <v>1026</v>
      </c>
      <c r="AE362">
        <v>7.2000000000000011</v>
      </c>
      <c r="AF362">
        <v>7.1994000000000007</v>
      </c>
    </row>
    <row r="363" spans="1:32" x14ac:dyDescent="0.25">
      <c r="A363" s="191" t="s">
        <v>2252</v>
      </c>
      <c r="B363" t="s">
        <v>2253</v>
      </c>
      <c r="C363" t="s">
        <v>902</v>
      </c>
      <c r="D363" t="s">
        <v>974</v>
      </c>
      <c r="E363" t="s">
        <v>63</v>
      </c>
      <c r="F363" t="s">
        <v>1233</v>
      </c>
      <c r="G363" t="s">
        <v>1067</v>
      </c>
      <c r="H363" t="s">
        <v>1635</v>
      </c>
      <c r="I363" t="s">
        <v>924</v>
      </c>
      <c r="J363" t="s">
        <v>1043</v>
      </c>
      <c r="K363" t="s">
        <v>1273</v>
      </c>
      <c r="L363" t="s">
        <v>987</v>
      </c>
      <c r="M363" t="s">
        <v>947</v>
      </c>
      <c r="N363" t="s">
        <v>2081</v>
      </c>
      <c r="O363" t="s">
        <v>1029</v>
      </c>
      <c r="P363" t="s">
        <v>1135</v>
      </c>
      <c r="Q363" t="s">
        <v>1208</v>
      </c>
      <c r="R363" t="s">
        <v>907</v>
      </c>
      <c r="S363" t="s">
        <v>1029</v>
      </c>
      <c r="T363" t="s">
        <v>908</v>
      </c>
      <c r="U363" t="s">
        <v>2254</v>
      </c>
      <c r="V363" t="s">
        <v>1064</v>
      </c>
      <c r="W363" t="s">
        <v>922</v>
      </c>
      <c r="X363" t="s">
        <v>1104</v>
      </c>
      <c r="Y363" t="s">
        <v>987</v>
      </c>
      <c r="Z363" t="s">
        <v>945</v>
      </c>
      <c r="AA363" t="s">
        <v>1065</v>
      </c>
      <c r="AB363" t="s">
        <v>987</v>
      </c>
      <c r="AC363" t="s">
        <v>945</v>
      </c>
      <c r="AD363" t="s">
        <v>1128</v>
      </c>
      <c r="AE363">
        <v>7.1999999999999993</v>
      </c>
      <c r="AF363">
        <v>7.0592999999999995</v>
      </c>
    </row>
    <row r="364" spans="1:32" x14ac:dyDescent="0.25">
      <c r="A364" s="191" t="s">
        <v>2252</v>
      </c>
      <c r="B364" t="s">
        <v>2253</v>
      </c>
      <c r="C364" t="s">
        <v>902</v>
      </c>
      <c r="D364" t="s">
        <v>1069</v>
      </c>
      <c r="E364" t="s">
        <v>63</v>
      </c>
      <c r="F364" t="s">
        <v>973</v>
      </c>
      <c r="G364" t="s">
        <v>901</v>
      </c>
      <c r="H364" t="s">
        <v>1548</v>
      </c>
      <c r="I364" t="s">
        <v>925</v>
      </c>
      <c r="J364" t="s">
        <v>1211</v>
      </c>
      <c r="K364" t="s">
        <v>1269</v>
      </c>
      <c r="L364" t="s">
        <v>969</v>
      </c>
      <c r="M364" t="s">
        <v>922</v>
      </c>
      <c r="N364" t="s">
        <v>1679</v>
      </c>
      <c r="O364" t="s">
        <v>1029</v>
      </c>
      <c r="P364" t="s">
        <v>964</v>
      </c>
      <c r="Q364" t="s">
        <v>1401</v>
      </c>
      <c r="R364" t="s">
        <v>1559</v>
      </c>
      <c r="S364" t="s">
        <v>918</v>
      </c>
      <c r="T364" t="s">
        <v>1195</v>
      </c>
      <c r="U364" t="s">
        <v>1201</v>
      </c>
      <c r="V364" t="s">
        <v>1195</v>
      </c>
      <c r="W364" t="s">
        <v>1029</v>
      </c>
      <c r="X364" t="s">
        <v>964</v>
      </c>
      <c r="Y364" t="s">
        <v>969</v>
      </c>
      <c r="Z364" t="s">
        <v>987</v>
      </c>
      <c r="AA364" t="s">
        <v>991</v>
      </c>
      <c r="AB364" t="s">
        <v>969</v>
      </c>
      <c r="AC364" t="s">
        <v>1064</v>
      </c>
      <c r="AD364" t="s">
        <v>1063</v>
      </c>
      <c r="AE364">
        <v>5.9</v>
      </c>
      <c r="AF364">
        <v>6.0622999999999996</v>
      </c>
    </row>
    <row r="365" spans="1:32" x14ac:dyDescent="0.25">
      <c r="A365" s="191" t="s">
        <v>2252</v>
      </c>
      <c r="B365" t="s">
        <v>2253</v>
      </c>
      <c r="C365" t="s">
        <v>902</v>
      </c>
      <c r="D365" t="s">
        <v>1149</v>
      </c>
      <c r="E365" t="s">
        <v>63</v>
      </c>
      <c r="F365" t="s">
        <v>1175</v>
      </c>
      <c r="G365" t="s">
        <v>1051</v>
      </c>
      <c r="H365" t="s">
        <v>2255</v>
      </c>
      <c r="I365" t="s">
        <v>993</v>
      </c>
      <c r="J365" t="s">
        <v>940</v>
      </c>
      <c r="K365" t="s">
        <v>1519</v>
      </c>
      <c r="L365" t="s">
        <v>1064</v>
      </c>
      <c r="M365" t="s">
        <v>970</v>
      </c>
      <c r="N365" t="s">
        <v>1127</v>
      </c>
      <c r="O365" t="s">
        <v>1310</v>
      </c>
      <c r="P365" t="s">
        <v>1048</v>
      </c>
      <c r="Q365" t="s">
        <v>1555</v>
      </c>
      <c r="R365" t="s">
        <v>1099</v>
      </c>
      <c r="S365" t="s">
        <v>1220</v>
      </c>
      <c r="T365" t="s">
        <v>979</v>
      </c>
      <c r="U365" t="s">
        <v>2256</v>
      </c>
      <c r="V365" t="s">
        <v>918</v>
      </c>
      <c r="W365" t="s">
        <v>1049</v>
      </c>
      <c r="X365" t="s">
        <v>1220</v>
      </c>
      <c r="Y365" t="s">
        <v>1195</v>
      </c>
      <c r="Z365" t="s">
        <v>968</v>
      </c>
      <c r="AA365" t="s">
        <v>1065</v>
      </c>
      <c r="AB365" t="s">
        <v>923</v>
      </c>
      <c r="AC365" t="s">
        <v>1195</v>
      </c>
      <c r="AD365" t="s">
        <v>1024</v>
      </c>
      <c r="AE365">
        <v>8.8000000000000007</v>
      </c>
      <c r="AF365">
        <v>8.8082000000000011</v>
      </c>
    </row>
    <row r="366" spans="1:32" x14ac:dyDescent="0.25">
      <c r="A366" s="194" t="s">
        <v>2257</v>
      </c>
      <c r="B366" t="s">
        <v>2258</v>
      </c>
      <c r="C366" t="s">
        <v>1245</v>
      </c>
      <c r="D366" t="s">
        <v>974</v>
      </c>
      <c r="E366" t="s">
        <v>63</v>
      </c>
      <c r="F366" t="s">
        <v>1175</v>
      </c>
      <c r="G366" t="s">
        <v>1717</v>
      </c>
      <c r="H366" t="s">
        <v>1087</v>
      </c>
      <c r="I366" t="s">
        <v>993</v>
      </c>
      <c r="J366" t="s">
        <v>940</v>
      </c>
      <c r="K366" t="s">
        <v>1435</v>
      </c>
      <c r="L366" t="s">
        <v>918</v>
      </c>
      <c r="M366" t="s">
        <v>946</v>
      </c>
      <c r="N366" t="s">
        <v>2259</v>
      </c>
      <c r="O366" t="s">
        <v>1310</v>
      </c>
      <c r="P366" t="s">
        <v>979</v>
      </c>
      <c r="Q366" t="s">
        <v>1603</v>
      </c>
      <c r="R366" t="s">
        <v>1596</v>
      </c>
      <c r="S366" t="s">
        <v>945</v>
      </c>
      <c r="T366" t="s">
        <v>1230</v>
      </c>
      <c r="U366" t="s">
        <v>1361</v>
      </c>
      <c r="V366" t="s">
        <v>934</v>
      </c>
      <c r="W366" t="s">
        <v>1029</v>
      </c>
      <c r="X366" t="s">
        <v>968</v>
      </c>
      <c r="Y366" t="s">
        <v>993</v>
      </c>
      <c r="Z366" t="s">
        <v>1094</v>
      </c>
      <c r="AA366" t="s">
        <v>1065</v>
      </c>
      <c r="AB366" t="s">
        <v>945</v>
      </c>
      <c r="AC366" t="s">
        <v>922</v>
      </c>
      <c r="AD366" t="s">
        <v>1128</v>
      </c>
      <c r="AE366">
        <v>7.1000000000000005</v>
      </c>
      <c r="AF366">
        <v>7.0325999999999995</v>
      </c>
    </row>
    <row r="367" spans="1:32" x14ac:dyDescent="0.25">
      <c r="A367" s="191" t="s">
        <v>2257</v>
      </c>
      <c r="B367" t="s">
        <v>2258</v>
      </c>
      <c r="C367" t="s">
        <v>1245</v>
      </c>
      <c r="D367" t="s">
        <v>1014</v>
      </c>
      <c r="E367" t="s">
        <v>63</v>
      </c>
      <c r="F367" t="s">
        <v>928</v>
      </c>
      <c r="G367" t="s">
        <v>1717</v>
      </c>
      <c r="H367" t="s">
        <v>1023</v>
      </c>
      <c r="I367" t="s">
        <v>1065</v>
      </c>
      <c r="J367" t="s">
        <v>1065</v>
      </c>
      <c r="K367" t="s">
        <v>2146</v>
      </c>
      <c r="L367" t="s">
        <v>1600</v>
      </c>
      <c r="M367" t="s">
        <v>1600</v>
      </c>
      <c r="N367" t="s">
        <v>927</v>
      </c>
      <c r="O367" t="s">
        <v>1065</v>
      </c>
      <c r="P367" t="s">
        <v>1065</v>
      </c>
      <c r="Q367" t="s">
        <v>2146</v>
      </c>
      <c r="R367" t="s">
        <v>2146</v>
      </c>
      <c r="S367" t="s">
        <v>923</v>
      </c>
      <c r="T367" t="s">
        <v>923</v>
      </c>
      <c r="U367" t="s">
        <v>2146</v>
      </c>
      <c r="V367" t="s">
        <v>1065</v>
      </c>
      <c r="W367" t="s">
        <v>1600</v>
      </c>
      <c r="X367" t="s">
        <v>1065</v>
      </c>
      <c r="Y367" t="s">
        <v>1065</v>
      </c>
      <c r="Z367" t="s">
        <v>1600</v>
      </c>
      <c r="AA367" t="s">
        <v>1065</v>
      </c>
      <c r="AB367" t="s">
        <v>1065</v>
      </c>
      <c r="AC367" t="s">
        <v>1310</v>
      </c>
      <c r="AD367" t="s">
        <v>956</v>
      </c>
      <c r="AE367">
        <v>2</v>
      </c>
      <c r="AF367" t="e">
        <v>#VALUE!</v>
      </c>
    </row>
    <row r="368" spans="1:32" x14ac:dyDescent="0.25">
      <c r="A368" s="191" t="s">
        <v>2257</v>
      </c>
      <c r="B368" t="s">
        <v>2258</v>
      </c>
      <c r="C368" t="s">
        <v>1245</v>
      </c>
      <c r="D368" t="s">
        <v>108</v>
      </c>
      <c r="E368" t="s">
        <v>63</v>
      </c>
      <c r="F368" t="s">
        <v>1147</v>
      </c>
      <c r="G368" t="s">
        <v>1717</v>
      </c>
      <c r="H368" t="s">
        <v>1342</v>
      </c>
      <c r="I368" t="s">
        <v>1104</v>
      </c>
      <c r="J368" t="s">
        <v>1028</v>
      </c>
      <c r="K368" t="s">
        <v>1909</v>
      </c>
      <c r="L368" t="s">
        <v>1064</v>
      </c>
      <c r="M368" t="s">
        <v>979</v>
      </c>
      <c r="N368" t="s">
        <v>2259</v>
      </c>
      <c r="O368" t="s">
        <v>922</v>
      </c>
      <c r="P368" t="s">
        <v>1160</v>
      </c>
      <c r="Q368" t="s">
        <v>1448</v>
      </c>
      <c r="R368" t="s">
        <v>1273</v>
      </c>
      <c r="S368" t="s">
        <v>945</v>
      </c>
      <c r="T368" t="s">
        <v>1310</v>
      </c>
      <c r="U368" t="s">
        <v>1568</v>
      </c>
      <c r="V368" t="s">
        <v>934</v>
      </c>
      <c r="W368" t="s">
        <v>968</v>
      </c>
      <c r="X368" t="s">
        <v>956</v>
      </c>
      <c r="Y368" t="s">
        <v>1104</v>
      </c>
      <c r="Z368" t="s">
        <v>991</v>
      </c>
      <c r="AA368" t="s">
        <v>1065</v>
      </c>
      <c r="AB368" t="s">
        <v>1195</v>
      </c>
      <c r="AC368" t="s">
        <v>922</v>
      </c>
      <c r="AD368" t="s">
        <v>1011</v>
      </c>
      <c r="AE368">
        <v>7.8999999999999995</v>
      </c>
      <c r="AF368">
        <v>7.9030000000000005</v>
      </c>
    </row>
    <row r="369" spans="1:32" x14ac:dyDescent="0.25">
      <c r="A369" s="191" t="s">
        <v>2260</v>
      </c>
      <c r="B369" t="s">
        <v>381</v>
      </c>
      <c r="C369" t="s">
        <v>1032</v>
      </c>
      <c r="D369" t="s">
        <v>163</v>
      </c>
      <c r="E369" t="s">
        <v>47</v>
      </c>
      <c r="F369" t="s">
        <v>1501</v>
      </c>
      <c r="G369" t="s">
        <v>1106</v>
      </c>
      <c r="H369" t="s">
        <v>1350</v>
      </c>
      <c r="I369" t="s">
        <v>993</v>
      </c>
      <c r="J369" t="s">
        <v>1126</v>
      </c>
      <c r="K369" t="s">
        <v>1729</v>
      </c>
      <c r="L369" t="s">
        <v>968</v>
      </c>
      <c r="M369" t="s">
        <v>1103</v>
      </c>
      <c r="N369" t="s">
        <v>1154</v>
      </c>
      <c r="O369" t="s">
        <v>1008</v>
      </c>
      <c r="P369" t="s">
        <v>1310</v>
      </c>
      <c r="Q369" t="s">
        <v>1131</v>
      </c>
      <c r="R369" t="s">
        <v>1520</v>
      </c>
      <c r="S369" t="s">
        <v>1094</v>
      </c>
      <c r="T369" t="s">
        <v>1094</v>
      </c>
      <c r="U369" t="s">
        <v>1759</v>
      </c>
      <c r="V369" t="s">
        <v>969</v>
      </c>
      <c r="W369" t="s">
        <v>908</v>
      </c>
      <c r="X369" t="s">
        <v>1220</v>
      </c>
      <c r="Y369" t="s">
        <v>918</v>
      </c>
      <c r="Z369" t="s">
        <v>1094</v>
      </c>
      <c r="AA369" t="s">
        <v>934</v>
      </c>
      <c r="AB369" t="s">
        <v>1065</v>
      </c>
      <c r="AC369" t="s">
        <v>1029</v>
      </c>
      <c r="AD369" t="s">
        <v>1128</v>
      </c>
      <c r="AE369">
        <v>7.1000000000000005</v>
      </c>
      <c r="AF369">
        <v>7.1127000000000011</v>
      </c>
    </row>
    <row r="370" spans="1:32" x14ac:dyDescent="0.25">
      <c r="A370" s="191" t="s">
        <v>2261</v>
      </c>
      <c r="B370" t="s">
        <v>2262</v>
      </c>
      <c r="C370" t="s">
        <v>929</v>
      </c>
      <c r="D370" t="s">
        <v>48</v>
      </c>
      <c r="E370" t="s">
        <v>63</v>
      </c>
      <c r="F370" t="s">
        <v>1477</v>
      </c>
      <c r="G370" t="s">
        <v>949</v>
      </c>
      <c r="H370" t="s">
        <v>1473</v>
      </c>
      <c r="I370" t="s">
        <v>1012</v>
      </c>
      <c r="J370" t="s">
        <v>1079</v>
      </c>
      <c r="K370" t="s">
        <v>1319</v>
      </c>
      <c r="L370" t="s">
        <v>1064</v>
      </c>
      <c r="M370" t="s">
        <v>946</v>
      </c>
      <c r="N370" t="s">
        <v>1886</v>
      </c>
      <c r="O370" t="s">
        <v>1310</v>
      </c>
      <c r="P370" t="s">
        <v>1220</v>
      </c>
      <c r="Q370" t="s">
        <v>1401</v>
      </c>
      <c r="R370" t="s">
        <v>1369</v>
      </c>
      <c r="S370" t="s">
        <v>987</v>
      </c>
      <c r="T370" t="s">
        <v>918</v>
      </c>
      <c r="U370" t="s">
        <v>1341</v>
      </c>
      <c r="V370" t="s">
        <v>1008</v>
      </c>
      <c r="W370" t="s">
        <v>925</v>
      </c>
      <c r="X370" t="s">
        <v>964</v>
      </c>
      <c r="Y370" t="s">
        <v>993</v>
      </c>
      <c r="Z370" t="s">
        <v>1029</v>
      </c>
      <c r="AA370" t="s">
        <v>969</v>
      </c>
      <c r="AB370" t="s">
        <v>1008</v>
      </c>
      <c r="AC370" t="s">
        <v>1049</v>
      </c>
      <c r="AD370" t="s">
        <v>1128</v>
      </c>
      <c r="AE370">
        <v>7.1000000000000005</v>
      </c>
      <c r="AF370">
        <v>7.0269000000000004</v>
      </c>
    </row>
    <row r="371" spans="1:32" x14ac:dyDescent="0.25">
      <c r="A371" s="191" t="s">
        <v>2263</v>
      </c>
      <c r="B371" t="s">
        <v>259</v>
      </c>
      <c r="C371" t="s">
        <v>995</v>
      </c>
      <c r="D371" t="s">
        <v>163</v>
      </c>
      <c r="E371" t="s">
        <v>56</v>
      </c>
      <c r="F371" t="s">
        <v>1138</v>
      </c>
      <c r="G371" t="s">
        <v>1121</v>
      </c>
      <c r="H371" t="s">
        <v>1314</v>
      </c>
      <c r="I371" t="s">
        <v>1220</v>
      </c>
      <c r="J371" t="s">
        <v>1112</v>
      </c>
      <c r="K371" t="s">
        <v>1154</v>
      </c>
      <c r="L371" t="s">
        <v>923</v>
      </c>
      <c r="M371" t="s">
        <v>1135</v>
      </c>
      <c r="N371" t="s">
        <v>1750</v>
      </c>
      <c r="O371" t="s">
        <v>968</v>
      </c>
      <c r="P371" t="s">
        <v>1030</v>
      </c>
      <c r="Q371" t="s">
        <v>1584</v>
      </c>
      <c r="R371" t="s">
        <v>1249</v>
      </c>
      <c r="S371" t="s">
        <v>1008</v>
      </c>
      <c r="T371" t="s">
        <v>918</v>
      </c>
      <c r="U371" t="s">
        <v>1543</v>
      </c>
      <c r="V371" t="s">
        <v>991</v>
      </c>
      <c r="W371" t="s">
        <v>1064</v>
      </c>
      <c r="X371" t="s">
        <v>1310</v>
      </c>
      <c r="Y371" t="s">
        <v>1081</v>
      </c>
      <c r="Z371" t="s">
        <v>987</v>
      </c>
      <c r="AA371" t="s">
        <v>1119</v>
      </c>
      <c r="AB371" t="s">
        <v>1029</v>
      </c>
      <c r="AC371" t="s">
        <v>908</v>
      </c>
      <c r="AD371" t="s">
        <v>1128</v>
      </c>
      <c r="AE371">
        <v>7.1000000000000005</v>
      </c>
      <c r="AF371">
        <v>7.0762</v>
      </c>
    </row>
    <row r="372" spans="1:32" x14ac:dyDescent="0.25">
      <c r="A372" s="191" t="s">
        <v>2264</v>
      </c>
      <c r="B372" t="s">
        <v>2265</v>
      </c>
      <c r="C372" t="s">
        <v>1293</v>
      </c>
      <c r="D372" t="s">
        <v>108</v>
      </c>
      <c r="E372" t="s">
        <v>56</v>
      </c>
      <c r="F372" t="s">
        <v>1403</v>
      </c>
      <c r="G372" t="s">
        <v>949</v>
      </c>
      <c r="H372" t="s">
        <v>1439</v>
      </c>
      <c r="I372" t="s">
        <v>1220</v>
      </c>
      <c r="J372" t="s">
        <v>1092</v>
      </c>
      <c r="K372" t="s">
        <v>1845</v>
      </c>
      <c r="L372" t="s">
        <v>1008</v>
      </c>
      <c r="M372" t="s">
        <v>922</v>
      </c>
      <c r="N372" t="s">
        <v>1719</v>
      </c>
      <c r="O372" t="s">
        <v>956</v>
      </c>
      <c r="P372" t="s">
        <v>1160</v>
      </c>
      <c r="Q372" t="s">
        <v>1144</v>
      </c>
      <c r="R372" t="s">
        <v>1370</v>
      </c>
      <c r="S372" t="s">
        <v>987</v>
      </c>
      <c r="T372" t="s">
        <v>1064</v>
      </c>
      <c r="U372" t="s">
        <v>1566</v>
      </c>
      <c r="V372" t="s">
        <v>1094</v>
      </c>
      <c r="W372" t="s">
        <v>945</v>
      </c>
      <c r="X372" t="s">
        <v>1310</v>
      </c>
      <c r="Y372" t="s">
        <v>1049</v>
      </c>
      <c r="Z372" t="s">
        <v>969</v>
      </c>
      <c r="AA372" t="s">
        <v>1094</v>
      </c>
      <c r="AB372" t="s">
        <v>991</v>
      </c>
      <c r="AC372" t="s">
        <v>1008</v>
      </c>
      <c r="AD372" t="s">
        <v>1023</v>
      </c>
      <c r="AE372">
        <v>6.8999999999999995</v>
      </c>
      <c r="AF372">
        <v>6.9413</v>
      </c>
    </row>
    <row r="373" spans="1:32" x14ac:dyDescent="0.25">
      <c r="A373" s="191" t="s">
        <v>2266</v>
      </c>
      <c r="B373" t="s">
        <v>2267</v>
      </c>
      <c r="C373" t="s">
        <v>902</v>
      </c>
      <c r="D373" t="s">
        <v>1149</v>
      </c>
      <c r="E373" t="s">
        <v>63</v>
      </c>
      <c r="F373" t="s">
        <v>972</v>
      </c>
      <c r="G373" t="s">
        <v>1717</v>
      </c>
      <c r="H373" t="s">
        <v>1125</v>
      </c>
      <c r="I373" t="s">
        <v>1104</v>
      </c>
      <c r="J373" t="s">
        <v>1172</v>
      </c>
      <c r="K373" t="s">
        <v>1704</v>
      </c>
      <c r="L373" t="s">
        <v>987</v>
      </c>
      <c r="M373" t="s">
        <v>956</v>
      </c>
      <c r="N373" t="s">
        <v>910</v>
      </c>
      <c r="O373" t="s">
        <v>956</v>
      </c>
      <c r="P373" t="s">
        <v>1134</v>
      </c>
      <c r="Q373" t="s">
        <v>1818</v>
      </c>
      <c r="R373" t="s">
        <v>1258</v>
      </c>
      <c r="S373" t="s">
        <v>987</v>
      </c>
      <c r="T373" t="s">
        <v>923</v>
      </c>
      <c r="U373" t="s">
        <v>2049</v>
      </c>
      <c r="V373" t="s">
        <v>1094</v>
      </c>
      <c r="W373" t="s">
        <v>1195</v>
      </c>
      <c r="X373" t="s">
        <v>1310</v>
      </c>
      <c r="Y373" t="s">
        <v>970</v>
      </c>
      <c r="Z373" t="s">
        <v>987</v>
      </c>
      <c r="AA373" t="s">
        <v>1065</v>
      </c>
      <c r="AB373" t="s">
        <v>1310</v>
      </c>
      <c r="AC373" t="s">
        <v>993</v>
      </c>
      <c r="AD373" t="s">
        <v>1023</v>
      </c>
      <c r="AE373">
        <v>7.2</v>
      </c>
      <c r="AF373">
        <v>7.0415999999999999</v>
      </c>
    </row>
    <row r="374" spans="1:32" x14ac:dyDescent="0.25">
      <c r="A374" s="191" t="s">
        <v>2268</v>
      </c>
      <c r="B374" t="s">
        <v>2269</v>
      </c>
      <c r="C374" t="s">
        <v>1032</v>
      </c>
      <c r="D374" t="s">
        <v>170</v>
      </c>
      <c r="E374" t="s">
        <v>72</v>
      </c>
      <c r="F374" t="s">
        <v>1031</v>
      </c>
      <c r="G374" t="s">
        <v>901</v>
      </c>
      <c r="H374" t="s">
        <v>1386</v>
      </c>
      <c r="I374" t="s">
        <v>1104</v>
      </c>
      <c r="J374" t="s">
        <v>1211</v>
      </c>
      <c r="K374" t="s">
        <v>1325</v>
      </c>
      <c r="L374" t="s">
        <v>1600</v>
      </c>
      <c r="M374" t="s">
        <v>1600</v>
      </c>
      <c r="N374" t="s">
        <v>927</v>
      </c>
      <c r="O374" t="s">
        <v>1104</v>
      </c>
      <c r="P374" t="s">
        <v>1211</v>
      </c>
      <c r="Q374" t="s">
        <v>1325</v>
      </c>
      <c r="R374" t="s">
        <v>1325</v>
      </c>
      <c r="S374" t="s">
        <v>1230</v>
      </c>
      <c r="T374" t="s">
        <v>1104</v>
      </c>
      <c r="U374" t="s">
        <v>1131</v>
      </c>
      <c r="V374" t="s">
        <v>925</v>
      </c>
      <c r="W374" t="s">
        <v>1000</v>
      </c>
      <c r="X374" t="s">
        <v>1092</v>
      </c>
      <c r="Y374" t="s">
        <v>923</v>
      </c>
      <c r="Z374" t="s">
        <v>969</v>
      </c>
      <c r="AA374" t="s">
        <v>1029</v>
      </c>
      <c r="AB374" t="s">
        <v>923</v>
      </c>
      <c r="AC374" t="s">
        <v>1104</v>
      </c>
      <c r="AD374" t="s">
        <v>1023</v>
      </c>
      <c r="AE374">
        <v>7</v>
      </c>
      <c r="AF374" t="e">
        <v>#VALUE!</v>
      </c>
    </row>
    <row r="375" spans="1:32" x14ac:dyDescent="0.25">
      <c r="A375" s="191" t="s">
        <v>2270</v>
      </c>
      <c r="B375" t="s">
        <v>2271</v>
      </c>
      <c r="C375" t="s">
        <v>902</v>
      </c>
      <c r="D375" t="s">
        <v>1149</v>
      </c>
      <c r="E375" t="s">
        <v>63</v>
      </c>
      <c r="F375" t="s">
        <v>1051</v>
      </c>
      <c r="G375" t="s">
        <v>1717</v>
      </c>
      <c r="H375" t="s">
        <v>937</v>
      </c>
      <c r="I375" t="s">
        <v>956</v>
      </c>
      <c r="J375" t="s">
        <v>957</v>
      </c>
      <c r="K375" t="s">
        <v>1729</v>
      </c>
      <c r="L375" t="s">
        <v>923</v>
      </c>
      <c r="M375" t="s">
        <v>993</v>
      </c>
      <c r="N375" t="s">
        <v>1719</v>
      </c>
      <c r="O375" t="s">
        <v>923</v>
      </c>
      <c r="P375" t="s">
        <v>925</v>
      </c>
      <c r="Q375" t="s">
        <v>1709</v>
      </c>
      <c r="R375" t="s">
        <v>984</v>
      </c>
      <c r="S375" t="s">
        <v>956</v>
      </c>
      <c r="T375" t="s">
        <v>993</v>
      </c>
      <c r="U375" t="s">
        <v>963</v>
      </c>
      <c r="V375" t="s">
        <v>1065</v>
      </c>
      <c r="W375" t="s">
        <v>1065</v>
      </c>
      <c r="X375" t="s">
        <v>923</v>
      </c>
      <c r="Y375" t="s">
        <v>956</v>
      </c>
      <c r="Z375" t="s">
        <v>1065</v>
      </c>
      <c r="AA375" t="s">
        <v>934</v>
      </c>
      <c r="AB375" t="s">
        <v>1195</v>
      </c>
      <c r="AC375" t="s">
        <v>922</v>
      </c>
      <c r="AD375" t="s">
        <v>1023</v>
      </c>
      <c r="AE375">
        <v>7</v>
      </c>
      <c r="AF375">
        <v>7.0327999999999999</v>
      </c>
    </row>
    <row r="376" spans="1:32" x14ac:dyDescent="0.25">
      <c r="A376" s="194" t="s">
        <v>2272</v>
      </c>
      <c r="B376" t="s">
        <v>2273</v>
      </c>
      <c r="C376" t="s">
        <v>1084</v>
      </c>
      <c r="D376" t="s">
        <v>974</v>
      </c>
      <c r="E376" t="s">
        <v>72</v>
      </c>
      <c r="F376" t="s">
        <v>1422</v>
      </c>
      <c r="G376" t="s">
        <v>1083</v>
      </c>
      <c r="H376" t="s">
        <v>1418</v>
      </c>
      <c r="I376" t="s">
        <v>1012</v>
      </c>
      <c r="J376" t="s">
        <v>1126</v>
      </c>
      <c r="K376" t="s">
        <v>1297</v>
      </c>
      <c r="L376" t="s">
        <v>991</v>
      </c>
      <c r="M376" t="s">
        <v>945</v>
      </c>
      <c r="N376" t="s">
        <v>2069</v>
      </c>
      <c r="O376" t="s">
        <v>947</v>
      </c>
      <c r="P376" t="s">
        <v>1134</v>
      </c>
      <c r="Q376" t="s">
        <v>1268</v>
      </c>
      <c r="R376" t="s">
        <v>1358</v>
      </c>
      <c r="S376" t="s">
        <v>945</v>
      </c>
      <c r="T376" t="s">
        <v>1029</v>
      </c>
      <c r="U376" t="s">
        <v>2274</v>
      </c>
      <c r="V376" t="s">
        <v>956</v>
      </c>
      <c r="W376" t="s">
        <v>1135</v>
      </c>
      <c r="X376" t="s">
        <v>920</v>
      </c>
      <c r="Y376" t="s">
        <v>968</v>
      </c>
      <c r="Z376" t="s">
        <v>991</v>
      </c>
      <c r="AA376" t="s">
        <v>991</v>
      </c>
      <c r="AB376" t="s">
        <v>1064</v>
      </c>
      <c r="AC376" t="s">
        <v>947</v>
      </c>
      <c r="AD376" t="s">
        <v>1116</v>
      </c>
      <c r="AE376">
        <v>6.8000000000000007</v>
      </c>
      <c r="AF376">
        <v>6.8663999999999996</v>
      </c>
    </row>
    <row r="377" spans="1:32" x14ac:dyDescent="0.25">
      <c r="A377" s="191" t="s">
        <v>2272</v>
      </c>
      <c r="B377" t="s">
        <v>2273</v>
      </c>
      <c r="C377" t="s">
        <v>1084</v>
      </c>
      <c r="D377" t="s">
        <v>121</v>
      </c>
      <c r="E377" t="s">
        <v>72</v>
      </c>
      <c r="F377" t="s">
        <v>1096</v>
      </c>
      <c r="G377" t="s">
        <v>1717</v>
      </c>
      <c r="H377" t="s">
        <v>1044</v>
      </c>
      <c r="I377" t="s">
        <v>987</v>
      </c>
      <c r="J377" t="s">
        <v>1049</v>
      </c>
      <c r="K377" t="s">
        <v>1467</v>
      </c>
      <c r="L377" t="s">
        <v>1119</v>
      </c>
      <c r="M377" t="s">
        <v>969</v>
      </c>
      <c r="N377" t="s">
        <v>2251</v>
      </c>
      <c r="O377" t="s">
        <v>1008</v>
      </c>
      <c r="P377" t="s">
        <v>1195</v>
      </c>
      <c r="Q377" t="s">
        <v>1131</v>
      </c>
      <c r="R377" t="s">
        <v>1840</v>
      </c>
      <c r="S377" t="s">
        <v>991</v>
      </c>
      <c r="T377" t="s">
        <v>987</v>
      </c>
      <c r="U377" t="s">
        <v>913</v>
      </c>
      <c r="V377" t="s">
        <v>1094</v>
      </c>
      <c r="W377" t="s">
        <v>945</v>
      </c>
      <c r="X377" t="s">
        <v>1029</v>
      </c>
      <c r="Y377" t="s">
        <v>923</v>
      </c>
      <c r="Z377" t="s">
        <v>1094</v>
      </c>
      <c r="AA377" t="s">
        <v>1119</v>
      </c>
      <c r="AB377" t="s">
        <v>991</v>
      </c>
      <c r="AC377" t="s">
        <v>1008</v>
      </c>
      <c r="AD377" t="s">
        <v>908</v>
      </c>
      <c r="AE377">
        <v>2.1</v>
      </c>
      <c r="AF377">
        <v>2.1167999999999996</v>
      </c>
    </row>
    <row r="378" spans="1:32" x14ac:dyDescent="0.25">
      <c r="A378" s="191" t="s">
        <v>2272</v>
      </c>
      <c r="B378" t="s">
        <v>2273</v>
      </c>
      <c r="C378" t="s">
        <v>1084</v>
      </c>
      <c r="D378" t="s">
        <v>163</v>
      </c>
      <c r="E378" t="s">
        <v>72</v>
      </c>
      <c r="F378" t="s">
        <v>1343</v>
      </c>
      <c r="G378" t="s">
        <v>1083</v>
      </c>
      <c r="H378" t="s">
        <v>1036</v>
      </c>
      <c r="I378" t="s">
        <v>946</v>
      </c>
      <c r="J378" t="s">
        <v>1023</v>
      </c>
      <c r="K378" t="s">
        <v>1037</v>
      </c>
      <c r="L378" t="s">
        <v>1065</v>
      </c>
      <c r="M378" t="s">
        <v>1195</v>
      </c>
      <c r="N378" t="s">
        <v>1267</v>
      </c>
      <c r="O378" t="s">
        <v>1220</v>
      </c>
      <c r="P378" t="s">
        <v>1092</v>
      </c>
      <c r="Q378" t="s">
        <v>1287</v>
      </c>
      <c r="R378" t="s">
        <v>1537</v>
      </c>
      <c r="S378" t="s">
        <v>1230</v>
      </c>
      <c r="T378" t="s">
        <v>968</v>
      </c>
      <c r="U378" t="s">
        <v>1994</v>
      </c>
      <c r="V378" t="s">
        <v>993</v>
      </c>
      <c r="W378" t="s">
        <v>1000</v>
      </c>
      <c r="X378" t="s">
        <v>1126</v>
      </c>
      <c r="Y378" t="s">
        <v>1049</v>
      </c>
      <c r="Z378" t="s">
        <v>991</v>
      </c>
      <c r="AA378" t="s">
        <v>991</v>
      </c>
      <c r="AB378" t="s">
        <v>1195</v>
      </c>
      <c r="AC378" t="s">
        <v>1220</v>
      </c>
      <c r="AD378" t="s">
        <v>1027</v>
      </c>
      <c r="AE378">
        <v>8.1</v>
      </c>
      <c r="AF378">
        <v>8.1359999999999992</v>
      </c>
    </row>
    <row r="379" spans="1:32" x14ac:dyDescent="0.25">
      <c r="A379" s="191" t="s">
        <v>2275</v>
      </c>
      <c r="B379" t="s">
        <v>2276</v>
      </c>
      <c r="C379" t="s">
        <v>1032</v>
      </c>
      <c r="D379" t="s">
        <v>974</v>
      </c>
      <c r="E379" t="s">
        <v>93</v>
      </c>
      <c r="F379" t="s">
        <v>1535</v>
      </c>
      <c r="G379" t="s">
        <v>1717</v>
      </c>
      <c r="H379" t="s">
        <v>1036</v>
      </c>
      <c r="I379" t="s">
        <v>924</v>
      </c>
      <c r="J379" t="s">
        <v>1005</v>
      </c>
      <c r="K379" t="s">
        <v>1426</v>
      </c>
      <c r="L379" t="s">
        <v>918</v>
      </c>
      <c r="M379" t="s">
        <v>925</v>
      </c>
      <c r="N379" t="s">
        <v>1419</v>
      </c>
      <c r="O379" t="s">
        <v>1310</v>
      </c>
      <c r="P379" t="s">
        <v>1135</v>
      </c>
      <c r="Q379" t="s">
        <v>1235</v>
      </c>
      <c r="R379" t="s">
        <v>1333</v>
      </c>
      <c r="S379" t="s">
        <v>945</v>
      </c>
      <c r="T379" t="s">
        <v>922</v>
      </c>
      <c r="U379" t="s">
        <v>2052</v>
      </c>
      <c r="V379" t="s">
        <v>1230</v>
      </c>
      <c r="W379" t="s">
        <v>1012</v>
      </c>
      <c r="X379" t="s">
        <v>1160</v>
      </c>
      <c r="Y379" t="s">
        <v>924</v>
      </c>
      <c r="Z379" t="s">
        <v>918</v>
      </c>
      <c r="AA379" t="s">
        <v>1094</v>
      </c>
      <c r="AB379" t="s">
        <v>1195</v>
      </c>
      <c r="AC379" t="s">
        <v>956</v>
      </c>
      <c r="AD379" t="s">
        <v>1116</v>
      </c>
      <c r="AE379">
        <v>6.9</v>
      </c>
      <c r="AF379">
        <v>6.9198000000000004</v>
      </c>
    </row>
    <row r="380" spans="1:32" x14ac:dyDescent="0.25">
      <c r="A380" s="191" t="s">
        <v>2275</v>
      </c>
      <c r="B380" t="s">
        <v>2276</v>
      </c>
      <c r="C380" t="s">
        <v>1032</v>
      </c>
      <c r="D380" t="s">
        <v>156</v>
      </c>
      <c r="E380" t="s">
        <v>93</v>
      </c>
      <c r="F380" t="s">
        <v>1150</v>
      </c>
      <c r="G380" t="s">
        <v>1717</v>
      </c>
      <c r="H380" t="s">
        <v>2000</v>
      </c>
      <c r="I380" t="s">
        <v>993</v>
      </c>
      <c r="J380" t="s">
        <v>1005</v>
      </c>
      <c r="K380" t="s">
        <v>1565</v>
      </c>
      <c r="L380" t="s">
        <v>918</v>
      </c>
      <c r="M380" t="s">
        <v>1049</v>
      </c>
      <c r="N380" t="s">
        <v>1297</v>
      </c>
      <c r="O380" t="s">
        <v>922</v>
      </c>
      <c r="P380" t="s">
        <v>1048</v>
      </c>
      <c r="Q380" t="s">
        <v>1208</v>
      </c>
      <c r="R380" t="s">
        <v>1585</v>
      </c>
      <c r="S380" t="s">
        <v>1230</v>
      </c>
      <c r="T380" t="s">
        <v>956</v>
      </c>
      <c r="U380" t="s">
        <v>2129</v>
      </c>
      <c r="V380" t="s">
        <v>1230</v>
      </c>
      <c r="W380" t="s">
        <v>964</v>
      </c>
      <c r="X380" t="s">
        <v>1103</v>
      </c>
      <c r="Y380" t="s">
        <v>1104</v>
      </c>
      <c r="Z380" t="s">
        <v>918</v>
      </c>
      <c r="AA380" t="s">
        <v>991</v>
      </c>
      <c r="AB380" t="s">
        <v>1310</v>
      </c>
      <c r="AC380" t="s">
        <v>956</v>
      </c>
      <c r="AD380" t="s">
        <v>1118</v>
      </c>
      <c r="AE380">
        <v>7.3000000000000007</v>
      </c>
      <c r="AF380">
        <v>7.2355999999999998</v>
      </c>
    </row>
    <row r="381" spans="1:32" x14ac:dyDescent="0.25">
      <c r="A381" s="191" t="s">
        <v>2275</v>
      </c>
      <c r="B381" t="s">
        <v>2276</v>
      </c>
      <c r="C381" t="s">
        <v>1032</v>
      </c>
      <c r="D381" t="s">
        <v>121</v>
      </c>
      <c r="E381" t="s">
        <v>93</v>
      </c>
      <c r="F381" t="s">
        <v>1232</v>
      </c>
      <c r="G381" t="s">
        <v>1717</v>
      </c>
      <c r="H381" t="s">
        <v>1473</v>
      </c>
      <c r="I381" t="s">
        <v>925</v>
      </c>
      <c r="J381" t="s">
        <v>1005</v>
      </c>
      <c r="K381" t="s">
        <v>1018</v>
      </c>
      <c r="L381" t="s">
        <v>1064</v>
      </c>
      <c r="M381" t="s">
        <v>1220</v>
      </c>
      <c r="N381" t="s">
        <v>1683</v>
      </c>
      <c r="O381" t="s">
        <v>945</v>
      </c>
      <c r="P381" t="s">
        <v>947</v>
      </c>
      <c r="Q381" t="s">
        <v>1131</v>
      </c>
      <c r="R381" t="s">
        <v>1143</v>
      </c>
      <c r="S381" t="s">
        <v>969</v>
      </c>
      <c r="T381" t="s">
        <v>923</v>
      </c>
      <c r="U381" t="s">
        <v>1610</v>
      </c>
      <c r="V381" t="s">
        <v>945</v>
      </c>
      <c r="W381" t="s">
        <v>1029</v>
      </c>
      <c r="X381" t="s">
        <v>1104</v>
      </c>
      <c r="Y381" t="s">
        <v>1195</v>
      </c>
      <c r="Z381" t="s">
        <v>918</v>
      </c>
      <c r="AA381" t="s">
        <v>934</v>
      </c>
      <c r="AB381" t="s">
        <v>918</v>
      </c>
      <c r="AC381" t="s">
        <v>908</v>
      </c>
      <c r="AD381" t="s">
        <v>1059</v>
      </c>
      <c r="AE381">
        <v>6.1</v>
      </c>
      <c r="AF381">
        <v>6.0974999999999993</v>
      </c>
    </row>
    <row r="382" spans="1:32" x14ac:dyDescent="0.25">
      <c r="A382" s="191" t="s">
        <v>2277</v>
      </c>
      <c r="B382" t="s">
        <v>214</v>
      </c>
      <c r="C382" t="s">
        <v>995</v>
      </c>
      <c r="D382" t="s">
        <v>1069</v>
      </c>
      <c r="E382" t="s">
        <v>47</v>
      </c>
      <c r="F382" t="s">
        <v>1322</v>
      </c>
      <c r="G382" t="s">
        <v>1422</v>
      </c>
      <c r="H382" t="s">
        <v>1485</v>
      </c>
      <c r="I382" t="s">
        <v>1104</v>
      </c>
      <c r="J382" t="s">
        <v>921</v>
      </c>
      <c r="K382" t="s">
        <v>1075</v>
      </c>
      <c r="L382" t="s">
        <v>1064</v>
      </c>
      <c r="M382" t="s">
        <v>992</v>
      </c>
      <c r="N382" t="s">
        <v>1528</v>
      </c>
      <c r="O382" t="s">
        <v>922</v>
      </c>
      <c r="P382" t="s">
        <v>964</v>
      </c>
      <c r="Q382" t="s">
        <v>1493</v>
      </c>
      <c r="R382" t="s">
        <v>1180</v>
      </c>
      <c r="S382" t="s">
        <v>1094</v>
      </c>
      <c r="T382" t="s">
        <v>1065</v>
      </c>
      <c r="U382" t="s">
        <v>1845</v>
      </c>
      <c r="V382" t="s">
        <v>945</v>
      </c>
      <c r="W382" t="s">
        <v>924</v>
      </c>
      <c r="X382" t="s">
        <v>992</v>
      </c>
      <c r="Y382" t="s">
        <v>987</v>
      </c>
      <c r="Z382" t="s">
        <v>969</v>
      </c>
      <c r="AA382" t="s">
        <v>1065</v>
      </c>
      <c r="AB382" t="s">
        <v>1065</v>
      </c>
      <c r="AC382" t="s">
        <v>925</v>
      </c>
      <c r="AD382" t="s">
        <v>1116</v>
      </c>
      <c r="AE382">
        <v>6.9999999999999991</v>
      </c>
      <c r="AF382">
        <v>6.8334999999999999</v>
      </c>
    </row>
    <row r="383" spans="1:32" x14ac:dyDescent="0.25">
      <c r="A383" s="191" t="s">
        <v>2278</v>
      </c>
      <c r="B383" t="s">
        <v>2279</v>
      </c>
      <c r="C383" t="s">
        <v>902</v>
      </c>
      <c r="D383" t="s">
        <v>156</v>
      </c>
      <c r="E383" t="s">
        <v>72</v>
      </c>
      <c r="F383" t="s">
        <v>1446</v>
      </c>
      <c r="G383" t="s">
        <v>928</v>
      </c>
      <c r="H383" t="s">
        <v>1207</v>
      </c>
      <c r="I383" t="s">
        <v>993</v>
      </c>
      <c r="J383" t="s">
        <v>1134</v>
      </c>
      <c r="K383" t="s">
        <v>1090</v>
      </c>
      <c r="L383" t="s">
        <v>1195</v>
      </c>
      <c r="M383" t="s">
        <v>946</v>
      </c>
      <c r="N383" t="s">
        <v>1154</v>
      </c>
      <c r="O383" t="s">
        <v>945</v>
      </c>
      <c r="P383" t="s">
        <v>1029</v>
      </c>
      <c r="Q383" t="s">
        <v>1674</v>
      </c>
      <c r="R383" t="s">
        <v>1637</v>
      </c>
      <c r="S383" t="s">
        <v>1008</v>
      </c>
      <c r="T383" t="s">
        <v>918</v>
      </c>
      <c r="U383" t="s">
        <v>2280</v>
      </c>
      <c r="V383" t="s">
        <v>1065</v>
      </c>
      <c r="W383" t="s">
        <v>1310</v>
      </c>
      <c r="X383" t="s">
        <v>956</v>
      </c>
      <c r="Y383" t="s">
        <v>969</v>
      </c>
      <c r="Z383" t="s">
        <v>1094</v>
      </c>
      <c r="AA383" t="s">
        <v>918</v>
      </c>
      <c r="AB383" t="s">
        <v>1065</v>
      </c>
      <c r="AC383" t="s">
        <v>945</v>
      </c>
      <c r="AD383" t="s">
        <v>1116</v>
      </c>
      <c r="AE383">
        <v>7.0000000000000009</v>
      </c>
      <c r="AF383">
        <v>6.9354999999999993</v>
      </c>
    </row>
    <row r="384" spans="1:32" x14ac:dyDescent="0.25">
      <c r="A384" s="191" t="s">
        <v>2281</v>
      </c>
      <c r="B384" t="s">
        <v>2282</v>
      </c>
      <c r="C384" t="s">
        <v>929</v>
      </c>
      <c r="D384" t="s">
        <v>129</v>
      </c>
      <c r="E384" t="s">
        <v>56</v>
      </c>
      <c r="F384" t="s">
        <v>1052</v>
      </c>
      <c r="G384" t="s">
        <v>1031</v>
      </c>
      <c r="H384" t="s">
        <v>1439</v>
      </c>
      <c r="I384" t="s">
        <v>993</v>
      </c>
      <c r="J384" t="s">
        <v>985</v>
      </c>
      <c r="K384" t="s">
        <v>1206</v>
      </c>
      <c r="L384" t="s">
        <v>1195</v>
      </c>
      <c r="M384" t="s">
        <v>992</v>
      </c>
      <c r="N384" t="s">
        <v>1475</v>
      </c>
      <c r="O384" t="s">
        <v>945</v>
      </c>
      <c r="P384" t="s">
        <v>1012</v>
      </c>
      <c r="Q384" t="s">
        <v>1440</v>
      </c>
      <c r="R384" t="s">
        <v>1283</v>
      </c>
      <c r="S384" t="s">
        <v>1008</v>
      </c>
      <c r="T384" t="s">
        <v>987</v>
      </c>
      <c r="U384" t="s">
        <v>2283</v>
      </c>
      <c r="V384" t="s">
        <v>934</v>
      </c>
      <c r="W384" t="s">
        <v>1195</v>
      </c>
      <c r="X384" t="s">
        <v>1230</v>
      </c>
      <c r="Y384" t="s">
        <v>1104</v>
      </c>
      <c r="Z384" t="s">
        <v>1065</v>
      </c>
      <c r="AA384" t="s">
        <v>934</v>
      </c>
      <c r="AB384" t="s">
        <v>1008</v>
      </c>
      <c r="AC384" t="s">
        <v>1310</v>
      </c>
      <c r="AD384" t="s">
        <v>1116</v>
      </c>
      <c r="AE384">
        <v>7.0000000000000009</v>
      </c>
      <c r="AF384">
        <v>7.0015999999999998</v>
      </c>
    </row>
    <row r="385" spans="1:32" x14ac:dyDescent="0.25">
      <c r="A385" s="191" t="s">
        <v>2284</v>
      </c>
      <c r="B385" t="s">
        <v>2285</v>
      </c>
      <c r="C385" t="s">
        <v>1084</v>
      </c>
      <c r="D385" t="s">
        <v>83</v>
      </c>
      <c r="E385" t="s">
        <v>63</v>
      </c>
      <c r="F385" t="s">
        <v>1422</v>
      </c>
      <c r="G385" t="s">
        <v>1051</v>
      </c>
      <c r="H385" t="s">
        <v>1487</v>
      </c>
      <c r="I385" t="s">
        <v>1012</v>
      </c>
      <c r="J385" t="s">
        <v>1092</v>
      </c>
      <c r="K385" t="s">
        <v>1923</v>
      </c>
      <c r="L385" t="s">
        <v>945</v>
      </c>
      <c r="M385" t="s">
        <v>964</v>
      </c>
      <c r="N385" t="s">
        <v>1039</v>
      </c>
      <c r="O385" t="s">
        <v>1230</v>
      </c>
      <c r="P385" t="s">
        <v>1220</v>
      </c>
      <c r="Q385" t="s">
        <v>1101</v>
      </c>
      <c r="R385" t="s">
        <v>1837</v>
      </c>
      <c r="S385" t="s">
        <v>969</v>
      </c>
      <c r="T385" t="s">
        <v>987</v>
      </c>
      <c r="U385" t="s">
        <v>963</v>
      </c>
      <c r="V385" t="s">
        <v>991</v>
      </c>
      <c r="W385" t="s">
        <v>923</v>
      </c>
      <c r="X385" t="s">
        <v>1230</v>
      </c>
      <c r="Y385" t="s">
        <v>918</v>
      </c>
      <c r="Z385" t="s">
        <v>1065</v>
      </c>
      <c r="AA385" t="s">
        <v>1119</v>
      </c>
      <c r="AB385" t="s">
        <v>1008</v>
      </c>
      <c r="AC385" t="s">
        <v>918</v>
      </c>
      <c r="AD385" t="s">
        <v>1116</v>
      </c>
      <c r="AE385">
        <v>7</v>
      </c>
      <c r="AF385">
        <v>6.889899999999999</v>
      </c>
    </row>
    <row r="386" spans="1:32" x14ac:dyDescent="0.25">
      <c r="A386" s="194" t="s">
        <v>2286</v>
      </c>
      <c r="B386" t="s">
        <v>2287</v>
      </c>
      <c r="C386" t="s">
        <v>950</v>
      </c>
      <c r="D386" t="s">
        <v>974</v>
      </c>
      <c r="E386" t="s">
        <v>47</v>
      </c>
      <c r="F386" t="s">
        <v>1399</v>
      </c>
      <c r="G386" t="s">
        <v>1083</v>
      </c>
      <c r="H386" t="s">
        <v>1857</v>
      </c>
      <c r="I386" t="s">
        <v>1012</v>
      </c>
      <c r="J386" t="s">
        <v>1059</v>
      </c>
      <c r="K386" t="s">
        <v>1373</v>
      </c>
      <c r="L386" t="s">
        <v>987</v>
      </c>
      <c r="M386" t="s">
        <v>1104</v>
      </c>
      <c r="N386" t="s">
        <v>1673</v>
      </c>
      <c r="O386" t="s">
        <v>968</v>
      </c>
      <c r="P386" t="s">
        <v>970</v>
      </c>
      <c r="Q386" t="s">
        <v>1226</v>
      </c>
      <c r="R386" t="s">
        <v>1514</v>
      </c>
      <c r="S386" t="s">
        <v>987</v>
      </c>
      <c r="T386" t="s">
        <v>945</v>
      </c>
      <c r="U386" t="s">
        <v>2288</v>
      </c>
      <c r="V386" t="s">
        <v>923</v>
      </c>
      <c r="W386" t="s">
        <v>1048</v>
      </c>
      <c r="X386" t="s">
        <v>1081</v>
      </c>
      <c r="Y386" t="s">
        <v>956</v>
      </c>
      <c r="Z386" t="s">
        <v>1064</v>
      </c>
      <c r="AA386" t="s">
        <v>969</v>
      </c>
      <c r="AB386" t="s">
        <v>923</v>
      </c>
      <c r="AC386" t="s">
        <v>968</v>
      </c>
      <c r="AD386" t="s">
        <v>1172</v>
      </c>
      <c r="AE386">
        <v>6.8</v>
      </c>
      <c r="AF386">
        <v>6.7644000000000002</v>
      </c>
    </row>
    <row r="387" spans="1:32" x14ac:dyDescent="0.25">
      <c r="A387" s="191" t="s">
        <v>2286</v>
      </c>
      <c r="B387" t="s">
        <v>2287</v>
      </c>
      <c r="C387" t="s">
        <v>950</v>
      </c>
      <c r="D387" t="s">
        <v>1149</v>
      </c>
      <c r="E387" t="s">
        <v>47</v>
      </c>
      <c r="F387" t="s">
        <v>1390</v>
      </c>
      <c r="G387" t="s">
        <v>1083</v>
      </c>
      <c r="H387" t="s">
        <v>2289</v>
      </c>
      <c r="I387" t="s">
        <v>1135</v>
      </c>
      <c r="J387" t="s">
        <v>1116</v>
      </c>
      <c r="K387" t="s">
        <v>1784</v>
      </c>
      <c r="L387" t="s">
        <v>923</v>
      </c>
      <c r="M387" t="s">
        <v>1048</v>
      </c>
      <c r="N387" t="s">
        <v>1750</v>
      </c>
      <c r="O387" t="s">
        <v>1049</v>
      </c>
      <c r="P387" t="s">
        <v>1030</v>
      </c>
      <c r="Q387" t="s">
        <v>1171</v>
      </c>
      <c r="R387" t="s">
        <v>1262</v>
      </c>
      <c r="S387" t="s">
        <v>918</v>
      </c>
      <c r="T387" t="s">
        <v>1195</v>
      </c>
      <c r="U387" t="s">
        <v>2290</v>
      </c>
      <c r="V387" t="s">
        <v>923</v>
      </c>
      <c r="W387" t="s">
        <v>979</v>
      </c>
      <c r="X387" t="s">
        <v>1047</v>
      </c>
      <c r="Y387" t="s">
        <v>947</v>
      </c>
      <c r="Z387" t="s">
        <v>1064</v>
      </c>
      <c r="AA387" t="s">
        <v>1008</v>
      </c>
      <c r="AB387" t="s">
        <v>1064</v>
      </c>
      <c r="AC387" t="s">
        <v>968</v>
      </c>
      <c r="AD387" t="s">
        <v>1011</v>
      </c>
      <c r="AE387">
        <v>7.9</v>
      </c>
      <c r="AF387">
        <v>7.9102000000000006</v>
      </c>
    </row>
    <row r="388" spans="1:32" x14ac:dyDescent="0.25">
      <c r="A388" s="191" t="s">
        <v>2286</v>
      </c>
      <c r="B388" t="s">
        <v>2287</v>
      </c>
      <c r="C388" t="s">
        <v>950</v>
      </c>
      <c r="D388" t="s">
        <v>1069</v>
      </c>
      <c r="E388" t="s">
        <v>47</v>
      </c>
      <c r="F388" t="s">
        <v>1162</v>
      </c>
      <c r="G388" t="s">
        <v>1717</v>
      </c>
      <c r="H388" t="s">
        <v>1675</v>
      </c>
      <c r="I388" t="s">
        <v>1230</v>
      </c>
      <c r="J388" t="s">
        <v>919</v>
      </c>
      <c r="K388" t="s">
        <v>2134</v>
      </c>
      <c r="L388" t="s">
        <v>934</v>
      </c>
      <c r="M388" t="s">
        <v>1049</v>
      </c>
      <c r="N388" t="s">
        <v>2291</v>
      </c>
      <c r="O388" t="s">
        <v>945</v>
      </c>
      <c r="P388" t="s">
        <v>908</v>
      </c>
      <c r="Q388" t="s">
        <v>1215</v>
      </c>
      <c r="R388" t="s">
        <v>1456</v>
      </c>
      <c r="S388" t="s">
        <v>969</v>
      </c>
      <c r="T388" t="s">
        <v>918</v>
      </c>
      <c r="U388" t="s">
        <v>2049</v>
      </c>
      <c r="V388" t="s">
        <v>918</v>
      </c>
      <c r="W388" t="s">
        <v>993</v>
      </c>
      <c r="X388" t="s">
        <v>1000</v>
      </c>
      <c r="Y388" t="s">
        <v>1064</v>
      </c>
      <c r="Z388" t="s">
        <v>918</v>
      </c>
      <c r="AA388" t="s">
        <v>991</v>
      </c>
      <c r="AB388" t="s">
        <v>969</v>
      </c>
      <c r="AC388" t="s">
        <v>1029</v>
      </c>
      <c r="AD388" t="s">
        <v>1030</v>
      </c>
      <c r="AE388">
        <v>3.6</v>
      </c>
      <c r="AF388">
        <v>3.8024999999999993</v>
      </c>
    </row>
    <row r="389" spans="1:32" x14ac:dyDescent="0.25">
      <c r="A389" s="191" t="s">
        <v>2292</v>
      </c>
      <c r="B389" t="s">
        <v>2293</v>
      </c>
      <c r="C389" t="s">
        <v>973</v>
      </c>
      <c r="D389" t="s">
        <v>1069</v>
      </c>
      <c r="E389" t="s">
        <v>93</v>
      </c>
      <c r="F389" t="s">
        <v>1068</v>
      </c>
      <c r="G389" t="s">
        <v>1106</v>
      </c>
      <c r="H389" t="s">
        <v>1113</v>
      </c>
      <c r="I389" t="s">
        <v>1220</v>
      </c>
      <c r="J389" t="s">
        <v>1005</v>
      </c>
      <c r="K389" t="s">
        <v>1144</v>
      </c>
      <c r="L389" t="s">
        <v>918</v>
      </c>
      <c r="M389" t="s">
        <v>1012</v>
      </c>
      <c r="N389" t="s">
        <v>1515</v>
      </c>
      <c r="O389" t="s">
        <v>968</v>
      </c>
      <c r="P389" t="s">
        <v>993</v>
      </c>
      <c r="Q389" t="s">
        <v>1801</v>
      </c>
      <c r="R389" t="s">
        <v>1822</v>
      </c>
      <c r="S389" t="s">
        <v>969</v>
      </c>
      <c r="T389" t="s">
        <v>1008</v>
      </c>
      <c r="U389" t="s">
        <v>1947</v>
      </c>
      <c r="V389" t="s">
        <v>969</v>
      </c>
      <c r="W389" t="s">
        <v>947</v>
      </c>
      <c r="X389" t="s">
        <v>964</v>
      </c>
      <c r="Y389" t="s">
        <v>969</v>
      </c>
      <c r="Z389" t="s">
        <v>1094</v>
      </c>
      <c r="AA389" t="s">
        <v>1008</v>
      </c>
      <c r="AB389" t="s">
        <v>969</v>
      </c>
      <c r="AC389" t="s">
        <v>969</v>
      </c>
      <c r="AD389" t="s">
        <v>1172</v>
      </c>
      <c r="AE389">
        <v>6.9</v>
      </c>
      <c r="AF389">
        <v>6.7764999999999986</v>
      </c>
    </row>
    <row r="390" spans="1:32" x14ac:dyDescent="0.25">
      <c r="A390" s="191" t="s">
        <v>2294</v>
      </c>
      <c r="B390" t="s">
        <v>2295</v>
      </c>
      <c r="C390" t="s">
        <v>1068</v>
      </c>
      <c r="D390" t="s">
        <v>108</v>
      </c>
      <c r="E390" t="s">
        <v>63</v>
      </c>
      <c r="F390" t="s">
        <v>1390</v>
      </c>
      <c r="G390" t="s">
        <v>1147</v>
      </c>
      <c r="H390" t="s">
        <v>932</v>
      </c>
      <c r="I390" t="s">
        <v>925</v>
      </c>
      <c r="J390" t="s">
        <v>962</v>
      </c>
      <c r="K390" t="s">
        <v>1474</v>
      </c>
      <c r="L390" t="s">
        <v>1230</v>
      </c>
      <c r="M390" t="s">
        <v>979</v>
      </c>
      <c r="N390" t="s">
        <v>1564</v>
      </c>
      <c r="O390" t="s">
        <v>987</v>
      </c>
      <c r="P390" t="s">
        <v>922</v>
      </c>
      <c r="Q390" t="s">
        <v>1258</v>
      </c>
      <c r="R390" t="s">
        <v>1333</v>
      </c>
      <c r="S390" t="s">
        <v>918</v>
      </c>
      <c r="T390" t="s">
        <v>945</v>
      </c>
      <c r="U390" t="s">
        <v>2049</v>
      </c>
      <c r="V390" t="s">
        <v>934</v>
      </c>
      <c r="W390" t="s">
        <v>923</v>
      </c>
      <c r="X390" t="s">
        <v>945</v>
      </c>
      <c r="Y390" t="s">
        <v>922</v>
      </c>
      <c r="Z390" t="s">
        <v>1008</v>
      </c>
      <c r="AA390" t="s">
        <v>1094</v>
      </c>
      <c r="AB390" t="s">
        <v>1008</v>
      </c>
      <c r="AC390" t="s">
        <v>987</v>
      </c>
      <c r="AD390" t="s">
        <v>1172</v>
      </c>
      <c r="AE390">
        <v>6.7</v>
      </c>
      <c r="AF390">
        <v>6.7687000000000008</v>
      </c>
    </row>
    <row r="391" spans="1:32" x14ac:dyDescent="0.25">
      <c r="A391" s="194" t="s">
        <v>2296</v>
      </c>
      <c r="B391" t="s">
        <v>293</v>
      </c>
      <c r="C391" t="s">
        <v>1084</v>
      </c>
      <c r="D391" t="s">
        <v>1014</v>
      </c>
      <c r="E391" t="s">
        <v>72</v>
      </c>
      <c r="F391" t="s">
        <v>1410</v>
      </c>
      <c r="G391" t="s">
        <v>1343</v>
      </c>
      <c r="H391" t="s">
        <v>954</v>
      </c>
      <c r="I391" t="s">
        <v>964</v>
      </c>
      <c r="J391" t="s">
        <v>1228</v>
      </c>
      <c r="K391" t="s">
        <v>1680</v>
      </c>
      <c r="L391" t="s">
        <v>1600</v>
      </c>
      <c r="M391" t="s">
        <v>1119</v>
      </c>
      <c r="N391" t="s">
        <v>1646</v>
      </c>
      <c r="O391" t="s">
        <v>964</v>
      </c>
      <c r="P391" t="s">
        <v>1160</v>
      </c>
      <c r="Q391" t="s">
        <v>2297</v>
      </c>
      <c r="R391" t="s">
        <v>1680</v>
      </c>
      <c r="S391" t="s">
        <v>1064</v>
      </c>
      <c r="T391" t="s">
        <v>968</v>
      </c>
      <c r="U391" t="s">
        <v>1814</v>
      </c>
      <c r="V391" t="s">
        <v>1230</v>
      </c>
      <c r="W391" t="s">
        <v>1000</v>
      </c>
      <c r="X391" t="s">
        <v>1134</v>
      </c>
      <c r="Y391" t="s">
        <v>923</v>
      </c>
      <c r="Z391" t="s">
        <v>969</v>
      </c>
      <c r="AA391" t="s">
        <v>918</v>
      </c>
      <c r="AB391" t="s">
        <v>987</v>
      </c>
      <c r="AC391" t="s">
        <v>924</v>
      </c>
      <c r="AD391" t="s">
        <v>1172</v>
      </c>
      <c r="AE391">
        <v>6.9</v>
      </c>
      <c r="AF391">
        <v>6.8292000000000002</v>
      </c>
    </row>
    <row r="392" spans="1:32" x14ac:dyDescent="0.25">
      <c r="A392" s="191" t="s">
        <v>2298</v>
      </c>
      <c r="B392" t="s">
        <v>2299</v>
      </c>
      <c r="C392" t="s">
        <v>1032</v>
      </c>
      <c r="D392" t="s">
        <v>108</v>
      </c>
      <c r="E392" t="s">
        <v>47</v>
      </c>
      <c r="F392" t="s">
        <v>1106</v>
      </c>
      <c r="G392" t="s">
        <v>972</v>
      </c>
      <c r="H392" t="s">
        <v>1874</v>
      </c>
      <c r="I392" t="s">
        <v>1220</v>
      </c>
      <c r="J392" t="s">
        <v>1116</v>
      </c>
      <c r="K392" t="s">
        <v>1595</v>
      </c>
      <c r="L392" t="s">
        <v>1065</v>
      </c>
      <c r="M392" t="s">
        <v>1048</v>
      </c>
      <c r="N392" t="s">
        <v>2300</v>
      </c>
      <c r="O392" t="s">
        <v>925</v>
      </c>
      <c r="P392" t="s">
        <v>1030</v>
      </c>
      <c r="Q392" t="s">
        <v>1856</v>
      </c>
      <c r="R392" t="s">
        <v>1672</v>
      </c>
      <c r="S392" t="s">
        <v>987</v>
      </c>
      <c r="T392" t="s">
        <v>923</v>
      </c>
      <c r="U392" t="s">
        <v>963</v>
      </c>
      <c r="V392" t="s">
        <v>947</v>
      </c>
      <c r="W392" t="s">
        <v>957</v>
      </c>
      <c r="X392" t="s">
        <v>1023</v>
      </c>
      <c r="Y392" t="s">
        <v>923</v>
      </c>
      <c r="Z392" t="s">
        <v>918</v>
      </c>
      <c r="AA392" t="s">
        <v>945</v>
      </c>
      <c r="AB392" t="s">
        <v>1008</v>
      </c>
      <c r="AC392" t="s">
        <v>1029</v>
      </c>
      <c r="AD392" t="s">
        <v>1112</v>
      </c>
      <c r="AE392">
        <v>6.7</v>
      </c>
      <c r="AF392">
        <v>6.7005999999999997</v>
      </c>
    </row>
    <row r="393" spans="1:32" x14ac:dyDescent="0.25">
      <c r="A393" s="191" t="s">
        <v>2301</v>
      </c>
      <c r="B393" t="s">
        <v>2302</v>
      </c>
      <c r="C393" t="s">
        <v>1293</v>
      </c>
      <c r="D393" t="s">
        <v>1149</v>
      </c>
      <c r="E393" t="s">
        <v>63</v>
      </c>
      <c r="F393" t="s">
        <v>1150</v>
      </c>
      <c r="G393" t="s">
        <v>1238</v>
      </c>
      <c r="H393" t="s">
        <v>1347</v>
      </c>
      <c r="I393" t="s">
        <v>993</v>
      </c>
      <c r="J393" t="s">
        <v>985</v>
      </c>
      <c r="K393" t="s">
        <v>1154</v>
      </c>
      <c r="L393" t="s">
        <v>945</v>
      </c>
      <c r="M393" t="s">
        <v>979</v>
      </c>
      <c r="N393" t="s">
        <v>2238</v>
      </c>
      <c r="O393" t="s">
        <v>1195</v>
      </c>
      <c r="P393" t="s">
        <v>1220</v>
      </c>
      <c r="Q393" t="s">
        <v>1476</v>
      </c>
      <c r="R393" t="s">
        <v>1131</v>
      </c>
      <c r="S393" t="s">
        <v>1065</v>
      </c>
      <c r="T393" t="s">
        <v>969</v>
      </c>
      <c r="U393" t="s">
        <v>963</v>
      </c>
      <c r="V393" t="s">
        <v>987</v>
      </c>
      <c r="W393" t="s">
        <v>908</v>
      </c>
      <c r="X393" t="s">
        <v>964</v>
      </c>
      <c r="Y393" t="s">
        <v>1064</v>
      </c>
      <c r="Z393" t="s">
        <v>969</v>
      </c>
      <c r="AA393" t="s">
        <v>1065</v>
      </c>
      <c r="AB393" t="s">
        <v>1008</v>
      </c>
      <c r="AC393" t="s">
        <v>908</v>
      </c>
      <c r="AD393" t="s">
        <v>1112</v>
      </c>
      <c r="AE393">
        <v>6.6999999999999993</v>
      </c>
      <c r="AF393">
        <v>6.6759000000000004</v>
      </c>
    </row>
    <row r="394" spans="1:32" x14ac:dyDescent="0.25">
      <c r="A394" s="191" t="s">
        <v>2303</v>
      </c>
      <c r="B394" t="s">
        <v>2304</v>
      </c>
      <c r="C394" t="s">
        <v>1084</v>
      </c>
      <c r="D394" t="s">
        <v>974</v>
      </c>
      <c r="E394" t="s">
        <v>63</v>
      </c>
      <c r="F394" t="s">
        <v>1147</v>
      </c>
      <c r="G394" t="s">
        <v>1717</v>
      </c>
      <c r="H394" t="s">
        <v>1714</v>
      </c>
      <c r="I394" t="s">
        <v>924</v>
      </c>
      <c r="J394" t="s">
        <v>1063</v>
      </c>
      <c r="K394" t="s">
        <v>1225</v>
      </c>
      <c r="L394" t="s">
        <v>923</v>
      </c>
      <c r="M394" t="s">
        <v>1000</v>
      </c>
      <c r="N394" t="s">
        <v>1259</v>
      </c>
      <c r="O394" t="s">
        <v>1230</v>
      </c>
      <c r="P394" t="s">
        <v>1012</v>
      </c>
      <c r="Q394" t="s">
        <v>1352</v>
      </c>
      <c r="R394" t="s">
        <v>1300</v>
      </c>
      <c r="S394" t="s">
        <v>987</v>
      </c>
      <c r="T394" t="s">
        <v>923</v>
      </c>
      <c r="U394" t="s">
        <v>1102</v>
      </c>
      <c r="V394" t="s">
        <v>1094</v>
      </c>
      <c r="W394" t="s">
        <v>945</v>
      </c>
      <c r="X394" t="s">
        <v>1310</v>
      </c>
      <c r="Y394" t="s">
        <v>968</v>
      </c>
      <c r="Z394" t="s">
        <v>934</v>
      </c>
      <c r="AA394" t="s">
        <v>934</v>
      </c>
      <c r="AB394" t="s">
        <v>1064</v>
      </c>
      <c r="AC394" t="s">
        <v>1230</v>
      </c>
      <c r="AD394" t="s">
        <v>1006</v>
      </c>
      <c r="AE394">
        <v>6.6</v>
      </c>
      <c r="AF394">
        <v>6.6058000000000003</v>
      </c>
    </row>
    <row r="395" spans="1:32" x14ac:dyDescent="0.25">
      <c r="A395" s="191" t="s">
        <v>2303</v>
      </c>
      <c r="B395" t="s">
        <v>2304</v>
      </c>
      <c r="C395" t="s">
        <v>1084</v>
      </c>
      <c r="D395" t="s">
        <v>108</v>
      </c>
      <c r="E395" t="s">
        <v>63</v>
      </c>
      <c r="F395" t="s">
        <v>972</v>
      </c>
      <c r="G395" t="s">
        <v>1717</v>
      </c>
      <c r="H395" t="s">
        <v>1170</v>
      </c>
      <c r="I395" t="s">
        <v>923</v>
      </c>
      <c r="J395" t="s">
        <v>956</v>
      </c>
      <c r="K395" t="s">
        <v>1131</v>
      </c>
      <c r="L395" t="s">
        <v>1600</v>
      </c>
      <c r="M395" t="s">
        <v>987</v>
      </c>
      <c r="N395" t="s">
        <v>1646</v>
      </c>
      <c r="O395" t="s">
        <v>923</v>
      </c>
      <c r="P395" t="s">
        <v>1195</v>
      </c>
      <c r="Q395" t="s">
        <v>963</v>
      </c>
      <c r="R395" t="s">
        <v>1131</v>
      </c>
      <c r="S395" t="s">
        <v>1094</v>
      </c>
      <c r="T395" t="s">
        <v>1094</v>
      </c>
      <c r="U395" t="s">
        <v>2146</v>
      </c>
      <c r="V395" t="s">
        <v>987</v>
      </c>
      <c r="W395" t="s">
        <v>1094</v>
      </c>
      <c r="X395" t="s">
        <v>923</v>
      </c>
      <c r="Y395" t="s">
        <v>1094</v>
      </c>
      <c r="Z395" t="s">
        <v>1600</v>
      </c>
      <c r="AA395" t="s">
        <v>1600</v>
      </c>
      <c r="AB395" t="s">
        <v>923</v>
      </c>
      <c r="AC395" t="s">
        <v>1600</v>
      </c>
      <c r="AD395" t="s">
        <v>947</v>
      </c>
      <c r="AE395">
        <v>2.2999999999999998</v>
      </c>
      <c r="AF395">
        <v>2.2199999999999998</v>
      </c>
    </row>
    <row r="396" spans="1:32" x14ac:dyDescent="0.25">
      <c r="A396" s="191" t="s">
        <v>2303</v>
      </c>
      <c r="B396" t="s">
        <v>2304</v>
      </c>
      <c r="C396" t="s">
        <v>1084</v>
      </c>
      <c r="D396" t="s">
        <v>83</v>
      </c>
      <c r="E396" t="s">
        <v>63</v>
      </c>
      <c r="F396" t="s">
        <v>1096</v>
      </c>
      <c r="G396" t="s">
        <v>1717</v>
      </c>
      <c r="H396" t="s">
        <v>1540</v>
      </c>
      <c r="I396" t="s">
        <v>1135</v>
      </c>
      <c r="J396" t="s">
        <v>1011</v>
      </c>
      <c r="K396" t="s">
        <v>1588</v>
      </c>
      <c r="L396" t="s">
        <v>1230</v>
      </c>
      <c r="M396" t="s">
        <v>1211</v>
      </c>
      <c r="N396" t="s">
        <v>2305</v>
      </c>
      <c r="O396" t="s">
        <v>1029</v>
      </c>
      <c r="P396" t="s">
        <v>1048</v>
      </c>
      <c r="Q396" t="s">
        <v>1466</v>
      </c>
      <c r="R396" t="s">
        <v>1795</v>
      </c>
      <c r="S396" t="s">
        <v>1064</v>
      </c>
      <c r="T396" t="s">
        <v>1195</v>
      </c>
      <c r="U396" t="s">
        <v>1765</v>
      </c>
      <c r="V396" t="s">
        <v>1119</v>
      </c>
      <c r="W396" t="s">
        <v>1029</v>
      </c>
      <c r="X396" t="s">
        <v>922</v>
      </c>
      <c r="Y396" t="s">
        <v>1012</v>
      </c>
      <c r="Z396" t="s">
        <v>1094</v>
      </c>
      <c r="AA396" t="s">
        <v>934</v>
      </c>
      <c r="AB396" t="s">
        <v>1064</v>
      </c>
      <c r="AC396" t="s">
        <v>956</v>
      </c>
      <c r="AD396" t="s">
        <v>1152</v>
      </c>
      <c r="AE396">
        <v>8.5</v>
      </c>
      <c r="AF396">
        <v>8.5487000000000002</v>
      </c>
    </row>
    <row r="397" spans="1:32" x14ac:dyDescent="0.25">
      <c r="A397" s="191" t="s">
        <v>2306</v>
      </c>
      <c r="B397" t="s">
        <v>2307</v>
      </c>
      <c r="C397" t="s">
        <v>1176</v>
      </c>
      <c r="D397" t="s">
        <v>974</v>
      </c>
      <c r="E397" t="s">
        <v>56</v>
      </c>
      <c r="F397" t="s">
        <v>1403</v>
      </c>
      <c r="G397" t="s">
        <v>1202</v>
      </c>
      <c r="H397" t="s">
        <v>1485</v>
      </c>
      <c r="I397" t="s">
        <v>947</v>
      </c>
      <c r="J397" t="s">
        <v>1112</v>
      </c>
      <c r="K397" t="s">
        <v>2081</v>
      </c>
      <c r="L397" t="s">
        <v>1064</v>
      </c>
      <c r="M397" t="s">
        <v>1135</v>
      </c>
      <c r="N397" t="s">
        <v>1556</v>
      </c>
      <c r="O397" t="s">
        <v>945</v>
      </c>
      <c r="P397" t="s">
        <v>992</v>
      </c>
      <c r="Q397" t="s">
        <v>1835</v>
      </c>
      <c r="R397" t="s">
        <v>1075</v>
      </c>
      <c r="S397" t="s">
        <v>987</v>
      </c>
      <c r="T397" t="s">
        <v>923</v>
      </c>
      <c r="U397" t="s">
        <v>1243</v>
      </c>
      <c r="V397" t="s">
        <v>1065</v>
      </c>
      <c r="W397" t="s">
        <v>922</v>
      </c>
      <c r="X397" t="s">
        <v>925</v>
      </c>
      <c r="Y397" t="s">
        <v>946</v>
      </c>
      <c r="Z397" t="s">
        <v>991</v>
      </c>
      <c r="AA397" t="s">
        <v>1600</v>
      </c>
      <c r="AB397" t="s">
        <v>1049</v>
      </c>
      <c r="AC397" t="s">
        <v>1064</v>
      </c>
      <c r="AD397" t="s">
        <v>1006</v>
      </c>
      <c r="AE397">
        <v>6.4999999999999991</v>
      </c>
      <c r="AF397">
        <v>6.5702000000000007</v>
      </c>
    </row>
    <row r="398" spans="1:32" x14ac:dyDescent="0.25">
      <c r="A398" s="191" t="s">
        <v>2306</v>
      </c>
      <c r="B398" t="s">
        <v>2307</v>
      </c>
      <c r="C398" t="s">
        <v>1176</v>
      </c>
      <c r="D398" t="s">
        <v>1149</v>
      </c>
      <c r="E398" t="s">
        <v>56</v>
      </c>
      <c r="F398" t="s">
        <v>1068</v>
      </c>
      <c r="G398" t="s">
        <v>1202</v>
      </c>
      <c r="H398" t="s">
        <v>998</v>
      </c>
      <c r="I398" t="s">
        <v>1012</v>
      </c>
      <c r="J398" t="s">
        <v>1009</v>
      </c>
      <c r="K398" t="s">
        <v>2081</v>
      </c>
      <c r="L398" t="s">
        <v>1195</v>
      </c>
      <c r="M398" t="s">
        <v>979</v>
      </c>
      <c r="N398" t="s">
        <v>1556</v>
      </c>
      <c r="O398" t="s">
        <v>1230</v>
      </c>
      <c r="P398" t="s">
        <v>919</v>
      </c>
      <c r="Q398" t="s">
        <v>1835</v>
      </c>
      <c r="R398" t="s">
        <v>1075</v>
      </c>
      <c r="S398" t="s">
        <v>918</v>
      </c>
      <c r="T398" t="s">
        <v>1064</v>
      </c>
      <c r="U398" t="s">
        <v>1243</v>
      </c>
      <c r="V398" t="s">
        <v>969</v>
      </c>
      <c r="W398" t="s">
        <v>1049</v>
      </c>
      <c r="X398" t="s">
        <v>924</v>
      </c>
      <c r="Y398" t="s">
        <v>979</v>
      </c>
      <c r="Z398" t="s">
        <v>991</v>
      </c>
      <c r="AA398" t="s">
        <v>1600</v>
      </c>
      <c r="AB398" t="s">
        <v>908</v>
      </c>
      <c r="AC398" t="s">
        <v>945</v>
      </c>
      <c r="AD398" t="s">
        <v>1028</v>
      </c>
      <c r="AE398">
        <v>7.4</v>
      </c>
      <c r="AF398">
        <v>7.4635000000000007</v>
      </c>
    </row>
    <row r="399" spans="1:32" x14ac:dyDescent="0.25">
      <c r="A399" s="191" t="s">
        <v>2306</v>
      </c>
      <c r="B399" t="s">
        <v>2307</v>
      </c>
      <c r="C399" t="s">
        <v>1176</v>
      </c>
      <c r="D399" t="s">
        <v>1069</v>
      </c>
      <c r="E399" t="s">
        <v>56</v>
      </c>
      <c r="F399" t="s">
        <v>1031</v>
      </c>
      <c r="G399" t="s">
        <v>1717</v>
      </c>
      <c r="H399" t="s">
        <v>1081</v>
      </c>
      <c r="I399" t="s">
        <v>1600</v>
      </c>
      <c r="J399" t="s">
        <v>1600</v>
      </c>
      <c r="K399" t="s">
        <v>927</v>
      </c>
      <c r="L399" t="s">
        <v>1600</v>
      </c>
      <c r="M399" t="s">
        <v>1600</v>
      </c>
      <c r="N399" t="s">
        <v>927</v>
      </c>
      <c r="O399" t="s">
        <v>1600</v>
      </c>
      <c r="P399" t="s">
        <v>1600</v>
      </c>
      <c r="Q399" t="s">
        <v>927</v>
      </c>
      <c r="R399" t="s">
        <v>927</v>
      </c>
      <c r="S399" t="s">
        <v>1600</v>
      </c>
      <c r="T399" t="s">
        <v>1600</v>
      </c>
      <c r="U399" t="s">
        <v>927</v>
      </c>
      <c r="V399" t="s">
        <v>1600</v>
      </c>
      <c r="W399" t="s">
        <v>991</v>
      </c>
      <c r="X399" t="s">
        <v>991</v>
      </c>
      <c r="Y399" t="s">
        <v>934</v>
      </c>
      <c r="Z399" t="s">
        <v>1600</v>
      </c>
      <c r="AA399" t="s">
        <v>1600</v>
      </c>
      <c r="AB399" t="s">
        <v>969</v>
      </c>
      <c r="AC399" t="s">
        <v>934</v>
      </c>
      <c r="AD399" t="s">
        <v>1600</v>
      </c>
      <c r="AE399">
        <v>0</v>
      </c>
      <c r="AF399" t="e">
        <v>#VALUE!</v>
      </c>
    </row>
    <row r="400" spans="1:32" x14ac:dyDescent="0.25">
      <c r="A400" s="191" t="s">
        <v>2308</v>
      </c>
      <c r="B400" t="s">
        <v>412</v>
      </c>
      <c r="C400" t="s">
        <v>973</v>
      </c>
      <c r="D400" t="s">
        <v>129</v>
      </c>
      <c r="E400" t="s">
        <v>72</v>
      </c>
      <c r="F400" t="s">
        <v>1489</v>
      </c>
      <c r="G400" t="s">
        <v>1106</v>
      </c>
      <c r="H400" t="s">
        <v>977</v>
      </c>
      <c r="I400" t="s">
        <v>964</v>
      </c>
      <c r="J400" t="s">
        <v>909</v>
      </c>
      <c r="K400" t="s">
        <v>2024</v>
      </c>
      <c r="L400" t="s">
        <v>934</v>
      </c>
      <c r="M400" t="s">
        <v>969</v>
      </c>
      <c r="N400" t="s">
        <v>2309</v>
      </c>
      <c r="O400" t="s">
        <v>1220</v>
      </c>
      <c r="P400" t="s">
        <v>1005</v>
      </c>
      <c r="Q400" t="s">
        <v>1352</v>
      </c>
      <c r="R400" t="s">
        <v>1208</v>
      </c>
      <c r="S400" t="s">
        <v>1008</v>
      </c>
      <c r="T400" t="s">
        <v>945</v>
      </c>
      <c r="U400" t="s">
        <v>1561</v>
      </c>
      <c r="V400" t="s">
        <v>968</v>
      </c>
      <c r="W400" t="s">
        <v>1155</v>
      </c>
      <c r="X400" t="s">
        <v>1092</v>
      </c>
      <c r="Y400" t="s">
        <v>923</v>
      </c>
      <c r="Z400" t="s">
        <v>987</v>
      </c>
      <c r="AA400" t="s">
        <v>1008</v>
      </c>
      <c r="AB400" t="s">
        <v>987</v>
      </c>
      <c r="AC400" t="s">
        <v>1230</v>
      </c>
      <c r="AD400" t="s">
        <v>1006</v>
      </c>
      <c r="AE400">
        <v>6.7</v>
      </c>
      <c r="AF400">
        <v>6.6090000000000009</v>
      </c>
    </row>
    <row r="401" spans="1:32" x14ac:dyDescent="0.25">
      <c r="A401" s="191" t="s">
        <v>2678</v>
      </c>
      <c r="B401" t="s">
        <v>2679</v>
      </c>
      <c r="C401" t="s">
        <v>1032</v>
      </c>
      <c r="D401" t="s">
        <v>1223</v>
      </c>
      <c r="E401" t="s">
        <v>56</v>
      </c>
      <c r="F401" t="s">
        <v>928</v>
      </c>
      <c r="G401" t="s">
        <v>1717</v>
      </c>
      <c r="H401" t="s">
        <v>956</v>
      </c>
      <c r="I401" t="s">
        <v>1065</v>
      </c>
      <c r="J401" t="s">
        <v>1065</v>
      </c>
      <c r="K401" t="s">
        <v>2146</v>
      </c>
      <c r="L401" t="s">
        <v>1600</v>
      </c>
      <c r="M401" t="s">
        <v>1600</v>
      </c>
      <c r="N401" t="s">
        <v>927</v>
      </c>
      <c r="O401" t="s">
        <v>1065</v>
      </c>
      <c r="P401" t="s">
        <v>1065</v>
      </c>
      <c r="Q401" t="s">
        <v>2146</v>
      </c>
      <c r="R401" t="s">
        <v>2146</v>
      </c>
      <c r="S401" t="s">
        <v>1600</v>
      </c>
      <c r="T401" t="s">
        <v>1600</v>
      </c>
      <c r="U401" t="s">
        <v>927</v>
      </c>
      <c r="V401" t="s">
        <v>1065</v>
      </c>
      <c r="W401" t="s">
        <v>1600</v>
      </c>
      <c r="X401" t="s">
        <v>1065</v>
      </c>
      <c r="Y401" t="s">
        <v>1065</v>
      </c>
      <c r="Z401" t="s">
        <v>1065</v>
      </c>
      <c r="AA401" t="s">
        <v>1600</v>
      </c>
      <c r="AB401" t="s">
        <v>1600</v>
      </c>
      <c r="AC401" t="s">
        <v>1065</v>
      </c>
      <c r="AD401" t="s">
        <v>923</v>
      </c>
      <c r="AE401">
        <v>1</v>
      </c>
      <c r="AF401" t="e">
        <v>#VALUE!</v>
      </c>
    </row>
    <row r="402" spans="1:32" x14ac:dyDescent="0.25">
      <c r="A402" s="191" t="s">
        <v>2312</v>
      </c>
      <c r="B402" t="s">
        <v>2313</v>
      </c>
      <c r="C402" t="s">
        <v>1084</v>
      </c>
      <c r="D402" t="s">
        <v>97</v>
      </c>
      <c r="E402" t="s">
        <v>56</v>
      </c>
      <c r="F402" t="s">
        <v>1489</v>
      </c>
      <c r="G402" t="s">
        <v>901</v>
      </c>
      <c r="H402" t="s">
        <v>1454</v>
      </c>
      <c r="I402" t="s">
        <v>924</v>
      </c>
      <c r="J402" t="s">
        <v>962</v>
      </c>
      <c r="K402" t="s">
        <v>1258</v>
      </c>
      <c r="L402" t="s">
        <v>923</v>
      </c>
      <c r="M402" t="s">
        <v>1220</v>
      </c>
      <c r="N402" t="s">
        <v>2226</v>
      </c>
      <c r="O402" t="s">
        <v>1230</v>
      </c>
      <c r="P402" t="s">
        <v>993</v>
      </c>
      <c r="Q402" t="s">
        <v>1209</v>
      </c>
      <c r="R402" t="s">
        <v>1559</v>
      </c>
      <c r="S402" t="s">
        <v>987</v>
      </c>
      <c r="T402" t="s">
        <v>918</v>
      </c>
      <c r="U402" t="s">
        <v>1159</v>
      </c>
      <c r="V402" t="s">
        <v>1094</v>
      </c>
      <c r="W402" t="s">
        <v>918</v>
      </c>
      <c r="X402" t="s">
        <v>945</v>
      </c>
      <c r="Y402" t="s">
        <v>947</v>
      </c>
      <c r="Z402" t="s">
        <v>969</v>
      </c>
      <c r="AA402" t="s">
        <v>1119</v>
      </c>
      <c r="AB402" t="s">
        <v>918</v>
      </c>
      <c r="AC402" t="s">
        <v>1195</v>
      </c>
      <c r="AD402" t="s">
        <v>1006</v>
      </c>
      <c r="AE402">
        <v>6.6</v>
      </c>
      <c r="AF402">
        <v>6.5979000000000001</v>
      </c>
    </row>
    <row r="403" spans="1:32" x14ac:dyDescent="0.25">
      <c r="A403" s="191" t="s">
        <v>2314</v>
      </c>
      <c r="B403" t="s">
        <v>277</v>
      </c>
      <c r="C403" t="s">
        <v>1084</v>
      </c>
      <c r="D403" t="s">
        <v>156</v>
      </c>
      <c r="E403" t="s">
        <v>63</v>
      </c>
      <c r="F403" t="s">
        <v>1293</v>
      </c>
      <c r="G403" t="s">
        <v>1031</v>
      </c>
      <c r="H403" t="s">
        <v>1109</v>
      </c>
      <c r="I403" t="s">
        <v>993</v>
      </c>
      <c r="J403" t="s">
        <v>985</v>
      </c>
      <c r="K403" t="s">
        <v>1206</v>
      </c>
      <c r="L403" t="s">
        <v>923</v>
      </c>
      <c r="M403" t="s">
        <v>979</v>
      </c>
      <c r="N403" t="s">
        <v>1320</v>
      </c>
      <c r="O403" t="s">
        <v>1310</v>
      </c>
      <c r="P403" t="s">
        <v>1220</v>
      </c>
      <c r="Q403" t="s">
        <v>914</v>
      </c>
      <c r="R403" t="s">
        <v>1795</v>
      </c>
      <c r="S403" t="s">
        <v>1008</v>
      </c>
      <c r="T403" t="s">
        <v>918</v>
      </c>
      <c r="U403" t="s">
        <v>1616</v>
      </c>
      <c r="V403" t="s">
        <v>987</v>
      </c>
      <c r="W403" t="s">
        <v>1104</v>
      </c>
      <c r="X403" t="s">
        <v>992</v>
      </c>
      <c r="Y403" t="s">
        <v>956</v>
      </c>
      <c r="Z403" t="s">
        <v>991</v>
      </c>
      <c r="AA403" t="s">
        <v>1094</v>
      </c>
      <c r="AB403" t="s">
        <v>945</v>
      </c>
      <c r="AC403" t="s">
        <v>922</v>
      </c>
      <c r="AD403" t="s">
        <v>1006</v>
      </c>
      <c r="AE403">
        <v>6.7</v>
      </c>
      <c r="AF403">
        <v>6.6623999999999999</v>
      </c>
    </row>
    <row r="404" spans="1:32" x14ac:dyDescent="0.25">
      <c r="A404" s="191" t="s">
        <v>2315</v>
      </c>
      <c r="B404" t="s">
        <v>2316</v>
      </c>
      <c r="C404" t="s">
        <v>1293</v>
      </c>
      <c r="D404" t="s">
        <v>974</v>
      </c>
      <c r="E404" t="s">
        <v>72</v>
      </c>
      <c r="F404" t="s">
        <v>1535</v>
      </c>
      <c r="G404" t="s">
        <v>1083</v>
      </c>
      <c r="H404" t="s">
        <v>1685</v>
      </c>
      <c r="I404" t="s">
        <v>993</v>
      </c>
      <c r="J404" t="s">
        <v>1046</v>
      </c>
      <c r="K404" t="s">
        <v>1471</v>
      </c>
      <c r="L404" t="s">
        <v>1008</v>
      </c>
      <c r="M404" t="s">
        <v>925</v>
      </c>
      <c r="N404" t="s">
        <v>1351</v>
      </c>
      <c r="O404" t="s">
        <v>922</v>
      </c>
      <c r="P404" t="s">
        <v>1012</v>
      </c>
      <c r="Q404" t="s">
        <v>2317</v>
      </c>
      <c r="R404" t="s">
        <v>1494</v>
      </c>
      <c r="S404" t="s">
        <v>987</v>
      </c>
      <c r="T404" t="s">
        <v>923</v>
      </c>
      <c r="U404" t="s">
        <v>2318</v>
      </c>
      <c r="V404" t="s">
        <v>1195</v>
      </c>
      <c r="W404" t="s">
        <v>993</v>
      </c>
      <c r="X404" t="s">
        <v>1155</v>
      </c>
      <c r="Y404" t="s">
        <v>987</v>
      </c>
      <c r="Z404" t="s">
        <v>991</v>
      </c>
      <c r="AA404" t="s">
        <v>969</v>
      </c>
      <c r="AB404" t="s">
        <v>1065</v>
      </c>
      <c r="AC404" t="s">
        <v>945</v>
      </c>
      <c r="AD404" t="s">
        <v>940</v>
      </c>
      <c r="AE404">
        <v>6.4999999999999991</v>
      </c>
      <c r="AF404">
        <v>6.5884000000000009</v>
      </c>
    </row>
    <row r="405" spans="1:32" x14ac:dyDescent="0.25">
      <c r="A405" s="191" t="s">
        <v>2315</v>
      </c>
      <c r="B405" t="s">
        <v>2316</v>
      </c>
      <c r="C405" t="s">
        <v>1293</v>
      </c>
      <c r="D405" t="s">
        <v>133</v>
      </c>
      <c r="E405" t="s">
        <v>72</v>
      </c>
      <c r="F405" t="s">
        <v>1106</v>
      </c>
      <c r="G405" t="s">
        <v>1717</v>
      </c>
      <c r="H405" t="s">
        <v>1002</v>
      </c>
      <c r="I405" t="s">
        <v>945</v>
      </c>
      <c r="J405" t="s">
        <v>1104</v>
      </c>
      <c r="K405" t="s">
        <v>1729</v>
      </c>
      <c r="L405" t="s">
        <v>969</v>
      </c>
      <c r="M405" t="s">
        <v>922</v>
      </c>
      <c r="N405" t="s">
        <v>1886</v>
      </c>
      <c r="O405" t="s">
        <v>969</v>
      </c>
      <c r="P405" t="s">
        <v>1064</v>
      </c>
      <c r="Q405" t="s">
        <v>1713</v>
      </c>
      <c r="R405" t="s">
        <v>984</v>
      </c>
      <c r="S405" t="s">
        <v>1064</v>
      </c>
      <c r="T405" t="s">
        <v>1064</v>
      </c>
      <c r="U405" t="s">
        <v>2146</v>
      </c>
      <c r="V405" t="s">
        <v>969</v>
      </c>
      <c r="W405" t="s">
        <v>1012</v>
      </c>
      <c r="X405" t="s">
        <v>1048</v>
      </c>
      <c r="Y405" t="s">
        <v>991</v>
      </c>
      <c r="Z405" t="s">
        <v>1119</v>
      </c>
      <c r="AA405" t="s">
        <v>918</v>
      </c>
      <c r="AB405" t="s">
        <v>934</v>
      </c>
      <c r="AC405" t="s">
        <v>918</v>
      </c>
      <c r="AD405" t="s">
        <v>919</v>
      </c>
      <c r="AE405">
        <v>4.0999999999999996</v>
      </c>
      <c r="AF405">
        <v>4.0992999999999995</v>
      </c>
    </row>
    <row r="406" spans="1:32" x14ac:dyDescent="0.25">
      <c r="A406" s="191" t="s">
        <v>2315</v>
      </c>
      <c r="B406" t="s">
        <v>2316</v>
      </c>
      <c r="C406" t="s">
        <v>1293</v>
      </c>
      <c r="D406" t="s">
        <v>170</v>
      </c>
      <c r="E406" t="s">
        <v>72</v>
      </c>
      <c r="F406" t="s">
        <v>1410</v>
      </c>
      <c r="G406" t="s">
        <v>1083</v>
      </c>
      <c r="H406" t="s">
        <v>1439</v>
      </c>
      <c r="I406" t="s">
        <v>1220</v>
      </c>
      <c r="J406" t="s">
        <v>962</v>
      </c>
      <c r="K406" t="s">
        <v>1090</v>
      </c>
      <c r="L406" t="s">
        <v>987</v>
      </c>
      <c r="M406" t="s">
        <v>947</v>
      </c>
      <c r="N406" t="s">
        <v>2319</v>
      </c>
      <c r="O406" t="s">
        <v>1049</v>
      </c>
      <c r="P406" t="s">
        <v>964</v>
      </c>
      <c r="Q406" t="s">
        <v>2320</v>
      </c>
      <c r="R406" t="s">
        <v>1532</v>
      </c>
      <c r="S406" t="s">
        <v>987</v>
      </c>
      <c r="T406" t="s">
        <v>918</v>
      </c>
      <c r="U406" t="s">
        <v>2321</v>
      </c>
      <c r="V406" t="s">
        <v>1230</v>
      </c>
      <c r="W406" t="s">
        <v>993</v>
      </c>
      <c r="X406" t="s">
        <v>1160</v>
      </c>
      <c r="Y406" t="s">
        <v>918</v>
      </c>
      <c r="Z406" t="s">
        <v>1065</v>
      </c>
      <c r="AA406" t="s">
        <v>969</v>
      </c>
      <c r="AB406" t="s">
        <v>1065</v>
      </c>
      <c r="AC406" t="s">
        <v>945</v>
      </c>
      <c r="AD406" t="s">
        <v>1116</v>
      </c>
      <c r="AE406">
        <v>7.0000000000000009</v>
      </c>
      <c r="AF406">
        <v>6.8653000000000013</v>
      </c>
    </row>
    <row r="407" spans="1:32" x14ac:dyDescent="0.25">
      <c r="A407" s="191" t="s">
        <v>2322</v>
      </c>
      <c r="B407" t="s">
        <v>361</v>
      </c>
      <c r="C407" t="s">
        <v>1238</v>
      </c>
      <c r="D407" t="s">
        <v>95</v>
      </c>
      <c r="E407" t="s">
        <v>72</v>
      </c>
      <c r="F407" t="s">
        <v>930</v>
      </c>
      <c r="G407" t="s">
        <v>1376</v>
      </c>
      <c r="H407" t="s">
        <v>1125</v>
      </c>
      <c r="I407" t="s">
        <v>1220</v>
      </c>
      <c r="J407" t="s">
        <v>920</v>
      </c>
      <c r="K407" t="s">
        <v>1114</v>
      </c>
      <c r="L407" t="s">
        <v>934</v>
      </c>
      <c r="M407" t="s">
        <v>1008</v>
      </c>
      <c r="N407" t="s">
        <v>1785</v>
      </c>
      <c r="O407" t="s">
        <v>993</v>
      </c>
      <c r="P407" t="s">
        <v>1170</v>
      </c>
      <c r="Q407" t="s">
        <v>1510</v>
      </c>
      <c r="R407" t="s">
        <v>1192</v>
      </c>
      <c r="S407" t="s">
        <v>918</v>
      </c>
      <c r="T407" t="s">
        <v>1029</v>
      </c>
      <c r="U407" t="s">
        <v>1542</v>
      </c>
      <c r="V407" t="s">
        <v>1048</v>
      </c>
      <c r="W407" t="s">
        <v>1211</v>
      </c>
      <c r="X407" t="s">
        <v>915</v>
      </c>
      <c r="Y407" t="s">
        <v>1064</v>
      </c>
      <c r="Z407" t="s">
        <v>1065</v>
      </c>
      <c r="AA407" t="s">
        <v>1029</v>
      </c>
      <c r="AB407" t="s">
        <v>1064</v>
      </c>
      <c r="AC407" t="s">
        <v>1104</v>
      </c>
      <c r="AD407" t="s">
        <v>940</v>
      </c>
      <c r="AE407">
        <v>6.5</v>
      </c>
      <c r="AF407">
        <v>6.5593999999999992</v>
      </c>
    </row>
    <row r="408" spans="1:32" x14ac:dyDescent="0.25">
      <c r="A408" s="191" t="s">
        <v>2323</v>
      </c>
      <c r="B408" t="s">
        <v>2324</v>
      </c>
      <c r="C408" t="s">
        <v>1164</v>
      </c>
      <c r="D408" t="s">
        <v>1149</v>
      </c>
      <c r="E408" t="s">
        <v>63</v>
      </c>
      <c r="F408" t="s">
        <v>1431</v>
      </c>
      <c r="G408" t="s">
        <v>1162</v>
      </c>
      <c r="H408" t="s">
        <v>1635</v>
      </c>
      <c r="I408" t="s">
        <v>924</v>
      </c>
      <c r="J408" t="s">
        <v>920</v>
      </c>
      <c r="K408" t="s">
        <v>1157</v>
      </c>
      <c r="L408" t="s">
        <v>945</v>
      </c>
      <c r="M408" t="s">
        <v>1220</v>
      </c>
      <c r="N408" t="s">
        <v>1923</v>
      </c>
      <c r="O408" t="s">
        <v>945</v>
      </c>
      <c r="P408" t="s">
        <v>924</v>
      </c>
      <c r="Q408" t="s">
        <v>2084</v>
      </c>
      <c r="R408" t="s">
        <v>1541</v>
      </c>
      <c r="S408" t="s">
        <v>1065</v>
      </c>
      <c r="T408" t="s">
        <v>969</v>
      </c>
      <c r="U408" t="s">
        <v>1102</v>
      </c>
      <c r="V408" t="s">
        <v>991</v>
      </c>
      <c r="W408" t="s">
        <v>1195</v>
      </c>
      <c r="X408" t="s">
        <v>922</v>
      </c>
      <c r="Y408" t="s">
        <v>918</v>
      </c>
      <c r="Z408" t="s">
        <v>991</v>
      </c>
      <c r="AA408" t="s">
        <v>1119</v>
      </c>
      <c r="AB408" t="s">
        <v>1065</v>
      </c>
      <c r="AC408" t="s">
        <v>918</v>
      </c>
      <c r="AD408" t="s">
        <v>940</v>
      </c>
      <c r="AE408">
        <v>6.5</v>
      </c>
      <c r="AF408">
        <v>6.5149999999999997</v>
      </c>
    </row>
    <row r="409" spans="1:32" x14ac:dyDescent="0.25">
      <c r="A409" s="191" t="s">
        <v>2325</v>
      </c>
      <c r="B409" t="s">
        <v>295</v>
      </c>
      <c r="C409" t="s">
        <v>1015</v>
      </c>
      <c r="D409" t="s">
        <v>133</v>
      </c>
      <c r="E409" t="s">
        <v>47</v>
      </c>
      <c r="F409" t="s">
        <v>1322</v>
      </c>
      <c r="G409" t="s">
        <v>1187</v>
      </c>
      <c r="H409" t="s">
        <v>1221</v>
      </c>
      <c r="I409" t="s">
        <v>924</v>
      </c>
      <c r="J409" t="s">
        <v>1043</v>
      </c>
      <c r="K409" t="s">
        <v>1555</v>
      </c>
      <c r="L409" t="s">
        <v>945</v>
      </c>
      <c r="M409" t="s">
        <v>946</v>
      </c>
      <c r="N409" t="s">
        <v>2226</v>
      </c>
      <c r="O409" t="s">
        <v>945</v>
      </c>
      <c r="P409" t="s">
        <v>908</v>
      </c>
      <c r="Q409" t="s">
        <v>1218</v>
      </c>
      <c r="R409" t="s">
        <v>1227</v>
      </c>
      <c r="S409" t="s">
        <v>991</v>
      </c>
      <c r="T409" t="s">
        <v>969</v>
      </c>
      <c r="U409" t="s">
        <v>2326</v>
      </c>
      <c r="V409" t="s">
        <v>923</v>
      </c>
      <c r="W409" t="s">
        <v>924</v>
      </c>
      <c r="X409" t="s">
        <v>1000</v>
      </c>
      <c r="Y409" t="s">
        <v>1310</v>
      </c>
      <c r="Z409" t="s">
        <v>918</v>
      </c>
      <c r="AA409" t="s">
        <v>1065</v>
      </c>
      <c r="AB409" t="s">
        <v>1008</v>
      </c>
      <c r="AC409" t="s">
        <v>925</v>
      </c>
      <c r="AD409" t="s">
        <v>940</v>
      </c>
      <c r="AE409">
        <v>6.4</v>
      </c>
      <c r="AF409">
        <v>6.4931999999999999</v>
      </c>
    </row>
    <row r="410" spans="1:32" x14ac:dyDescent="0.25">
      <c r="A410" s="191" t="s">
        <v>2327</v>
      </c>
      <c r="B410" t="s">
        <v>2328</v>
      </c>
      <c r="C410" t="s">
        <v>1084</v>
      </c>
      <c r="D410" t="s">
        <v>131</v>
      </c>
      <c r="E410" t="s">
        <v>63</v>
      </c>
      <c r="F410" t="s">
        <v>1165</v>
      </c>
      <c r="G410" t="s">
        <v>1717</v>
      </c>
      <c r="H410" t="s">
        <v>1236</v>
      </c>
      <c r="I410" t="s">
        <v>947</v>
      </c>
      <c r="J410" t="s">
        <v>920</v>
      </c>
      <c r="K410" t="s">
        <v>1776</v>
      </c>
      <c r="L410" t="s">
        <v>1008</v>
      </c>
      <c r="M410" t="s">
        <v>908</v>
      </c>
      <c r="N410" t="s">
        <v>2329</v>
      </c>
      <c r="O410" t="s">
        <v>1029</v>
      </c>
      <c r="P410" t="s">
        <v>964</v>
      </c>
      <c r="Q410" t="s">
        <v>1004</v>
      </c>
      <c r="R410" t="s">
        <v>1074</v>
      </c>
      <c r="S410" t="s">
        <v>945</v>
      </c>
      <c r="T410" t="s">
        <v>922</v>
      </c>
      <c r="U410" t="s">
        <v>2330</v>
      </c>
      <c r="V410" t="s">
        <v>1094</v>
      </c>
      <c r="W410" t="s">
        <v>1230</v>
      </c>
      <c r="X410" t="s">
        <v>922</v>
      </c>
      <c r="Y410" t="s">
        <v>1230</v>
      </c>
      <c r="Z410" t="s">
        <v>991</v>
      </c>
      <c r="AA410" t="s">
        <v>934</v>
      </c>
      <c r="AB410" t="s">
        <v>1008</v>
      </c>
      <c r="AC410" t="s">
        <v>923</v>
      </c>
      <c r="AD410" t="s">
        <v>940</v>
      </c>
      <c r="AE410">
        <v>6.4999999999999991</v>
      </c>
      <c r="AF410">
        <v>6.5215000000000005</v>
      </c>
    </row>
    <row r="411" spans="1:32" x14ac:dyDescent="0.25">
      <c r="A411" s="191" t="s">
        <v>2331</v>
      </c>
      <c r="B411" t="s">
        <v>2332</v>
      </c>
      <c r="C411" t="s">
        <v>950</v>
      </c>
      <c r="D411" t="s">
        <v>121</v>
      </c>
      <c r="E411" t="s">
        <v>93</v>
      </c>
      <c r="F411" t="s">
        <v>1377</v>
      </c>
      <c r="G411" t="s">
        <v>1031</v>
      </c>
      <c r="H411" t="s">
        <v>1314</v>
      </c>
      <c r="I411" t="s">
        <v>947</v>
      </c>
      <c r="J411" t="s">
        <v>1329</v>
      </c>
      <c r="K411" t="s">
        <v>1240</v>
      </c>
      <c r="L411" t="s">
        <v>945</v>
      </c>
      <c r="M411" t="s">
        <v>1000</v>
      </c>
      <c r="N411" t="s">
        <v>1267</v>
      </c>
      <c r="O411" t="s">
        <v>1064</v>
      </c>
      <c r="P411" t="s">
        <v>956</v>
      </c>
      <c r="Q411" t="s">
        <v>1057</v>
      </c>
      <c r="R411" t="s">
        <v>1171</v>
      </c>
      <c r="S411" t="s">
        <v>987</v>
      </c>
      <c r="T411" t="s">
        <v>945</v>
      </c>
      <c r="U411" t="s">
        <v>2333</v>
      </c>
      <c r="V411" t="s">
        <v>945</v>
      </c>
      <c r="W411" t="s">
        <v>1000</v>
      </c>
      <c r="X411" t="s">
        <v>1211</v>
      </c>
      <c r="Y411" t="s">
        <v>945</v>
      </c>
      <c r="Z411" t="s">
        <v>969</v>
      </c>
      <c r="AA411" t="s">
        <v>1094</v>
      </c>
      <c r="AB411" t="s">
        <v>969</v>
      </c>
      <c r="AC411" t="s">
        <v>945</v>
      </c>
      <c r="AD411" t="s">
        <v>940</v>
      </c>
      <c r="AE411">
        <v>6.5999999999999988</v>
      </c>
      <c r="AF411">
        <v>6.5440000000000005</v>
      </c>
    </row>
    <row r="412" spans="1:32" x14ac:dyDescent="0.25">
      <c r="A412" s="191" t="s">
        <v>2334</v>
      </c>
      <c r="B412" t="s">
        <v>2335</v>
      </c>
      <c r="C412" t="s">
        <v>995</v>
      </c>
      <c r="D412" t="s">
        <v>48</v>
      </c>
      <c r="E412" t="s">
        <v>63</v>
      </c>
      <c r="F412" t="s">
        <v>1068</v>
      </c>
      <c r="G412" t="s">
        <v>901</v>
      </c>
      <c r="H412" t="s">
        <v>1296</v>
      </c>
      <c r="I412" t="s">
        <v>993</v>
      </c>
      <c r="J412" t="s">
        <v>1005</v>
      </c>
      <c r="K412" t="s">
        <v>1451</v>
      </c>
      <c r="L412" t="s">
        <v>969</v>
      </c>
      <c r="M412" t="s">
        <v>922</v>
      </c>
      <c r="N412" t="s">
        <v>1111</v>
      </c>
      <c r="O412" t="s">
        <v>1049</v>
      </c>
      <c r="P412" t="s">
        <v>1000</v>
      </c>
      <c r="Q412" t="s">
        <v>1370</v>
      </c>
      <c r="R412" t="s">
        <v>1522</v>
      </c>
      <c r="S412" t="s">
        <v>987</v>
      </c>
      <c r="T412" t="s">
        <v>923</v>
      </c>
      <c r="U412" t="s">
        <v>1243</v>
      </c>
      <c r="V412" t="s">
        <v>1065</v>
      </c>
      <c r="W412" t="s">
        <v>1230</v>
      </c>
      <c r="X412" t="s">
        <v>1049</v>
      </c>
      <c r="Y412" t="s">
        <v>968</v>
      </c>
      <c r="Z412" t="s">
        <v>1008</v>
      </c>
      <c r="AA412" t="s">
        <v>1119</v>
      </c>
      <c r="AB412" t="s">
        <v>987</v>
      </c>
      <c r="AC412" t="s">
        <v>1049</v>
      </c>
      <c r="AD412" t="s">
        <v>940</v>
      </c>
      <c r="AE412">
        <v>6.3999999999999995</v>
      </c>
      <c r="AF412">
        <v>6.5086999999999993</v>
      </c>
    </row>
    <row r="413" spans="1:32" x14ac:dyDescent="0.25">
      <c r="A413" s="191" t="s">
        <v>2696</v>
      </c>
      <c r="B413" t="s">
        <v>2697</v>
      </c>
      <c r="C413" t="s">
        <v>1015</v>
      </c>
      <c r="D413" t="s">
        <v>1223</v>
      </c>
      <c r="E413" t="s">
        <v>56</v>
      </c>
      <c r="F413" t="s">
        <v>1390</v>
      </c>
      <c r="G413" t="s">
        <v>1717</v>
      </c>
      <c r="H413" t="s">
        <v>921</v>
      </c>
      <c r="I413" t="s">
        <v>1064</v>
      </c>
      <c r="J413" t="s">
        <v>1012</v>
      </c>
      <c r="K413" t="s">
        <v>1538</v>
      </c>
      <c r="L413" t="s">
        <v>1119</v>
      </c>
      <c r="M413" t="s">
        <v>969</v>
      </c>
      <c r="N413" t="s">
        <v>2600</v>
      </c>
      <c r="O413" t="s">
        <v>918</v>
      </c>
      <c r="P413" t="s">
        <v>956</v>
      </c>
      <c r="Q413" t="s">
        <v>1923</v>
      </c>
      <c r="R413" t="s">
        <v>1448</v>
      </c>
      <c r="S413" t="s">
        <v>1094</v>
      </c>
      <c r="T413" t="s">
        <v>991</v>
      </c>
      <c r="U413" t="s">
        <v>1566</v>
      </c>
      <c r="V413" t="s">
        <v>991</v>
      </c>
      <c r="W413" t="s">
        <v>987</v>
      </c>
      <c r="X413" t="s">
        <v>945</v>
      </c>
      <c r="Y413" t="s">
        <v>945</v>
      </c>
      <c r="Z413" t="s">
        <v>991</v>
      </c>
      <c r="AA413" t="s">
        <v>1119</v>
      </c>
      <c r="AB413" t="s">
        <v>1065</v>
      </c>
      <c r="AC413" t="s">
        <v>1065</v>
      </c>
      <c r="AD413" t="s">
        <v>993</v>
      </c>
      <c r="AE413">
        <v>2.5999999999999996</v>
      </c>
      <c r="AF413">
        <v>2.5258000000000003</v>
      </c>
    </row>
    <row r="414" spans="1:32" x14ac:dyDescent="0.25">
      <c r="A414" s="191" t="s">
        <v>2338</v>
      </c>
      <c r="B414" t="s">
        <v>2339</v>
      </c>
      <c r="C414" t="s">
        <v>1293</v>
      </c>
      <c r="D414" t="s">
        <v>974</v>
      </c>
      <c r="E414" t="s">
        <v>93</v>
      </c>
      <c r="F414" t="s">
        <v>1446</v>
      </c>
      <c r="G414" t="s">
        <v>1137</v>
      </c>
      <c r="H414" t="s">
        <v>1527</v>
      </c>
      <c r="I414" t="s">
        <v>924</v>
      </c>
      <c r="J414" t="s">
        <v>957</v>
      </c>
      <c r="K414" t="s">
        <v>1262</v>
      </c>
      <c r="L414" t="s">
        <v>1065</v>
      </c>
      <c r="M414" t="s">
        <v>922</v>
      </c>
      <c r="N414" t="s">
        <v>1763</v>
      </c>
      <c r="O414" t="s">
        <v>1049</v>
      </c>
      <c r="P414" t="s">
        <v>946</v>
      </c>
      <c r="Q414" t="s">
        <v>942</v>
      </c>
      <c r="R414" t="s">
        <v>1192</v>
      </c>
      <c r="S414" t="s">
        <v>1064</v>
      </c>
      <c r="T414" t="s">
        <v>945</v>
      </c>
      <c r="U414" t="s">
        <v>2340</v>
      </c>
      <c r="V414" t="s">
        <v>1029</v>
      </c>
      <c r="W414" t="s">
        <v>964</v>
      </c>
      <c r="X414" t="s">
        <v>1047</v>
      </c>
      <c r="Y414" t="s">
        <v>922</v>
      </c>
      <c r="Z414" t="s">
        <v>1065</v>
      </c>
      <c r="AA414" t="s">
        <v>1065</v>
      </c>
      <c r="AB414" t="s">
        <v>918</v>
      </c>
      <c r="AC414" t="s">
        <v>908</v>
      </c>
      <c r="AD414" t="s">
        <v>921</v>
      </c>
      <c r="AE414">
        <v>6.4</v>
      </c>
      <c r="AF414">
        <v>6.3042000000000007</v>
      </c>
    </row>
    <row r="415" spans="1:32" x14ac:dyDescent="0.25">
      <c r="A415" s="191" t="s">
        <v>2338</v>
      </c>
      <c r="B415" t="s">
        <v>2339</v>
      </c>
      <c r="C415" t="s">
        <v>1293</v>
      </c>
      <c r="D415" t="s">
        <v>70</v>
      </c>
      <c r="E415" t="s">
        <v>72</v>
      </c>
      <c r="F415" t="s">
        <v>1068</v>
      </c>
      <c r="G415" t="s">
        <v>972</v>
      </c>
      <c r="H415" t="s">
        <v>931</v>
      </c>
      <c r="I415" t="s">
        <v>922</v>
      </c>
      <c r="J415" t="s">
        <v>1030</v>
      </c>
      <c r="K415" t="s">
        <v>1709</v>
      </c>
      <c r="L415" t="s">
        <v>991</v>
      </c>
      <c r="M415" t="s">
        <v>1195</v>
      </c>
      <c r="N415" t="s">
        <v>2259</v>
      </c>
      <c r="O415" t="s">
        <v>1195</v>
      </c>
      <c r="P415" t="s">
        <v>924</v>
      </c>
      <c r="Q415" t="s">
        <v>1042</v>
      </c>
      <c r="R415" t="s">
        <v>1090</v>
      </c>
      <c r="S415" t="s">
        <v>918</v>
      </c>
      <c r="T415" t="s">
        <v>923</v>
      </c>
      <c r="U415" t="s">
        <v>1397</v>
      </c>
      <c r="V415" t="s">
        <v>1064</v>
      </c>
      <c r="W415" t="s">
        <v>968</v>
      </c>
      <c r="X415" t="s">
        <v>1104</v>
      </c>
      <c r="Y415" t="s">
        <v>1230</v>
      </c>
      <c r="Z415" t="s">
        <v>991</v>
      </c>
      <c r="AA415" t="s">
        <v>991</v>
      </c>
      <c r="AB415" t="s">
        <v>969</v>
      </c>
      <c r="AC415" t="s">
        <v>1049</v>
      </c>
      <c r="AD415" t="s">
        <v>1211</v>
      </c>
      <c r="AE415">
        <v>4.7</v>
      </c>
      <c r="AF415">
        <v>4.6972000000000005</v>
      </c>
    </row>
    <row r="416" spans="1:32" x14ac:dyDescent="0.25">
      <c r="A416" s="194" t="s">
        <v>2338</v>
      </c>
      <c r="B416" t="s">
        <v>2339</v>
      </c>
      <c r="C416" t="s">
        <v>1293</v>
      </c>
      <c r="D416" t="s">
        <v>131</v>
      </c>
      <c r="E416" t="s">
        <v>93</v>
      </c>
      <c r="F416" t="s">
        <v>1015</v>
      </c>
      <c r="G416" t="s">
        <v>1083</v>
      </c>
      <c r="H416" t="s">
        <v>932</v>
      </c>
      <c r="I416" t="s">
        <v>970</v>
      </c>
      <c r="J416" t="s">
        <v>1059</v>
      </c>
      <c r="K416" t="s">
        <v>1369</v>
      </c>
      <c r="L416" t="s">
        <v>969</v>
      </c>
      <c r="M416" t="s">
        <v>908</v>
      </c>
      <c r="N416" t="s">
        <v>2341</v>
      </c>
      <c r="O416" t="s">
        <v>1012</v>
      </c>
      <c r="P416" t="s">
        <v>1160</v>
      </c>
      <c r="Q416" t="s">
        <v>2320</v>
      </c>
      <c r="R416" t="s">
        <v>1561</v>
      </c>
      <c r="S416" t="s">
        <v>1230</v>
      </c>
      <c r="T416" t="s">
        <v>1310</v>
      </c>
      <c r="U416" t="s">
        <v>2342</v>
      </c>
      <c r="V416" t="s">
        <v>947</v>
      </c>
      <c r="W416" t="s">
        <v>1103</v>
      </c>
      <c r="X416" t="s">
        <v>1112</v>
      </c>
      <c r="Y416" t="s">
        <v>908</v>
      </c>
      <c r="Z416" t="s">
        <v>1065</v>
      </c>
      <c r="AA416" t="s">
        <v>1065</v>
      </c>
      <c r="AB416" t="s">
        <v>1195</v>
      </c>
      <c r="AC416" t="s">
        <v>925</v>
      </c>
      <c r="AD416" t="s">
        <v>1152</v>
      </c>
      <c r="AE416">
        <v>8.6</v>
      </c>
      <c r="AF416">
        <v>8.6</v>
      </c>
    </row>
    <row r="417" spans="1:32" x14ac:dyDescent="0.25">
      <c r="A417" s="191" t="s">
        <v>2343</v>
      </c>
      <c r="B417" t="s">
        <v>204</v>
      </c>
      <c r="C417" t="s">
        <v>929</v>
      </c>
      <c r="D417" t="s">
        <v>79</v>
      </c>
      <c r="E417" t="s">
        <v>56</v>
      </c>
      <c r="F417" t="s">
        <v>1322</v>
      </c>
      <c r="G417" t="s">
        <v>1165</v>
      </c>
      <c r="H417" t="s">
        <v>1899</v>
      </c>
      <c r="I417" t="s">
        <v>1012</v>
      </c>
      <c r="J417" t="s">
        <v>1126</v>
      </c>
      <c r="K417" t="s">
        <v>1577</v>
      </c>
      <c r="L417" t="s">
        <v>923</v>
      </c>
      <c r="M417" t="s">
        <v>1135</v>
      </c>
      <c r="N417" t="s">
        <v>2238</v>
      </c>
      <c r="O417" t="s">
        <v>1029</v>
      </c>
      <c r="P417" t="s">
        <v>964</v>
      </c>
      <c r="Q417" t="s">
        <v>1209</v>
      </c>
      <c r="R417" t="s">
        <v>1144</v>
      </c>
      <c r="S417" t="s">
        <v>934</v>
      </c>
      <c r="T417" t="s">
        <v>1094</v>
      </c>
      <c r="U417" t="s">
        <v>2121</v>
      </c>
      <c r="V417" t="s">
        <v>1008</v>
      </c>
      <c r="W417" t="s">
        <v>1220</v>
      </c>
      <c r="X417" t="s">
        <v>1000</v>
      </c>
      <c r="Y417" t="s">
        <v>1104</v>
      </c>
      <c r="Z417" t="s">
        <v>922</v>
      </c>
      <c r="AA417" t="s">
        <v>991</v>
      </c>
      <c r="AB417" t="s">
        <v>923</v>
      </c>
      <c r="AC417" t="s">
        <v>1220</v>
      </c>
      <c r="AD417" t="s">
        <v>921</v>
      </c>
      <c r="AE417">
        <v>6.4</v>
      </c>
      <c r="AF417">
        <v>6.4038000000000013</v>
      </c>
    </row>
    <row r="418" spans="1:32" x14ac:dyDescent="0.25">
      <c r="A418" s="191" t="s">
        <v>2344</v>
      </c>
      <c r="B418" t="s">
        <v>2345</v>
      </c>
      <c r="C418" t="s">
        <v>1232</v>
      </c>
      <c r="D418" t="s">
        <v>97</v>
      </c>
      <c r="E418" t="s">
        <v>47</v>
      </c>
      <c r="F418" t="s">
        <v>1598</v>
      </c>
      <c r="G418" t="s">
        <v>928</v>
      </c>
      <c r="H418" t="s">
        <v>1635</v>
      </c>
      <c r="I418" t="s">
        <v>924</v>
      </c>
      <c r="J418" t="s">
        <v>1005</v>
      </c>
      <c r="K418" t="s">
        <v>1268</v>
      </c>
      <c r="L418" t="s">
        <v>991</v>
      </c>
      <c r="M418" t="s">
        <v>1049</v>
      </c>
      <c r="N418" t="s">
        <v>1957</v>
      </c>
      <c r="O418" t="s">
        <v>956</v>
      </c>
      <c r="P418" t="s">
        <v>970</v>
      </c>
      <c r="Q418" t="s">
        <v>2053</v>
      </c>
      <c r="R418" t="s">
        <v>1208</v>
      </c>
      <c r="S418" t="s">
        <v>1064</v>
      </c>
      <c r="T418" t="s">
        <v>1310</v>
      </c>
      <c r="U418" t="s">
        <v>1484</v>
      </c>
      <c r="V418" t="s">
        <v>1065</v>
      </c>
      <c r="W418" t="s">
        <v>925</v>
      </c>
      <c r="X418" t="s">
        <v>1220</v>
      </c>
      <c r="Y418" t="s">
        <v>923</v>
      </c>
      <c r="Z418" t="s">
        <v>969</v>
      </c>
      <c r="AA418" t="s">
        <v>934</v>
      </c>
      <c r="AB418" t="s">
        <v>918</v>
      </c>
      <c r="AC418" t="s">
        <v>922</v>
      </c>
      <c r="AD418" t="s">
        <v>921</v>
      </c>
      <c r="AE418">
        <v>6.3000000000000007</v>
      </c>
      <c r="AF418">
        <v>6.3788</v>
      </c>
    </row>
    <row r="419" spans="1:32" x14ac:dyDescent="0.25">
      <c r="A419" s="191" t="s">
        <v>2346</v>
      </c>
      <c r="B419" t="s">
        <v>2347</v>
      </c>
      <c r="C419" t="s">
        <v>1084</v>
      </c>
      <c r="D419" t="s">
        <v>974</v>
      </c>
      <c r="E419" t="s">
        <v>93</v>
      </c>
      <c r="F419" t="s">
        <v>1414</v>
      </c>
      <c r="G419" t="s">
        <v>1202</v>
      </c>
      <c r="H419" t="s">
        <v>998</v>
      </c>
      <c r="I419" t="s">
        <v>1012</v>
      </c>
      <c r="J419" t="s">
        <v>957</v>
      </c>
      <c r="K419" t="s">
        <v>1592</v>
      </c>
      <c r="L419" t="s">
        <v>1094</v>
      </c>
      <c r="M419" t="s">
        <v>1195</v>
      </c>
      <c r="N419" t="s">
        <v>1934</v>
      </c>
      <c r="O419" t="s">
        <v>925</v>
      </c>
      <c r="P419" t="s">
        <v>970</v>
      </c>
      <c r="Q419" t="s">
        <v>1891</v>
      </c>
      <c r="R419" t="s">
        <v>1482</v>
      </c>
      <c r="S419" t="s">
        <v>918</v>
      </c>
      <c r="T419" t="s">
        <v>1064</v>
      </c>
      <c r="U419" t="s">
        <v>2348</v>
      </c>
      <c r="V419" t="s">
        <v>1008</v>
      </c>
      <c r="W419" t="s">
        <v>925</v>
      </c>
      <c r="X419" t="s">
        <v>964</v>
      </c>
      <c r="Y419" t="s">
        <v>1064</v>
      </c>
      <c r="Z419" t="s">
        <v>991</v>
      </c>
      <c r="AA419" t="s">
        <v>1065</v>
      </c>
      <c r="AB419" t="s">
        <v>969</v>
      </c>
      <c r="AC419" t="s">
        <v>947</v>
      </c>
      <c r="AD419" t="s">
        <v>921</v>
      </c>
      <c r="AE419">
        <v>6.4</v>
      </c>
      <c r="AF419">
        <v>6.438600000000001</v>
      </c>
    </row>
    <row r="420" spans="1:32" x14ac:dyDescent="0.25">
      <c r="A420" s="191" t="s">
        <v>2346</v>
      </c>
      <c r="B420" t="s">
        <v>2347</v>
      </c>
      <c r="C420" t="s">
        <v>1084</v>
      </c>
      <c r="D420" t="s">
        <v>108</v>
      </c>
      <c r="E420" t="s">
        <v>93</v>
      </c>
      <c r="F420" t="s">
        <v>1084</v>
      </c>
      <c r="G420" t="s">
        <v>1067</v>
      </c>
      <c r="H420" t="s">
        <v>1017</v>
      </c>
      <c r="I420" t="s">
        <v>993</v>
      </c>
      <c r="J420" t="s">
        <v>919</v>
      </c>
      <c r="K420" t="s">
        <v>1780</v>
      </c>
      <c r="L420" t="s">
        <v>1094</v>
      </c>
      <c r="M420" t="s">
        <v>918</v>
      </c>
      <c r="N420" t="s">
        <v>1679</v>
      </c>
      <c r="O420" t="s">
        <v>925</v>
      </c>
      <c r="P420" t="s">
        <v>970</v>
      </c>
      <c r="Q420" t="s">
        <v>1611</v>
      </c>
      <c r="R420" t="s">
        <v>2349</v>
      </c>
      <c r="S420" t="s">
        <v>923</v>
      </c>
      <c r="T420" t="s">
        <v>945</v>
      </c>
      <c r="U420" t="s">
        <v>1884</v>
      </c>
      <c r="V420" t="s">
        <v>918</v>
      </c>
      <c r="W420" t="s">
        <v>908</v>
      </c>
      <c r="X420" t="s">
        <v>1135</v>
      </c>
      <c r="Y420" t="s">
        <v>987</v>
      </c>
      <c r="Z420" t="s">
        <v>1065</v>
      </c>
      <c r="AA420" t="s">
        <v>1008</v>
      </c>
      <c r="AB420" t="s">
        <v>1065</v>
      </c>
      <c r="AC420" t="s">
        <v>1012</v>
      </c>
      <c r="AD420" t="s">
        <v>921</v>
      </c>
      <c r="AE420">
        <v>6.3000000000000007</v>
      </c>
      <c r="AF420">
        <v>6.3678999999999997</v>
      </c>
    </row>
    <row r="421" spans="1:32" x14ac:dyDescent="0.25">
      <c r="A421" s="194" t="s">
        <v>2346</v>
      </c>
      <c r="B421" t="s">
        <v>2347</v>
      </c>
      <c r="C421" t="s">
        <v>1084</v>
      </c>
      <c r="D421" t="s">
        <v>45</v>
      </c>
      <c r="E421" t="s">
        <v>47</v>
      </c>
      <c r="F421" t="s">
        <v>1232</v>
      </c>
      <c r="G421" t="s">
        <v>1096</v>
      </c>
      <c r="H421" t="s">
        <v>1883</v>
      </c>
      <c r="I421" t="s">
        <v>1012</v>
      </c>
      <c r="J421" t="s">
        <v>1329</v>
      </c>
      <c r="K421" t="s">
        <v>1565</v>
      </c>
      <c r="L421" t="s">
        <v>991</v>
      </c>
      <c r="M421" t="s">
        <v>1049</v>
      </c>
      <c r="N421" t="s">
        <v>2350</v>
      </c>
      <c r="O421" t="s">
        <v>947</v>
      </c>
      <c r="P421" t="s">
        <v>1000</v>
      </c>
      <c r="Q421" t="s">
        <v>2219</v>
      </c>
      <c r="R421" t="s">
        <v>1144</v>
      </c>
      <c r="S421" t="s">
        <v>1008</v>
      </c>
      <c r="T421" t="s">
        <v>918</v>
      </c>
      <c r="U421" t="s">
        <v>1680</v>
      </c>
      <c r="V421" t="s">
        <v>1065</v>
      </c>
      <c r="W421" t="s">
        <v>947</v>
      </c>
      <c r="X421" t="s">
        <v>1104</v>
      </c>
      <c r="Y421" t="s">
        <v>1310</v>
      </c>
      <c r="Z421" t="s">
        <v>1094</v>
      </c>
      <c r="AA421" t="s">
        <v>1094</v>
      </c>
      <c r="AB421" t="s">
        <v>969</v>
      </c>
      <c r="AC421" t="s">
        <v>908</v>
      </c>
      <c r="AD421" t="s">
        <v>1044</v>
      </c>
      <c r="AE421">
        <v>6.3000000000000007</v>
      </c>
      <c r="AF421">
        <v>6.3611000000000013</v>
      </c>
    </row>
    <row r="422" spans="1:32" x14ac:dyDescent="0.25">
      <c r="A422" s="191" t="s">
        <v>2351</v>
      </c>
      <c r="B422" t="s">
        <v>192</v>
      </c>
      <c r="C422" t="s">
        <v>1015</v>
      </c>
      <c r="D422" t="s">
        <v>1014</v>
      </c>
      <c r="E422" t="s">
        <v>56</v>
      </c>
      <c r="F422" t="s">
        <v>1052</v>
      </c>
      <c r="G422" t="s">
        <v>1121</v>
      </c>
      <c r="H422" t="s">
        <v>998</v>
      </c>
      <c r="I422" t="s">
        <v>947</v>
      </c>
      <c r="J422" t="s">
        <v>1079</v>
      </c>
      <c r="K422" t="s">
        <v>1719</v>
      </c>
      <c r="L422" t="s">
        <v>1310</v>
      </c>
      <c r="M422" t="s">
        <v>1170</v>
      </c>
      <c r="N422" t="s">
        <v>1886</v>
      </c>
      <c r="O422" t="s">
        <v>987</v>
      </c>
      <c r="P422" t="s">
        <v>1310</v>
      </c>
      <c r="Q422" t="s">
        <v>1615</v>
      </c>
      <c r="R422" t="s">
        <v>1022</v>
      </c>
      <c r="S422" t="s">
        <v>934</v>
      </c>
      <c r="T422" t="s">
        <v>1094</v>
      </c>
      <c r="U422" t="s">
        <v>1999</v>
      </c>
      <c r="V422" t="s">
        <v>1094</v>
      </c>
      <c r="W422" t="s">
        <v>923</v>
      </c>
      <c r="X422" t="s">
        <v>1195</v>
      </c>
      <c r="Y422" t="s">
        <v>1230</v>
      </c>
      <c r="Z422" t="s">
        <v>1008</v>
      </c>
      <c r="AA422" t="s">
        <v>934</v>
      </c>
      <c r="AB422" t="s">
        <v>969</v>
      </c>
      <c r="AC422" t="s">
        <v>908</v>
      </c>
      <c r="AD422" t="s">
        <v>921</v>
      </c>
      <c r="AE422">
        <v>6.3</v>
      </c>
      <c r="AF422">
        <v>6.3638999999999992</v>
      </c>
    </row>
    <row r="423" spans="1:32" x14ac:dyDescent="0.25">
      <c r="A423" s="191" t="s">
        <v>2352</v>
      </c>
      <c r="B423" t="s">
        <v>2353</v>
      </c>
      <c r="C423" t="s">
        <v>973</v>
      </c>
      <c r="D423" t="s">
        <v>70</v>
      </c>
      <c r="E423" t="s">
        <v>93</v>
      </c>
      <c r="F423" t="s">
        <v>1512</v>
      </c>
      <c r="G423" t="s">
        <v>1717</v>
      </c>
      <c r="H423" t="s">
        <v>953</v>
      </c>
      <c r="I423" t="s">
        <v>947</v>
      </c>
      <c r="J423" t="s">
        <v>1211</v>
      </c>
      <c r="K423" t="s">
        <v>2024</v>
      </c>
      <c r="L423" t="s">
        <v>923</v>
      </c>
      <c r="M423" t="s">
        <v>1012</v>
      </c>
      <c r="N423" t="s">
        <v>1411</v>
      </c>
      <c r="O423" t="s">
        <v>1195</v>
      </c>
      <c r="P423" t="s">
        <v>956</v>
      </c>
      <c r="Q423" t="s">
        <v>1880</v>
      </c>
      <c r="R423" t="s">
        <v>1325</v>
      </c>
      <c r="S423" t="s">
        <v>1008</v>
      </c>
      <c r="T423" t="s">
        <v>923</v>
      </c>
      <c r="U423" t="s">
        <v>2254</v>
      </c>
      <c r="V423" t="s">
        <v>923</v>
      </c>
      <c r="W423" t="s">
        <v>956</v>
      </c>
      <c r="X423" t="s">
        <v>946</v>
      </c>
      <c r="Y423" t="s">
        <v>987</v>
      </c>
      <c r="Z423" t="s">
        <v>991</v>
      </c>
      <c r="AA423" t="s">
        <v>1094</v>
      </c>
      <c r="AB423" t="s">
        <v>991</v>
      </c>
      <c r="AC423" t="s">
        <v>923</v>
      </c>
      <c r="AD423" t="s">
        <v>1044</v>
      </c>
      <c r="AE423">
        <v>6.3</v>
      </c>
      <c r="AF423">
        <v>6.3503999999999987</v>
      </c>
    </row>
    <row r="424" spans="1:32" x14ac:dyDescent="0.25">
      <c r="A424" s="191" t="s">
        <v>2354</v>
      </c>
      <c r="B424" t="s">
        <v>2355</v>
      </c>
      <c r="C424" t="s">
        <v>1084</v>
      </c>
      <c r="D424" t="s">
        <v>83</v>
      </c>
      <c r="E424" t="s">
        <v>93</v>
      </c>
      <c r="F424" t="s">
        <v>1535</v>
      </c>
      <c r="G424" t="s">
        <v>1096</v>
      </c>
      <c r="H424" t="s">
        <v>1304</v>
      </c>
      <c r="I424" t="s">
        <v>924</v>
      </c>
      <c r="J424" t="s">
        <v>1043</v>
      </c>
      <c r="K424" t="s">
        <v>1665</v>
      </c>
      <c r="L424" t="s">
        <v>987</v>
      </c>
      <c r="M424" t="s">
        <v>993</v>
      </c>
      <c r="N424" t="s">
        <v>1997</v>
      </c>
      <c r="O424" t="s">
        <v>1310</v>
      </c>
      <c r="P424" t="s">
        <v>1104</v>
      </c>
      <c r="Q424" t="s">
        <v>1522</v>
      </c>
      <c r="R424" t="s">
        <v>984</v>
      </c>
      <c r="S424" t="s">
        <v>1008</v>
      </c>
      <c r="T424" t="s">
        <v>987</v>
      </c>
      <c r="U424" t="s">
        <v>1252</v>
      </c>
      <c r="V424" t="s">
        <v>922</v>
      </c>
      <c r="W424" t="s">
        <v>946</v>
      </c>
      <c r="X424" t="s">
        <v>1134</v>
      </c>
      <c r="Y424" t="s">
        <v>1195</v>
      </c>
      <c r="Z424" t="s">
        <v>969</v>
      </c>
      <c r="AA424" t="s">
        <v>1119</v>
      </c>
      <c r="AB424" t="s">
        <v>987</v>
      </c>
      <c r="AC424" t="s">
        <v>945</v>
      </c>
      <c r="AD424" t="s">
        <v>1044</v>
      </c>
      <c r="AE424">
        <v>6.3</v>
      </c>
      <c r="AF424">
        <v>6.3455000000000004</v>
      </c>
    </row>
    <row r="425" spans="1:32" x14ac:dyDescent="0.25">
      <c r="A425" s="191" t="s">
        <v>2356</v>
      </c>
      <c r="B425" t="s">
        <v>2357</v>
      </c>
      <c r="C425" t="s">
        <v>929</v>
      </c>
      <c r="D425" t="s">
        <v>48</v>
      </c>
      <c r="E425" t="s">
        <v>93</v>
      </c>
      <c r="F425" t="s">
        <v>1377</v>
      </c>
      <c r="G425" t="s">
        <v>1067</v>
      </c>
      <c r="H425" t="s">
        <v>1345</v>
      </c>
      <c r="I425" t="s">
        <v>993</v>
      </c>
      <c r="J425" t="s">
        <v>1005</v>
      </c>
      <c r="K425" t="s">
        <v>1466</v>
      </c>
      <c r="L425" t="s">
        <v>923</v>
      </c>
      <c r="M425" t="s">
        <v>993</v>
      </c>
      <c r="N425" t="s">
        <v>1588</v>
      </c>
      <c r="O425" t="s">
        <v>1310</v>
      </c>
      <c r="P425" t="s">
        <v>1220</v>
      </c>
      <c r="Q425" t="s">
        <v>1077</v>
      </c>
      <c r="R425" t="s">
        <v>955</v>
      </c>
      <c r="S425" t="s">
        <v>991</v>
      </c>
      <c r="T425" t="s">
        <v>969</v>
      </c>
      <c r="U425" t="s">
        <v>1745</v>
      </c>
      <c r="V425" t="s">
        <v>918</v>
      </c>
      <c r="W425" t="s">
        <v>1012</v>
      </c>
      <c r="X425" t="s">
        <v>979</v>
      </c>
      <c r="Y425" t="s">
        <v>1230</v>
      </c>
      <c r="Z425" t="s">
        <v>969</v>
      </c>
      <c r="AA425" t="s">
        <v>1119</v>
      </c>
      <c r="AB425" t="s">
        <v>969</v>
      </c>
      <c r="AC425" t="s">
        <v>1029</v>
      </c>
      <c r="AD425" t="s">
        <v>1044</v>
      </c>
      <c r="AE425">
        <v>6.4</v>
      </c>
      <c r="AF425">
        <v>6.3105999999999991</v>
      </c>
    </row>
    <row r="426" spans="1:32" x14ac:dyDescent="0.25">
      <c r="A426" s="191" t="s">
        <v>2358</v>
      </c>
      <c r="B426" t="s">
        <v>2359</v>
      </c>
      <c r="C426" t="s">
        <v>1084</v>
      </c>
      <c r="D426" t="s">
        <v>974</v>
      </c>
      <c r="E426" t="s">
        <v>56</v>
      </c>
      <c r="F426" t="s">
        <v>1084</v>
      </c>
      <c r="G426" t="s">
        <v>1717</v>
      </c>
      <c r="H426" t="s">
        <v>1450</v>
      </c>
      <c r="I426" t="s">
        <v>956</v>
      </c>
      <c r="J426" t="s">
        <v>1046</v>
      </c>
      <c r="K426" t="s">
        <v>1686</v>
      </c>
      <c r="L426" t="s">
        <v>1195</v>
      </c>
      <c r="M426" t="s">
        <v>1000</v>
      </c>
      <c r="N426" t="s">
        <v>1509</v>
      </c>
      <c r="O426" t="s">
        <v>969</v>
      </c>
      <c r="P426" t="s">
        <v>1310</v>
      </c>
      <c r="Q426" t="s">
        <v>958</v>
      </c>
      <c r="R426" t="s">
        <v>1226</v>
      </c>
      <c r="S426" t="s">
        <v>923</v>
      </c>
      <c r="T426" t="s">
        <v>1064</v>
      </c>
      <c r="U426" t="s">
        <v>2340</v>
      </c>
      <c r="V426" t="s">
        <v>934</v>
      </c>
      <c r="W426" t="s">
        <v>987</v>
      </c>
      <c r="X426" t="s">
        <v>923</v>
      </c>
      <c r="Y426" t="s">
        <v>1195</v>
      </c>
      <c r="Z426" t="s">
        <v>987</v>
      </c>
      <c r="AA426" t="s">
        <v>934</v>
      </c>
      <c r="AB426" t="s">
        <v>923</v>
      </c>
      <c r="AC426" t="s">
        <v>945</v>
      </c>
      <c r="AD426" t="s">
        <v>985</v>
      </c>
      <c r="AE426">
        <v>6.3000000000000007</v>
      </c>
      <c r="AF426">
        <v>6.2025000000000015</v>
      </c>
    </row>
    <row r="427" spans="1:32" x14ac:dyDescent="0.25">
      <c r="A427" s="191" t="s">
        <v>2358</v>
      </c>
      <c r="B427" t="s">
        <v>2359</v>
      </c>
      <c r="C427" t="s">
        <v>1084</v>
      </c>
      <c r="D427" t="s">
        <v>79</v>
      </c>
      <c r="E427" t="s">
        <v>56</v>
      </c>
      <c r="F427" t="s">
        <v>1238</v>
      </c>
      <c r="G427" t="s">
        <v>1717</v>
      </c>
      <c r="H427" t="s">
        <v>1368</v>
      </c>
      <c r="I427" t="s">
        <v>947</v>
      </c>
      <c r="J427" t="s">
        <v>1079</v>
      </c>
      <c r="K427" t="s">
        <v>1595</v>
      </c>
      <c r="L427" t="s">
        <v>1029</v>
      </c>
      <c r="M427" t="s">
        <v>1228</v>
      </c>
      <c r="N427" t="s">
        <v>1519</v>
      </c>
      <c r="O427" t="s">
        <v>1008</v>
      </c>
      <c r="P427" t="s">
        <v>968</v>
      </c>
      <c r="Q427" t="s">
        <v>1719</v>
      </c>
      <c r="R427" t="s">
        <v>1239</v>
      </c>
      <c r="S427" t="s">
        <v>945</v>
      </c>
      <c r="T427" t="s">
        <v>1195</v>
      </c>
      <c r="U427" t="s">
        <v>2340</v>
      </c>
      <c r="V427" t="s">
        <v>1094</v>
      </c>
      <c r="W427" t="s">
        <v>923</v>
      </c>
      <c r="X427" t="s">
        <v>945</v>
      </c>
      <c r="Y427" t="s">
        <v>1230</v>
      </c>
      <c r="Z427" t="s">
        <v>918</v>
      </c>
      <c r="AA427" t="s">
        <v>934</v>
      </c>
      <c r="AB427" t="s">
        <v>945</v>
      </c>
      <c r="AC427" t="s">
        <v>1195</v>
      </c>
      <c r="AD427" t="s">
        <v>1026</v>
      </c>
      <c r="AE427">
        <v>7.4</v>
      </c>
      <c r="AF427">
        <v>7.2465000000000002</v>
      </c>
    </row>
    <row r="428" spans="1:32" x14ac:dyDescent="0.25">
      <c r="A428" s="191" t="s">
        <v>2358</v>
      </c>
      <c r="B428" t="s">
        <v>2359</v>
      </c>
      <c r="C428" t="s">
        <v>1084</v>
      </c>
      <c r="D428" t="s">
        <v>102</v>
      </c>
      <c r="E428" t="s">
        <v>56</v>
      </c>
      <c r="F428" t="s">
        <v>972</v>
      </c>
      <c r="G428" t="s">
        <v>1717</v>
      </c>
      <c r="H428" t="s">
        <v>1170</v>
      </c>
      <c r="I428" t="s">
        <v>1065</v>
      </c>
      <c r="J428" t="s">
        <v>987</v>
      </c>
      <c r="K428" t="s">
        <v>1696</v>
      </c>
      <c r="L428" t="s">
        <v>1094</v>
      </c>
      <c r="M428" t="s">
        <v>1065</v>
      </c>
      <c r="N428" t="s">
        <v>1131</v>
      </c>
      <c r="O428" t="s">
        <v>1094</v>
      </c>
      <c r="P428" t="s">
        <v>1094</v>
      </c>
      <c r="Q428" t="s">
        <v>2146</v>
      </c>
      <c r="R428" t="s">
        <v>1765</v>
      </c>
      <c r="S428" t="s">
        <v>1600</v>
      </c>
      <c r="T428" t="s">
        <v>1600</v>
      </c>
      <c r="U428" t="s">
        <v>927</v>
      </c>
      <c r="V428" t="s">
        <v>1600</v>
      </c>
      <c r="W428" t="s">
        <v>1094</v>
      </c>
      <c r="X428" t="s">
        <v>1094</v>
      </c>
      <c r="Y428" t="s">
        <v>923</v>
      </c>
      <c r="Z428" t="s">
        <v>1600</v>
      </c>
      <c r="AA428" t="s">
        <v>1600</v>
      </c>
      <c r="AB428" t="s">
        <v>1094</v>
      </c>
      <c r="AC428" t="s">
        <v>987</v>
      </c>
      <c r="AD428" t="s">
        <v>1195</v>
      </c>
      <c r="AE428">
        <v>1.2999999999999998</v>
      </c>
      <c r="AF428" t="e">
        <v>#VALUE!</v>
      </c>
    </row>
    <row r="429" spans="1:32" x14ac:dyDescent="0.25">
      <c r="A429" s="191" t="s">
        <v>2360</v>
      </c>
      <c r="B429" t="s">
        <v>222</v>
      </c>
      <c r="C429" t="s">
        <v>1032</v>
      </c>
      <c r="D429" t="s">
        <v>163</v>
      </c>
      <c r="E429" t="s">
        <v>93</v>
      </c>
      <c r="F429" t="s">
        <v>1349</v>
      </c>
      <c r="G429" t="s">
        <v>1222</v>
      </c>
      <c r="H429" t="s">
        <v>1036</v>
      </c>
      <c r="I429" t="s">
        <v>993</v>
      </c>
      <c r="J429" t="s">
        <v>909</v>
      </c>
      <c r="K429" t="s">
        <v>1018</v>
      </c>
      <c r="L429" t="s">
        <v>1094</v>
      </c>
      <c r="M429" t="s">
        <v>1064</v>
      </c>
      <c r="N429" t="s">
        <v>2361</v>
      </c>
      <c r="O429" t="s">
        <v>925</v>
      </c>
      <c r="P429" t="s">
        <v>1047</v>
      </c>
      <c r="Q429" t="s">
        <v>1976</v>
      </c>
      <c r="R429" t="s">
        <v>1709</v>
      </c>
      <c r="S429" t="s">
        <v>923</v>
      </c>
      <c r="T429" t="s">
        <v>1195</v>
      </c>
      <c r="U429" t="s">
        <v>2297</v>
      </c>
      <c r="V429" t="s">
        <v>922</v>
      </c>
      <c r="W429" t="s">
        <v>1048</v>
      </c>
      <c r="X429" t="s">
        <v>1046</v>
      </c>
      <c r="Y429" t="s">
        <v>947</v>
      </c>
      <c r="Z429" t="s">
        <v>918</v>
      </c>
      <c r="AA429" t="s">
        <v>1065</v>
      </c>
      <c r="AB429" t="s">
        <v>1064</v>
      </c>
      <c r="AC429" t="s">
        <v>925</v>
      </c>
      <c r="AD429" t="s">
        <v>985</v>
      </c>
      <c r="AE429">
        <v>6.3000000000000007</v>
      </c>
      <c r="AF429">
        <v>6.2246999999999995</v>
      </c>
    </row>
    <row r="430" spans="1:32" x14ac:dyDescent="0.25">
      <c r="A430" s="191" t="s">
        <v>2362</v>
      </c>
      <c r="B430" t="s">
        <v>307</v>
      </c>
      <c r="C430" t="s">
        <v>995</v>
      </c>
      <c r="D430" t="s">
        <v>105</v>
      </c>
      <c r="E430" t="s">
        <v>56</v>
      </c>
      <c r="F430" t="s">
        <v>1410</v>
      </c>
      <c r="G430" t="s">
        <v>1232</v>
      </c>
      <c r="H430" t="s">
        <v>1685</v>
      </c>
      <c r="I430" t="s">
        <v>924</v>
      </c>
      <c r="J430" t="s">
        <v>1134</v>
      </c>
      <c r="K430" t="s">
        <v>1845</v>
      </c>
      <c r="L430" t="s">
        <v>918</v>
      </c>
      <c r="M430" t="s">
        <v>908</v>
      </c>
      <c r="N430" t="s">
        <v>1619</v>
      </c>
      <c r="O430" t="s">
        <v>1310</v>
      </c>
      <c r="P430" t="s">
        <v>1220</v>
      </c>
      <c r="Q430" t="s">
        <v>1442</v>
      </c>
      <c r="R430" t="s">
        <v>1493</v>
      </c>
      <c r="S430" t="s">
        <v>969</v>
      </c>
      <c r="T430" t="s">
        <v>987</v>
      </c>
      <c r="U430" t="s">
        <v>963</v>
      </c>
      <c r="V430" t="s">
        <v>991</v>
      </c>
      <c r="W430" t="s">
        <v>1029</v>
      </c>
      <c r="X430" t="s">
        <v>1049</v>
      </c>
      <c r="Y430" t="s">
        <v>1049</v>
      </c>
      <c r="Z430" t="s">
        <v>987</v>
      </c>
      <c r="AA430" t="s">
        <v>1094</v>
      </c>
      <c r="AB430" t="s">
        <v>918</v>
      </c>
      <c r="AC430" t="s">
        <v>1029</v>
      </c>
      <c r="AD430" t="s">
        <v>985</v>
      </c>
      <c r="AE430">
        <v>6.3</v>
      </c>
      <c r="AF430">
        <v>6.1804000000000006</v>
      </c>
    </row>
    <row r="431" spans="1:32" x14ac:dyDescent="0.25">
      <c r="A431" s="194" t="s">
        <v>2363</v>
      </c>
      <c r="B431" t="s">
        <v>2364</v>
      </c>
      <c r="C431" t="s">
        <v>1293</v>
      </c>
      <c r="D431" t="s">
        <v>133</v>
      </c>
      <c r="E431" t="s">
        <v>63</v>
      </c>
      <c r="F431" t="s">
        <v>1162</v>
      </c>
      <c r="G431" t="s">
        <v>901</v>
      </c>
      <c r="H431" t="s">
        <v>1485</v>
      </c>
      <c r="I431" t="s">
        <v>925</v>
      </c>
      <c r="J431" t="s">
        <v>1103</v>
      </c>
      <c r="K431" t="s">
        <v>1471</v>
      </c>
      <c r="L431" t="s">
        <v>1064</v>
      </c>
      <c r="M431" t="s">
        <v>908</v>
      </c>
      <c r="N431" t="s">
        <v>1381</v>
      </c>
      <c r="O431" t="s">
        <v>1064</v>
      </c>
      <c r="P431" t="s">
        <v>925</v>
      </c>
      <c r="Q431" t="s">
        <v>1200</v>
      </c>
      <c r="R431" t="s">
        <v>2170</v>
      </c>
      <c r="S431" t="s">
        <v>969</v>
      </c>
      <c r="T431" t="s">
        <v>918</v>
      </c>
      <c r="U431" t="s">
        <v>2049</v>
      </c>
      <c r="V431" t="s">
        <v>918</v>
      </c>
      <c r="W431" t="s">
        <v>922</v>
      </c>
      <c r="X431" t="s">
        <v>1012</v>
      </c>
      <c r="Y431" t="s">
        <v>1029</v>
      </c>
      <c r="Z431" t="s">
        <v>1310</v>
      </c>
      <c r="AA431" t="s">
        <v>991</v>
      </c>
      <c r="AB431" t="s">
        <v>945</v>
      </c>
      <c r="AC431" t="s">
        <v>908</v>
      </c>
      <c r="AD431" t="s">
        <v>985</v>
      </c>
      <c r="AE431">
        <v>6.1</v>
      </c>
      <c r="AF431">
        <v>6.2593000000000005</v>
      </c>
    </row>
    <row r="432" spans="1:32" x14ac:dyDescent="0.25">
      <c r="A432" s="191" t="s">
        <v>2365</v>
      </c>
      <c r="B432" t="s">
        <v>484</v>
      </c>
      <c r="C432" t="s">
        <v>1084</v>
      </c>
      <c r="D432" t="s">
        <v>85</v>
      </c>
      <c r="E432" t="s">
        <v>63</v>
      </c>
      <c r="F432" t="s">
        <v>1480</v>
      </c>
      <c r="G432" t="s">
        <v>995</v>
      </c>
      <c r="H432" t="s">
        <v>1485</v>
      </c>
      <c r="I432" t="s">
        <v>947</v>
      </c>
      <c r="J432" t="s">
        <v>1046</v>
      </c>
      <c r="K432" t="s">
        <v>999</v>
      </c>
      <c r="L432" t="s">
        <v>923</v>
      </c>
      <c r="M432" t="s">
        <v>1220</v>
      </c>
      <c r="N432" t="s">
        <v>1909</v>
      </c>
      <c r="O432" t="s">
        <v>945</v>
      </c>
      <c r="P432" t="s">
        <v>908</v>
      </c>
      <c r="Q432" t="s">
        <v>1251</v>
      </c>
      <c r="R432" t="s">
        <v>914</v>
      </c>
      <c r="S432" t="s">
        <v>969</v>
      </c>
      <c r="T432" t="s">
        <v>987</v>
      </c>
      <c r="U432" t="s">
        <v>1413</v>
      </c>
      <c r="V432" t="s">
        <v>918</v>
      </c>
      <c r="W432" t="s">
        <v>1310</v>
      </c>
      <c r="X432" t="s">
        <v>924</v>
      </c>
      <c r="Y432" t="s">
        <v>945</v>
      </c>
      <c r="Z432" t="s">
        <v>969</v>
      </c>
      <c r="AA432" t="s">
        <v>1094</v>
      </c>
      <c r="AB432" t="s">
        <v>991</v>
      </c>
      <c r="AC432" t="s">
        <v>1049</v>
      </c>
      <c r="AD432" t="s">
        <v>1059</v>
      </c>
      <c r="AE432">
        <v>6.1999999999999993</v>
      </c>
      <c r="AF432">
        <v>6.1571000000000007</v>
      </c>
    </row>
    <row r="433" spans="1:32" x14ac:dyDescent="0.25">
      <c r="A433" s="191" t="s">
        <v>2366</v>
      </c>
      <c r="B433" t="s">
        <v>2367</v>
      </c>
      <c r="C433" t="s">
        <v>1245</v>
      </c>
      <c r="D433" t="s">
        <v>170</v>
      </c>
      <c r="E433" t="s">
        <v>93</v>
      </c>
      <c r="F433" t="s">
        <v>1138</v>
      </c>
      <c r="G433" t="s">
        <v>1031</v>
      </c>
      <c r="H433" t="s">
        <v>1191</v>
      </c>
      <c r="I433" t="s">
        <v>947</v>
      </c>
      <c r="J433" t="s">
        <v>1134</v>
      </c>
      <c r="K433" t="s">
        <v>1287</v>
      </c>
      <c r="L433" t="s">
        <v>923</v>
      </c>
      <c r="M433" t="s">
        <v>993</v>
      </c>
      <c r="N433" t="s">
        <v>1154</v>
      </c>
      <c r="O433" t="s">
        <v>1195</v>
      </c>
      <c r="P433" t="s">
        <v>947</v>
      </c>
      <c r="Q433" t="s">
        <v>1396</v>
      </c>
      <c r="R433" t="s">
        <v>955</v>
      </c>
      <c r="S433" t="s">
        <v>969</v>
      </c>
      <c r="T433" t="s">
        <v>918</v>
      </c>
      <c r="U433" t="s">
        <v>1696</v>
      </c>
      <c r="V433" t="s">
        <v>1094</v>
      </c>
      <c r="W433" t="s">
        <v>1220</v>
      </c>
      <c r="X433" t="s">
        <v>946</v>
      </c>
      <c r="Y433" t="s">
        <v>1310</v>
      </c>
      <c r="Z433" t="s">
        <v>1008</v>
      </c>
      <c r="AA433" t="s">
        <v>1094</v>
      </c>
      <c r="AB433" t="s">
        <v>923</v>
      </c>
      <c r="AC433" t="s">
        <v>1310</v>
      </c>
      <c r="AD433" t="s">
        <v>1059</v>
      </c>
      <c r="AE433">
        <v>6.1999999999999993</v>
      </c>
      <c r="AF433">
        <v>6.1356000000000002</v>
      </c>
    </row>
    <row r="434" spans="1:32" x14ac:dyDescent="0.25">
      <c r="A434" s="191" t="s">
        <v>2809</v>
      </c>
      <c r="B434" s="191" t="s">
        <v>2810</v>
      </c>
      <c r="C434" s="191" t="s">
        <v>1032</v>
      </c>
      <c r="D434" t="s">
        <v>1223</v>
      </c>
      <c r="E434" t="s">
        <v>56</v>
      </c>
      <c r="F434" t="s">
        <v>928</v>
      </c>
      <c r="G434" t="s">
        <v>1717</v>
      </c>
      <c r="H434" t="s">
        <v>1061</v>
      </c>
      <c r="I434" t="s">
        <v>1065</v>
      </c>
      <c r="J434" t="s">
        <v>1310</v>
      </c>
      <c r="K434" t="s">
        <v>1666</v>
      </c>
      <c r="L434" t="s">
        <v>1600</v>
      </c>
      <c r="M434" t="s">
        <v>1600</v>
      </c>
      <c r="N434" t="s">
        <v>927</v>
      </c>
      <c r="O434" t="s">
        <v>1065</v>
      </c>
      <c r="P434" t="s">
        <v>1310</v>
      </c>
      <c r="Q434" t="s">
        <v>1666</v>
      </c>
      <c r="R434" t="s">
        <v>1666</v>
      </c>
      <c r="S434" t="s">
        <v>1600</v>
      </c>
      <c r="T434" t="s">
        <v>1600</v>
      </c>
      <c r="U434" t="s">
        <v>927</v>
      </c>
      <c r="V434" t="s">
        <v>923</v>
      </c>
      <c r="W434" t="s">
        <v>1065</v>
      </c>
      <c r="X434" t="s">
        <v>1310</v>
      </c>
      <c r="Y434" t="s">
        <v>956</v>
      </c>
      <c r="Z434" t="s">
        <v>923</v>
      </c>
      <c r="AA434" t="s">
        <v>1600</v>
      </c>
      <c r="AB434" t="s">
        <v>1600</v>
      </c>
      <c r="AC434" t="s">
        <v>993</v>
      </c>
      <c r="AD434" t="s">
        <v>923</v>
      </c>
      <c r="AE434">
        <v>1</v>
      </c>
      <c r="AF434" t="e">
        <v>#VALUE!</v>
      </c>
    </row>
    <row r="435" spans="1:32" x14ac:dyDescent="0.25">
      <c r="A435" s="191" t="s">
        <v>2370</v>
      </c>
      <c r="B435" t="s">
        <v>306</v>
      </c>
      <c r="C435" t="s">
        <v>995</v>
      </c>
      <c r="D435" t="s">
        <v>111</v>
      </c>
      <c r="E435" t="s">
        <v>93</v>
      </c>
      <c r="F435" t="s">
        <v>1355</v>
      </c>
      <c r="G435" t="s">
        <v>1015</v>
      </c>
      <c r="H435" t="s">
        <v>1621</v>
      </c>
      <c r="I435" t="s">
        <v>925</v>
      </c>
      <c r="J435" t="s">
        <v>962</v>
      </c>
      <c r="K435" t="s">
        <v>1818</v>
      </c>
      <c r="L435" t="s">
        <v>969</v>
      </c>
      <c r="M435" t="s">
        <v>993</v>
      </c>
      <c r="N435" t="s">
        <v>1934</v>
      </c>
      <c r="O435" t="s">
        <v>1310</v>
      </c>
      <c r="P435" t="s">
        <v>1220</v>
      </c>
      <c r="Q435" t="s">
        <v>1215</v>
      </c>
      <c r="R435" t="s">
        <v>1420</v>
      </c>
      <c r="S435" t="s">
        <v>923</v>
      </c>
      <c r="T435" t="s">
        <v>1195</v>
      </c>
      <c r="U435" t="s">
        <v>1972</v>
      </c>
      <c r="V435" t="s">
        <v>1195</v>
      </c>
      <c r="W435" t="s">
        <v>964</v>
      </c>
      <c r="X435" t="s">
        <v>1081</v>
      </c>
      <c r="Y435" t="s">
        <v>987</v>
      </c>
      <c r="Z435" t="s">
        <v>987</v>
      </c>
      <c r="AA435" t="s">
        <v>923</v>
      </c>
      <c r="AB435" t="s">
        <v>1065</v>
      </c>
      <c r="AC435" t="s">
        <v>922</v>
      </c>
      <c r="AD435" t="s">
        <v>1063</v>
      </c>
      <c r="AE435">
        <v>6</v>
      </c>
      <c r="AF435">
        <v>5.9948999999999995</v>
      </c>
    </row>
    <row r="436" spans="1:32" x14ac:dyDescent="0.25">
      <c r="A436" s="191" t="s">
        <v>2371</v>
      </c>
      <c r="B436" t="s">
        <v>2372</v>
      </c>
      <c r="C436" t="s">
        <v>950</v>
      </c>
      <c r="D436" t="s">
        <v>113</v>
      </c>
      <c r="E436" t="s">
        <v>72</v>
      </c>
      <c r="F436" t="s">
        <v>1438</v>
      </c>
      <c r="G436" t="s">
        <v>1202</v>
      </c>
      <c r="H436" t="s">
        <v>1248</v>
      </c>
      <c r="I436" t="s">
        <v>1012</v>
      </c>
      <c r="J436" t="s">
        <v>1155</v>
      </c>
      <c r="K436" t="s">
        <v>1642</v>
      </c>
      <c r="L436" t="s">
        <v>1600</v>
      </c>
      <c r="M436" t="s">
        <v>1600</v>
      </c>
      <c r="N436" t="s">
        <v>1646</v>
      </c>
      <c r="O436" t="s">
        <v>1012</v>
      </c>
      <c r="P436" t="s">
        <v>1155</v>
      </c>
      <c r="Q436" t="s">
        <v>1880</v>
      </c>
      <c r="R436" t="s">
        <v>1642</v>
      </c>
      <c r="S436" t="s">
        <v>918</v>
      </c>
      <c r="T436" t="s">
        <v>1195</v>
      </c>
      <c r="U436" t="s">
        <v>1803</v>
      </c>
      <c r="V436" t="s">
        <v>1012</v>
      </c>
      <c r="W436" t="s">
        <v>1220</v>
      </c>
      <c r="X436" t="s">
        <v>1043</v>
      </c>
      <c r="Y436" t="s">
        <v>1029</v>
      </c>
      <c r="Z436" t="s">
        <v>1065</v>
      </c>
      <c r="AA436" t="s">
        <v>923</v>
      </c>
      <c r="AB436" t="s">
        <v>991</v>
      </c>
      <c r="AC436" t="s">
        <v>1029</v>
      </c>
      <c r="AD436" t="s">
        <v>1063</v>
      </c>
      <c r="AE436">
        <v>6.1000000000000005</v>
      </c>
      <c r="AF436">
        <v>6.0282999999999998</v>
      </c>
    </row>
    <row r="437" spans="1:32" x14ac:dyDescent="0.25">
      <c r="A437" s="191" t="s">
        <v>2373</v>
      </c>
      <c r="B437" t="s">
        <v>2374</v>
      </c>
      <c r="C437" t="s">
        <v>973</v>
      </c>
      <c r="D437" t="s">
        <v>108</v>
      </c>
      <c r="E437" t="s">
        <v>93</v>
      </c>
      <c r="F437" t="s">
        <v>901</v>
      </c>
      <c r="G437" t="s">
        <v>1717</v>
      </c>
      <c r="H437" t="s">
        <v>1357</v>
      </c>
      <c r="I437" t="s">
        <v>956</v>
      </c>
      <c r="J437" t="s">
        <v>1023</v>
      </c>
      <c r="K437" t="s">
        <v>1785</v>
      </c>
      <c r="L437" t="s">
        <v>923</v>
      </c>
      <c r="M437" t="s">
        <v>1135</v>
      </c>
      <c r="N437" t="s">
        <v>1666</v>
      </c>
      <c r="O437" t="s">
        <v>923</v>
      </c>
      <c r="P437" t="s">
        <v>1228</v>
      </c>
      <c r="Q437" t="s">
        <v>2152</v>
      </c>
      <c r="R437" t="s">
        <v>1545</v>
      </c>
      <c r="S437" t="s">
        <v>923</v>
      </c>
      <c r="T437" t="s">
        <v>956</v>
      </c>
      <c r="U437" t="s">
        <v>1131</v>
      </c>
      <c r="V437" t="s">
        <v>923</v>
      </c>
      <c r="W437" t="s">
        <v>1135</v>
      </c>
      <c r="X437" t="s">
        <v>1228</v>
      </c>
      <c r="Y437" t="s">
        <v>920</v>
      </c>
      <c r="Z437" t="s">
        <v>923</v>
      </c>
      <c r="AA437" t="s">
        <v>923</v>
      </c>
      <c r="AB437" t="s">
        <v>1600</v>
      </c>
      <c r="AC437" t="s">
        <v>1135</v>
      </c>
      <c r="AD437" t="s">
        <v>1063</v>
      </c>
      <c r="AE437">
        <v>6</v>
      </c>
      <c r="AF437">
        <v>5.9969999999999999</v>
      </c>
    </row>
    <row r="438" spans="1:32" x14ac:dyDescent="0.25">
      <c r="A438" s="191" t="s">
        <v>2375</v>
      </c>
      <c r="B438" t="s">
        <v>2376</v>
      </c>
      <c r="C438" t="s">
        <v>1032</v>
      </c>
      <c r="D438" t="s">
        <v>97</v>
      </c>
      <c r="E438" t="s">
        <v>72</v>
      </c>
      <c r="F438" t="s">
        <v>1052</v>
      </c>
      <c r="G438" t="s">
        <v>972</v>
      </c>
      <c r="H438" t="s">
        <v>1806</v>
      </c>
      <c r="I438" t="s">
        <v>924</v>
      </c>
      <c r="J438" t="s">
        <v>1103</v>
      </c>
      <c r="K438" t="s">
        <v>1057</v>
      </c>
      <c r="L438" t="s">
        <v>934</v>
      </c>
      <c r="M438" t="s">
        <v>1008</v>
      </c>
      <c r="N438" t="s">
        <v>2319</v>
      </c>
      <c r="O438" t="s">
        <v>925</v>
      </c>
      <c r="P438" t="s">
        <v>992</v>
      </c>
      <c r="Q438" t="s">
        <v>939</v>
      </c>
      <c r="R438" t="s">
        <v>1251</v>
      </c>
      <c r="S438" t="s">
        <v>918</v>
      </c>
      <c r="T438" t="s">
        <v>945</v>
      </c>
      <c r="U438" t="s">
        <v>1747</v>
      </c>
      <c r="V438" t="s">
        <v>968</v>
      </c>
      <c r="W438" t="s">
        <v>1030</v>
      </c>
      <c r="X438" t="s">
        <v>1291</v>
      </c>
      <c r="Y438" t="s">
        <v>922</v>
      </c>
      <c r="Z438" t="s">
        <v>991</v>
      </c>
      <c r="AA438" t="s">
        <v>1230</v>
      </c>
      <c r="AB438" t="s">
        <v>918</v>
      </c>
      <c r="AC438" t="s">
        <v>993</v>
      </c>
      <c r="AD438" t="s">
        <v>1063</v>
      </c>
      <c r="AE438">
        <v>5.9</v>
      </c>
      <c r="AF438">
        <v>6.0767000000000007</v>
      </c>
    </row>
    <row r="439" spans="1:32" x14ac:dyDescent="0.25">
      <c r="A439" s="191" t="s">
        <v>2377</v>
      </c>
      <c r="B439" t="s">
        <v>2378</v>
      </c>
      <c r="C439" t="s">
        <v>1032</v>
      </c>
      <c r="D439" t="s">
        <v>170</v>
      </c>
      <c r="E439" t="s">
        <v>72</v>
      </c>
      <c r="F439" t="s">
        <v>901</v>
      </c>
      <c r="G439" t="s">
        <v>1717</v>
      </c>
      <c r="H439" t="s">
        <v>920</v>
      </c>
      <c r="I439" t="s">
        <v>956</v>
      </c>
      <c r="J439" t="s">
        <v>1228</v>
      </c>
      <c r="K439" t="s">
        <v>1131</v>
      </c>
      <c r="L439" t="s">
        <v>1600</v>
      </c>
      <c r="M439" t="s">
        <v>923</v>
      </c>
      <c r="N439" t="s">
        <v>1646</v>
      </c>
      <c r="O439" t="s">
        <v>956</v>
      </c>
      <c r="P439" t="s">
        <v>1135</v>
      </c>
      <c r="Q439" t="s">
        <v>1696</v>
      </c>
      <c r="R439" t="s">
        <v>1131</v>
      </c>
      <c r="S439" t="s">
        <v>956</v>
      </c>
      <c r="T439" t="s">
        <v>956</v>
      </c>
      <c r="U439" t="s">
        <v>2146</v>
      </c>
      <c r="V439" t="s">
        <v>1600</v>
      </c>
      <c r="W439" t="s">
        <v>923</v>
      </c>
      <c r="X439" t="s">
        <v>923</v>
      </c>
      <c r="Y439" t="s">
        <v>1600</v>
      </c>
      <c r="Z439" t="s">
        <v>1600</v>
      </c>
      <c r="AA439" t="s">
        <v>1600</v>
      </c>
      <c r="AB439" t="s">
        <v>1600</v>
      </c>
      <c r="AC439" t="s">
        <v>1600</v>
      </c>
      <c r="AD439" t="s">
        <v>1063</v>
      </c>
      <c r="AE439">
        <v>6</v>
      </c>
      <c r="AF439">
        <v>6.0020000000000007</v>
      </c>
    </row>
    <row r="440" spans="1:32" x14ac:dyDescent="0.25">
      <c r="A440" s="191" t="s">
        <v>2379</v>
      </c>
      <c r="B440" t="s">
        <v>2380</v>
      </c>
      <c r="C440" t="s">
        <v>1084</v>
      </c>
      <c r="D440" t="s">
        <v>1149</v>
      </c>
      <c r="E440" t="s">
        <v>63</v>
      </c>
      <c r="F440" t="s">
        <v>1238</v>
      </c>
      <c r="G440" t="s">
        <v>1717</v>
      </c>
      <c r="H440" t="s">
        <v>1316</v>
      </c>
      <c r="I440" t="s">
        <v>908</v>
      </c>
      <c r="J440" t="s">
        <v>1043</v>
      </c>
      <c r="K440" t="s">
        <v>1509</v>
      </c>
      <c r="L440" t="s">
        <v>1008</v>
      </c>
      <c r="M440" t="s">
        <v>922</v>
      </c>
      <c r="N440" t="s">
        <v>1775</v>
      </c>
      <c r="O440" t="s">
        <v>1230</v>
      </c>
      <c r="P440" t="s">
        <v>992</v>
      </c>
      <c r="Q440" t="s">
        <v>1461</v>
      </c>
      <c r="R440" t="s">
        <v>1055</v>
      </c>
      <c r="S440" t="s">
        <v>1195</v>
      </c>
      <c r="T440" t="s">
        <v>922</v>
      </c>
      <c r="U440" t="s">
        <v>2330</v>
      </c>
      <c r="V440" t="s">
        <v>1008</v>
      </c>
      <c r="W440" t="s">
        <v>918</v>
      </c>
      <c r="X440" t="s">
        <v>1029</v>
      </c>
      <c r="Y440" t="s">
        <v>1230</v>
      </c>
      <c r="Z440" t="s">
        <v>969</v>
      </c>
      <c r="AA440" t="s">
        <v>1600</v>
      </c>
      <c r="AB440" t="s">
        <v>918</v>
      </c>
      <c r="AC440" t="s">
        <v>1064</v>
      </c>
      <c r="AD440" t="s">
        <v>1063</v>
      </c>
      <c r="AE440">
        <v>6.2</v>
      </c>
      <c r="AF440">
        <v>6.0597000000000003</v>
      </c>
    </row>
    <row r="441" spans="1:32" x14ac:dyDescent="0.25">
      <c r="A441" s="194" t="s">
        <v>2381</v>
      </c>
      <c r="B441" t="s">
        <v>2382</v>
      </c>
      <c r="C441" t="s">
        <v>973</v>
      </c>
      <c r="D441" t="s">
        <v>974</v>
      </c>
      <c r="E441" t="s">
        <v>47</v>
      </c>
      <c r="F441" t="s">
        <v>1106</v>
      </c>
      <c r="G441" t="s">
        <v>1717</v>
      </c>
      <c r="H441" t="s">
        <v>1197</v>
      </c>
      <c r="I441" t="s">
        <v>925</v>
      </c>
      <c r="J441" t="s">
        <v>1044</v>
      </c>
      <c r="K441" t="s">
        <v>1282</v>
      </c>
      <c r="L441" t="s">
        <v>1310</v>
      </c>
      <c r="M441" t="s">
        <v>957</v>
      </c>
      <c r="N441" t="s">
        <v>2383</v>
      </c>
      <c r="O441" t="s">
        <v>1008</v>
      </c>
      <c r="P441" t="s">
        <v>1029</v>
      </c>
      <c r="Q441" t="s">
        <v>1018</v>
      </c>
      <c r="R441" t="s">
        <v>1405</v>
      </c>
      <c r="S441" t="s">
        <v>1600</v>
      </c>
      <c r="T441" t="s">
        <v>1119</v>
      </c>
      <c r="U441" t="s">
        <v>1646</v>
      </c>
      <c r="V441" t="s">
        <v>1065</v>
      </c>
      <c r="W441" t="s">
        <v>925</v>
      </c>
      <c r="X441" t="s">
        <v>1220</v>
      </c>
      <c r="Y441" t="s">
        <v>1094</v>
      </c>
      <c r="Z441" t="s">
        <v>991</v>
      </c>
      <c r="AA441" t="s">
        <v>934</v>
      </c>
      <c r="AB441" t="s">
        <v>991</v>
      </c>
      <c r="AC441" t="s">
        <v>945</v>
      </c>
      <c r="AD441" t="s">
        <v>1126</v>
      </c>
      <c r="AE441">
        <v>5.9</v>
      </c>
      <c r="AF441">
        <v>5.8994999999999997</v>
      </c>
    </row>
    <row r="442" spans="1:32" x14ac:dyDescent="0.25">
      <c r="A442" s="191" t="s">
        <v>2381</v>
      </c>
      <c r="B442" t="s">
        <v>2382</v>
      </c>
      <c r="C442" t="s">
        <v>973</v>
      </c>
      <c r="D442" t="s">
        <v>97</v>
      </c>
      <c r="E442" t="s">
        <v>47</v>
      </c>
      <c r="F442" t="s">
        <v>928</v>
      </c>
      <c r="G442" t="s">
        <v>1717</v>
      </c>
      <c r="H442" t="s">
        <v>940</v>
      </c>
      <c r="I442" t="s">
        <v>1600</v>
      </c>
      <c r="J442" t="s">
        <v>993</v>
      </c>
      <c r="K442" t="s">
        <v>1646</v>
      </c>
      <c r="L442" t="s">
        <v>1600</v>
      </c>
      <c r="M442" t="s">
        <v>993</v>
      </c>
      <c r="N442" t="s">
        <v>1646</v>
      </c>
      <c r="O442" t="s">
        <v>1600</v>
      </c>
      <c r="P442" t="s">
        <v>1600</v>
      </c>
      <c r="Q442" t="s">
        <v>927</v>
      </c>
      <c r="R442" t="s">
        <v>1646</v>
      </c>
      <c r="S442" t="s">
        <v>1600</v>
      </c>
      <c r="T442" t="s">
        <v>1600</v>
      </c>
      <c r="U442" t="s">
        <v>927</v>
      </c>
      <c r="V442" t="s">
        <v>1600</v>
      </c>
      <c r="W442" t="s">
        <v>923</v>
      </c>
      <c r="X442" t="s">
        <v>923</v>
      </c>
      <c r="Y442" t="s">
        <v>1065</v>
      </c>
      <c r="Z442" t="s">
        <v>1600</v>
      </c>
      <c r="AA442" t="s">
        <v>1600</v>
      </c>
      <c r="AB442" t="s">
        <v>1600</v>
      </c>
      <c r="AC442" t="s">
        <v>1065</v>
      </c>
      <c r="AD442" t="s">
        <v>1600</v>
      </c>
      <c r="AE442">
        <v>0</v>
      </c>
      <c r="AF442" t="e">
        <v>#VALUE!</v>
      </c>
    </row>
    <row r="443" spans="1:32" x14ac:dyDescent="0.25">
      <c r="A443" s="191" t="s">
        <v>2381</v>
      </c>
      <c r="B443" t="s">
        <v>2382</v>
      </c>
      <c r="C443" t="s">
        <v>973</v>
      </c>
      <c r="D443" t="s">
        <v>163</v>
      </c>
      <c r="E443" t="s">
        <v>47</v>
      </c>
      <c r="F443" t="s">
        <v>1083</v>
      </c>
      <c r="G443" t="s">
        <v>1717</v>
      </c>
      <c r="H443" t="s">
        <v>954</v>
      </c>
      <c r="I443" t="s">
        <v>1104</v>
      </c>
      <c r="J443" t="s">
        <v>1118</v>
      </c>
      <c r="K443" t="s">
        <v>1019</v>
      </c>
      <c r="L443" t="s">
        <v>1049</v>
      </c>
      <c r="M443" t="s">
        <v>1043</v>
      </c>
      <c r="N443" t="s">
        <v>1545</v>
      </c>
      <c r="O443" t="s">
        <v>918</v>
      </c>
      <c r="P443" t="s">
        <v>956</v>
      </c>
      <c r="Q443" t="s">
        <v>1018</v>
      </c>
      <c r="R443" t="s">
        <v>1130</v>
      </c>
      <c r="S443" t="s">
        <v>1600</v>
      </c>
      <c r="T443" t="s">
        <v>1119</v>
      </c>
      <c r="U443" t="s">
        <v>1646</v>
      </c>
      <c r="V443" t="s">
        <v>969</v>
      </c>
      <c r="W443" t="s">
        <v>993</v>
      </c>
      <c r="X443" t="s">
        <v>946</v>
      </c>
      <c r="Y443" t="s">
        <v>1094</v>
      </c>
      <c r="Z443" t="s">
        <v>1065</v>
      </c>
      <c r="AA443" t="s">
        <v>1094</v>
      </c>
      <c r="AB443" t="s">
        <v>1065</v>
      </c>
      <c r="AC443" t="s">
        <v>1230</v>
      </c>
      <c r="AD443" t="s">
        <v>988</v>
      </c>
      <c r="AE443">
        <v>7.4999999999999991</v>
      </c>
      <c r="AF443">
        <v>7.4282999999999992</v>
      </c>
    </row>
    <row r="444" spans="1:32" x14ac:dyDescent="0.25">
      <c r="A444" s="191" t="s">
        <v>2384</v>
      </c>
      <c r="B444" t="s">
        <v>2385</v>
      </c>
      <c r="C444" t="s">
        <v>902</v>
      </c>
      <c r="D444" t="s">
        <v>974</v>
      </c>
      <c r="E444" t="s">
        <v>93</v>
      </c>
      <c r="F444" t="s">
        <v>1096</v>
      </c>
      <c r="G444" t="s">
        <v>949</v>
      </c>
      <c r="H444" t="s">
        <v>906</v>
      </c>
      <c r="I444" t="s">
        <v>925</v>
      </c>
      <c r="J444" t="s">
        <v>1103</v>
      </c>
      <c r="K444" t="s">
        <v>1131</v>
      </c>
      <c r="L444" t="s">
        <v>945</v>
      </c>
      <c r="M444" t="s">
        <v>946</v>
      </c>
      <c r="N444" t="s">
        <v>1393</v>
      </c>
      <c r="O444" t="s">
        <v>923</v>
      </c>
      <c r="P444" t="s">
        <v>1195</v>
      </c>
      <c r="Q444" t="s">
        <v>2049</v>
      </c>
      <c r="R444" t="s">
        <v>2386</v>
      </c>
      <c r="S444" t="s">
        <v>934</v>
      </c>
      <c r="T444" t="s">
        <v>1094</v>
      </c>
      <c r="U444" t="s">
        <v>1696</v>
      </c>
      <c r="V444" t="s">
        <v>947</v>
      </c>
      <c r="W444" t="s">
        <v>964</v>
      </c>
      <c r="X444" t="s">
        <v>962</v>
      </c>
      <c r="Y444" t="s">
        <v>922</v>
      </c>
      <c r="Z444" t="s">
        <v>969</v>
      </c>
      <c r="AA444" t="s">
        <v>991</v>
      </c>
      <c r="AB444" t="s">
        <v>1094</v>
      </c>
      <c r="AC444" t="s">
        <v>969</v>
      </c>
      <c r="AD444" t="s">
        <v>1126</v>
      </c>
      <c r="AE444">
        <v>5.8</v>
      </c>
      <c r="AF444">
        <v>5.8050000000000006</v>
      </c>
    </row>
    <row r="445" spans="1:32" x14ac:dyDescent="0.25">
      <c r="A445" s="191" t="s">
        <v>2384</v>
      </c>
      <c r="B445" t="s">
        <v>2385</v>
      </c>
      <c r="C445" t="s">
        <v>902</v>
      </c>
      <c r="D445" t="s">
        <v>108</v>
      </c>
      <c r="E445" t="s">
        <v>93</v>
      </c>
      <c r="F445" t="s">
        <v>1067</v>
      </c>
      <c r="G445" t="s">
        <v>949</v>
      </c>
      <c r="H445" t="s">
        <v>1237</v>
      </c>
      <c r="I445" t="s">
        <v>1012</v>
      </c>
      <c r="J445" t="s">
        <v>957</v>
      </c>
      <c r="K445" t="s">
        <v>1713</v>
      </c>
      <c r="L445" t="s">
        <v>1230</v>
      </c>
      <c r="M445" t="s">
        <v>946</v>
      </c>
      <c r="N445" t="s">
        <v>1665</v>
      </c>
      <c r="O445" t="s">
        <v>1064</v>
      </c>
      <c r="P445" t="s">
        <v>1029</v>
      </c>
      <c r="Q445" t="s">
        <v>1133</v>
      </c>
      <c r="R445" t="s">
        <v>2387</v>
      </c>
      <c r="S445" t="s">
        <v>1094</v>
      </c>
      <c r="T445" t="s">
        <v>991</v>
      </c>
      <c r="U445" t="s">
        <v>1696</v>
      </c>
      <c r="V445" t="s">
        <v>964</v>
      </c>
      <c r="W445" t="s">
        <v>970</v>
      </c>
      <c r="X445" t="s">
        <v>1059</v>
      </c>
      <c r="Y445" t="s">
        <v>1049</v>
      </c>
      <c r="Z445" t="s">
        <v>1008</v>
      </c>
      <c r="AA445" t="s">
        <v>991</v>
      </c>
      <c r="AB445" t="s">
        <v>991</v>
      </c>
      <c r="AC445" t="s">
        <v>1008</v>
      </c>
      <c r="AD445" t="s">
        <v>1116</v>
      </c>
      <c r="AE445">
        <v>6.8999999999999995</v>
      </c>
      <c r="AF445">
        <v>6.8247</v>
      </c>
    </row>
    <row r="446" spans="1:32" x14ac:dyDescent="0.25">
      <c r="A446" s="191" t="s">
        <v>2384</v>
      </c>
      <c r="B446" t="s">
        <v>2385</v>
      </c>
      <c r="C446" t="s">
        <v>902</v>
      </c>
      <c r="D446" t="s">
        <v>85</v>
      </c>
      <c r="E446" t="s">
        <v>93</v>
      </c>
      <c r="F446" t="s">
        <v>928</v>
      </c>
      <c r="G446" t="s">
        <v>1717</v>
      </c>
      <c r="H446" t="s">
        <v>1236</v>
      </c>
      <c r="I446" t="s">
        <v>923</v>
      </c>
      <c r="J446" t="s">
        <v>979</v>
      </c>
      <c r="K446" t="s">
        <v>1785</v>
      </c>
      <c r="L446" t="s">
        <v>1065</v>
      </c>
      <c r="M446" t="s">
        <v>1135</v>
      </c>
      <c r="N446" t="s">
        <v>2388</v>
      </c>
      <c r="O446" t="s">
        <v>1065</v>
      </c>
      <c r="P446" t="s">
        <v>1065</v>
      </c>
      <c r="Q446" t="s">
        <v>2146</v>
      </c>
      <c r="R446" t="s">
        <v>1545</v>
      </c>
      <c r="S446" t="s">
        <v>1600</v>
      </c>
      <c r="T446" t="s">
        <v>1600</v>
      </c>
      <c r="U446" t="s">
        <v>927</v>
      </c>
      <c r="V446" t="s">
        <v>1065</v>
      </c>
      <c r="W446" t="s">
        <v>1310</v>
      </c>
      <c r="X446" t="s">
        <v>956</v>
      </c>
      <c r="Y446" t="s">
        <v>923</v>
      </c>
      <c r="Z446" t="s">
        <v>1600</v>
      </c>
      <c r="AA446" t="s">
        <v>1065</v>
      </c>
      <c r="AB446" t="s">
        <v>1600</v>
      </c>
      <c r="AC446" t="s">
        <v>1600</v>
      </c>
      <c r="AD446" t="s">
        <v>993</v>
      </c>
      <c r="AE446">
        <v>2.5</v>
      </c>
      <c r="AF446" t="e">
        <v>#VALUE!</v>
      </c>
    </row>
    <row r="447" spans="1:32" x14ac:dyDescent="0.25">
      <c r="A447" s="191" t="s">
        <v>2389</v>
      </c>
      <c r="B447" t="s">
        <v>299</v>
      </c>
      <c r="C447" t="s">
        <v>1176</v>
      </c>
      <c r="D447" t="s">
        <v>974</v>
      </c>
      <c r="E447" t="s">
        <v>93</v>
      </c>
      <c r="F447" t="s">
        <v>1512</v>
      </c>
      <c r="G447" t="s">
        <v>972</v>
      </c>
      <c r="H447" t="s">
        <v>1345</v>
      </c>
      <c r="I447" t="s">
        <v>947</v>
      </c>
      <c r="J447" t="s">
        <v>920</v>
      </c>
      <c r="K447" t="s">
        <v>1099</v>
      </c>
      <c r="L447" t="s">
        <v>991</v>
      </c>
      <c r="M447" t="s">
        <v>1064</v>
      </c>
      <c r="N447" t="s">
        <v>1545</v>
      </c>
      <c r="O447" t="s">
        <v>1049</v>
      </c>
      <c r="P447" t="s">
        <v>1155</v>
      </c>
      <c r="Q447" t="s">
        <v>2024</v>
      </c>
      <c r="R447" t="s">
        <v>1436</v>
      </c>
      <c r="S447" t="s">
        <v>987</v>
      </c>
      <c r="T447" t="s">
        <v>1064</v>
      </c>
      <c r="U447" t="s">
        <v>2390</v>
      </c>
      <c r="V447" t="s">
        <v>918</v>
      </c>
      <c r="W447" t="s">
        <v>993</v>
      </c>
      <c r="X447" t="s">
        <v>1000</v>
      </c>
      <c r="Y447" t="s">
        <v>924</v>
      </c>
      <c r="Z447" t="s">
        <v>1008</v>
      </c>
      <c r="AA447" t="s">
        <v>1065</v>
      </c>
      <c r="AB447" t="s">
        <v>969</v>
      </c>
      <c r="AC447" t="s">
        <v>1195</v>
      </c>
      <c r="AD447" t="s">
        <v>1126</v>
      </c>
      <c r="AE447">
        <v>5.8</v>
      </c>
      <c r="AF447">
        <v>5.9055</v>
      </c>
    </row>
    <row r="448" spans="1:32" x14ac:dyDescent="0.25">
      <c r="A448" s="191" t="s">
        <v>874</v>
      </c>
      <c r="B448" t="s">
        <v>171</v>
      </c>
      <c r="C448" t="s">
        <v>875</v>
      </c>
      <c r="D448" t="s">
        <v>172</v>
      </c>
      <c r="E448" t="s">
        <v>876</v>
      </c>
      <c r="F448" t="s">
        <v>392</v>
      </c>
      <c r="G448" t="s">
        <v>877</v>
      </c>
      <c r="H448" t="s">
        <v>878</v>
      </c>
      <c r="I448" t="s">
        <v>879</v>
      </c>
      <c r="J448" t="s">
        <v>880</v>
      </c>
      <c r="K448" t="s">
        <v>881</v>
      </c>
      <c r="L448" t="s">
        <v>882</v>
      </c>
      <c r="M448" t="s">
        <v>883</v>
      </c>
      <c r="N448" t="s">
        <v>884</v>
      </c>
      <c r="O448" t="s">
        <v>885</v>
      </c>
      <c r="P448" t="s">
        <v>886</v>
      </c>
      <c r="Q448" t="s">
        <v>887</v>
      </c>
      <c r="R448" t="s">
        <v>888</v>
      </c>
      <c r="S448" t="s">
        <v>889</v>
      </c>
      <c r="T448" t="s">
        <v>890</v>
      </c>
      <c r="U448" t="s">
        <v>891</v>
      </c>
      <c r="V448" t="s">
        <v>892</v>
      </c>
      <c r="W448" t="s">
        <v>893</v>
      </c>
      <c r="X448" t="s">
        <v>894</v>
      </c>
      <c r="Y448" t="s">
        <v>895</v>
      </c>
      <c r="Z448" t="s">
        <v>896</v>
      </c>
      <c r="AA448" t="s">
        <v>897</v>
      </c>
      <c r="AB448" t="s">
        <v>898</v>
      </c>
      <c r="AC448" t="s">
        <v>93</v>
      </c>
      <c r="AD448" t="s">
        <v>899</v>
      </c>
      <c r="AE448" t="e">
        <v>#VALUE!</v>
      </c>
      <c r="AF448" t="e">
        <v>#VALUE!</v>
      </c>
    </row>
    <row r="449" spans="1:32" x14ac:dyDescent="0.25">
      <c r="A449" s="191" t="s">
        <v>2813</v>
      </c>
      <c r="B449" s="191" t="s">
        <v>2814</v>
      </c>
      <c r="C449" s="191" t="s">
        <v>1293</v>
      </c>
      <c r="D449" t="s">
        <v>1223</v>
      </c>
      <c r="E449" t="s">
        <v>47</v>
      </c>
      <c r="F449" t="s">
        <v>949</v>
      </c>
      <c r="G449" t="s">
        <v>1717</v>
      </c>
      <c r="H449" t="s">
        <v>1030</v>
      </c>
      <c r="I449" t="s">
        <v>1600</v>
      </c>
      <c r="J449" t="s">
        <v>1195</v>
      </c>
      <c r="K449" t="s">
        <v>1646</v>
      </c>
      <c r="L449" t="s">
        <v>1600</v>
      </c>
      <c r="M449" t="s">
        <v>1094</v>
      </c>
      <c r="N449" t="s">
        <v>1646</v>
      </c>
      <c r="O449" t="s">
        <v>1600</v>
      </c>
      <c r="P449" t="s">
        <v>923</v>
      </c>
      <c r="Q449" t="s">
        <v>1646</v>
      </c>
      <c r="R449" t="s">
        <v>1646</v>
      </c>
      <c r="S449" t="s">
        <v>923</v>
      </c>
      <c r="T449" t="s">
        <v>956</v>
      </c>
      <c r="U449" t="s">
        <v>1131</v>
      </c>
      <c r="V449" t="s">
        <v>1094</v>
      </c>
      <c r="W449" t="s">
        <v>1094</v>
      </c>
      <c r="X449" t="s">
        <v>1008</v>
      </c>
      <c r="Y449" t="s">
        <v>1600</v>
      </c>
      <c r="Z449" t="s">
        <v>1008</v>
      </c>
      <c r="AA449" t="s">
        <v>1600</v>
      </c>
      <c r="AB449" t="s">
        <v>1094</v>
      </c>
      <c r="AC449" t="s">
        <v>1600</v>
      </c>
      <c r="AD449" t="s">
        <v>923</v>
      </c>
      <c r="AE449">
        <v>1</v>
      </c>
      <c r="AF449">
        <v>1</v>
      </c>
    </row>
    <row r="450" spans="1:32" x14ac:dyDescent="0.25">
      <c r="A450" s="191" t="s">
        <v>2389</v>
      </c>
      <c r="B450" t="s">
        <v>299</v>
      </c>
      <c r="C450" t="s">
        <v>1176</v>
      </c>
      <c r="D450" t="s">
        <v>133</v>
      </c>
      <c r="E450" t="s">
        <v>47</v>
      </c>
      <c r="F450" t="s">
        <v>973</v>
      </c>
      <c r="G450" t="s">
        <v>901</v>
      </c>
      <c r="H450" t="s">
        <v>1540</v>
      </c>
      <c r="I450" t="s">
        <v>1012</v>
      </c>
      <c r="J450" t="s">
        <v>1329</v>
      </c>
      <c r="K450" t="s">
        <v>1021</v>
      </c>
      <c r="L450" t="s">
        <v>934</v>
      </c>
      <c r="M450" t="s">
        <v>1008</v>
      </c>
      <c r="N450" t="s">
        <v>1666</v>
      </c>
      <c r="O450" t="s">
        <v>924</v>
      </c>
      <c r="P450" t="s">
        <v>1211</v>
      </c>
      <c r="Q450" t="s">
        <v>1208</v>
      </c>
      <c r="R450" t="s">
        <v>1090</v>
      </c>
      <c r="S450" t="s">
        <v>945</v>
      </c>
      <c r="T450" t="s">
        <v>1310</v>
      </c>
      <c r="U450" t="s">
        <v>1382</v>
      </c>
      <c r="V450" t="s">
        <v>923</v>
      </c>
      <c r="W450" t="s">
        <v>1104</v>
      </c>
      <c r="X450" t="s">
        <v>1155</v>
      </c>
      <c r="Y450" t="s">
        <v>1012</v>
      </c>
      <c r="Z450" t="s">
        <v>969</v>
      </c>
      <c r="AA450" t="s">
        <v>1065</v>
      </c>
      <c r="AB450" t="s">
        <v>1008</v>
      </c>
      <c r="AC450" t="s">
        <v>1029</v>
      </c>
      <c r="AD450" t="s">
        <v>1112</v>
      </c>
      <c r="AE450">
        <v>6.6000000000000005</v>
      </c>
      <c r="AF450">
        <v>6.7425999999999995</v>
      </c>
    </row>
    <row r="451" spans="1:32" x14ac:dyDescent="0.25">
      <c r="A451" s="191" t="s">
        <v>2391</v>
      </c>
      <c r="B451" t="s">
        <v>2392</v>
      </c>
      <c r="C451" t="s">
        <v>950</v>
      </c>
      <c r="D451" t="s">
        <v>97</v>
      </c>
      <c r="E451" t="s">
        <v>47</v>
      </c>
      <c r="F451" t="s">
        <v>1138</v>
      </c>
      <c r="G451" t="s">
        <v>1717</v>
      </c>
      <c r="H451" t="s">
        <v>1217</v>
      </c>
      <c r="I451" t="s">
        <v>956</v>
      </c>
      <c r="J451" t="s">
        <v>920</v>
      </c>
      <c r="K451" t="s">
        <v>1531</v>
      </c>
      <c r="L451" t="s">
        <v>923</v>
      </c>
      <c r="M451" t="s">
        <v>1135</v>
      </c>
      <c r="N451" t="s">
        <v>2238</v>
      </c>
      <c r="O451" t="s">
        <v>923</v>
      </c>
      <c r="P451" t="s">
        <v>1049</v>
      </c>
      <c r="Q451" t="s">
        <v>1262</v>
      </c>
      <c r="R451" t="s">
        <v>1340</v>
      </c>
      <c r="S451" t="s">
        <v>918</v>
      </c>
      <c r="T451" t="s">
        <v>1064</v>
      </c>
      <c r="U451" t="s">
        <v>1765</v>
      </c>
      <c r="V451" t="s">
        <v>1008</v>
      </c>
      <c r="W451" t="s">
        <v>925</v>
      </c>
      <c r="X451" t="s">
        <v>964</v>
      </c>
      <c r="Y451" t="s">
        <v>918</v>
      </c>
      <c r="Z451" t="s">
        <v>991</v>
      </c>
      <c r="AA451" t="s">
        <v>934</v>
      </c>
      <c r="AB451" t="s">
        <v>1008</v>
      </c>
      <c r="AC451" t="s">
        <v>1195</v>
      </c>
      <c r="AD451" t="s">
        <v>1126</v>
      </c>
      <c r="AE451">
        <v>5.9</v>
      </c>
      <c r="AF451">
        <v>5.9593000000000007</v>
      </c>
    </row>
    <row r="452" spans="1:32" x14ac:dyDescent="0.25">
      <c r="A452" s="191" t="s">
        <v>2393</v>
      </c>
      <c r="B452" t="s">
        <v>2394</v>
      </c>
      <c r="C452" t="s">
        <v>973</v>
      </c>
      <c r="D452" t="s">
        <v>1069</v>
      </c>
      <c r="E452" t="s">
        <v>56</v>
      </c>
      <c r="F452" t="s">
        <v>1355</v>
      </c>
      <c r="G452" t="s">
        <v>1096</v>
      </c>
      <c r="H452" t="s">
        <v>1548</v>
      </c>
      <c r="I452" t="s">
        <v>908</v>
      </c>
      <c r="J452" t="s">
        <v>1134</v>
      </c>
      <c r="K452" t="s">
        <v>1075</v>
      </c>
      <c r="L452" t="s">
        <v>945</v>
      </c>
      <c r="M452" t="s">
        <v>1220</v>
      </c>
      <c r="N452" t="s">
        <v>1784</v>
      </c>
      <c r="O452" t="s">
        <v>918</v>
      </c>
      <c r="P452" t="s">
        <v>908</v>
      </c>
      <c r="Q452" t="s">
        <v>1474</v>
      </c>
      <c r="R452" t="s">
        <v>1656</v>
      </c>
      <c r="S452" t="s">
        <v>969</v>
      </c>
      <c r="T452" t="s">
        <v>1008</v>
      </c>
      <c r="U452" t="s">
        <v>2395</v>
      </c>
      <c r="V452" t="s">
        <v>1008</v>
      </c>
      <c r="W452" t="s">
        <v>922</v>
      </c>
      <c r="X452" t="s">
        <v>924</v>
      </c>
      <c r="Y452" t="s">
        <v>924</v>
      </c>
      <c r="Z452" t="s">
        <v>969</v>
      </c>
      <c r="AA452" t="s">
        <v>934</v>
      </c>
      <c r="AB452" t="s">
        <v>1065</v>
      </c>
      <c r="AC452" t="s">
        <v>918</v>
      </c>
      <c r="AD452" t="s">
        <v>1126</v>
      </c>
      <c r="AE452">
        <v>6</v>
      </c>
      <c r="AF452">
        <v>5.9013</v>
      </c>
    </row>
    <row r="453" spans="1:32" x14ac:dyDescent="0.25">
      <c r="A453" s="191" t="s">
        <v>2396</v>
      </c>
      <c r="B453" t="s">
        <v>2397</v>
      </c>
      <c r="C453" t="s">
        <v>1232</v>
      </c>
      <c r="D453" t="s">
        <v>1149</v>
      </c>
      <c r="E453" t="s">
        <v>93</v>
      </c>
      <c r="F453" t="s">
        <v>1255</v>
      </c>
      <c r="G453" t="s">
        <v>1106</v>
      </c>
      <c r="H453" t="s">
        <v>2139</v>
      </c>
      <c r="I453" t="s">
        <v>1049</v>
      </c>
      <c r="J453" t="s">
        <v>1079</v>
      </c>
      <c r="K453" t="s">
        <v>1828</v>
      </c>
      <c r="L453" t="s">
        <v>923</v>
      </c>
      <c r="M453" t="s">
        <v>1000</v>
      </c>
      <c r="N453" t="s">
        <v>2095</v>
      </c>
      <c r="O453" t="s">
        <v>918</v>
      </c>
      <c r="P453" t="s">
        <v>947</v>
      </c>
      <c r="Q453" t="s">
        <v>1719</v>
      </c>
      <c r="R453" t="s">
        <v>1968</v>
      </c>
      <c r="S453" t="s">
        <v>1064</v>
      </c>
      <c r="T453" t="s">
        <v>1029</v>
      </c>
      <c r="U453" t="s">
        <v>2009</v>
      </c>
      <c r="V453" t="s">
        <v>945</v>
      </c>
      <c r="W453" t="s">
        <v>979</v>
      </c>
      <c r="X453" t="s">
        <v>957</v>
      </c>
      <c r="Y453" t="s">
        <v>945</v>
      </c>
      <c r="Z453" t="s">
        <v>1065</v>
      </c>
      <c r="AA453" t="s">
        <v>934</v>
      </c>
      <c r="AB453" t="s">
        <v>923</v>
      </c>
      <c r="AC453" t="s">
        <v>1230</v>
      </c>
      <c r="AD453" t="s">
        <v>1126</v>
      </c>
      <c r="AE453">
        <v>5.9</v>
      </c>
      <c r="AF453">
        <v>5.9474</v>
      </c>
    </row>
    <row r="454" spans="1:32" x14ac:dyDescent="0.25">
      <c r="A454" s="191" t="s">
        <v>2398</v>
      </c>
      <c r="B454" t="s">
        <v>2399</v>
      </c>
      <c r="C454" t="s">
        <v>995</v>
      </c>
      <c r="D454" t="s">
        <v>48</v>
      </c>
      <c r="E454" t="s">
        <v>93</v>
      </c>
      <c r="F454" t="s">
        <v>1150</v>
      </c>
      <c r="G454" t="s">
        <v>1096</v>
      </c>
      <c r="H454" t="s">
        <v>1392</v>
      </c>
      <c r="I454" t="s">
        <v>908</v>
      </c>
      <c r="J454" t="s">
        <v>957</v>
      </c>
      <c r="K454" t="s">
        <v>1577</v>
      </c>
      <c r="L454" t="s">
        <v>1195</v>
      </c>
      <c r="M454" t="s">
        <v>970</v>
      </c>
      <c r="N454" t="s">
        <v>1492</v>
      </c>
      <c r="O454" t="s">
        <v>987</v>
      </c>
      <c r="P454" t="s">
        <v>1230</v>
      </c>
      <c r="Q454" t="s">
        <v>1352</v>
      </c>
      <c r="R454" t="s">
        <v>1493</v>
      </c>
      <c r="S454" t="s">
        <v>1065</v>
      </c>
      <c r="T454" t="s">
        <v>969</v>
      </c>
      <c r="U454" t="s">
        <v>1007</v>
      </c>
      <c r="V454" t="s">
        <v>923</v>
      </c>
      <c r="W454" t="s">
        <v>1211</v>
      </c>
      <c r="X454" t="s">
        <v>1092</v>
      </c>
      <c r="Y454" t="s">
        <v>1012</v>
      </c>
      <c r="Z454" t="s">
        <v>1065</v>
      </c>
      <c r="AA454" t="s">
        <v>969</v>
      </c>
      <c r="AB454" t="s">
        <v>1008</v>
      </c>
      <c r="AC454" t="s">
        <v>922</v>
      </c>
      <c r="AD454" t="s">
        <v>1126</v>
      </c>
      <c r="AE454">
        <v>6</v>
      </c>
      <c r="AF454">
        <v>5.8915000000000006</v>
      </c>
    </row>
    <row r="455" spans="1:32" x14ac:dyDescent="0.25">
      <c r="A455" s="191" t="s">
        <v>2400</v>
      </c>
      <c r="B455" t="s">
        <v>2401</v>
      </c>
      <c r="C455" t="s">
        <v>973</v>
      </c>
      <c r="D455" t="s">
        <v>974</v>
      </c>
      <c r="E455" t="s">
        <v>72</v>
      </c>
      <c r="F455" t="s">
        <v>1147</v>
      </c>
      <c r="G455" t="s">
        <v>928</v>
      </c>
      <c r="H455" t="s">
        <v>911</v>
      </c>
      <c r="I455" t="s">
        <v>1012</v>
      </c>
      <c r="J455" t="s">
        <v>1155</v>
      </c>
      <c r="K455" t="s">
        <v>2290</v>
      </c>
      <c r="L455" t="s">
        <v>1600</v>
      </c>
      <c r="M455" t="s">
        <v>1600</v>
      </c>
      <c r="N455" t="s">
        <v>927</v>
      </c>
      <c r="O455" t="s">
        <v>1012</v>
      </c>
      <c r="P455" t="s">
        <v>1155</v>
      </c>
      <c r="Q455" t="s">
        <v>2290</v>
      </c>
      <c r="R455" t="s">
        <v>2290</v>
      </c>
      <c r="S455" t="s">
        <v>969</v>
      </c>
      <c r="T455" t="s">
        <v>987</v>
      </c>
      <c r="U455" t="s">
        <v>1133</v>
      </c>
      <c r="V455" t="s">
        <v>918</v>
      </c>
      <c r="W455" t="s">
        <v>993</v>
      </c>
      <c r="X455" t="s">
        <v>1000</v>
      </c>
      <c r="Y455" t="s">
        <v>934</v>
      </c>
      <c r="Z455" t="s">
        <v>1065</v>
      </c>
      <c r="AA455" t="s">
        <v>1094</v>
      </c>
      <c r="AB455" t="s">
        <v>987</v>
      </c>
      <c r="AC455" t="s">
        <v>1195</v>
      </c>
      <c r="AD455" t="s">
        <v>1079</v>
      </c>
      <c r="AE455">
        <v>5.8</v>
      </c>
      <c r="AF455" t="e">
        <v>#VALUE!</v>
      </c>
    </row>
    <row r="456" spans="1:32" x14ac:dyDescent="0.25">
      <c r="A456" s="191" t="s">
        <v>2400</v>
      </c>
      <c r="B456" t="s">
        <v>2401</v>
      </c>
      <c r="C456" t="s">
        <v>973</v>
      </c>
      <c r="D456" t="s">
        <v>170</v>
      </c>
      <c r="E456" t="s">
        <v>72</v>
      </c>
      <c r="F456" t="s">
        <v>1096</v>
      </c>
      <c r="G456" t="s">
        <v>1717</v>
      </c>
      <c r="H456" t="s">
        <v>1005</v>
      </c>
      <c r="I456" t="s">
        <v>1230</v>
      </c>
      <c r="J456" t="s">
        <v>925</v>
      </c>
      <c r="K456" t="s">
        <v>2028</v>
      </c>
      <c r="L456" t="s">
        <v>1600</v>
      </c>
      <c r="M456" t="s">
        <v>1600</v>
      </c>
      <c r="N456" t="s">
        <v>927</v>
      </c>
      <c r="O456" t="s">
        <v>1230</v>
      </c>
      <c r="P456" t="s">
        <v>925</v>
      </c>
      <c r="Q456" t="s">
        <v>2028</v>
      </c>
      <c r="R456" t="s">
        <v>2028</v>
      </c>
      <c r="S456" t="s">
        <v>1094</v>
      </c>
      <c r="T456" t="s">
        <v>969</v>
      </c>
      <c r="U456" t="s">
        <v>1836</v>
      </c>
      <c r="V456" t="s">
        <v>991</v>
      </c>
      <c r="W456" t="s">
        <v>923</v>
      </c>
      <c r="X456" t="s">
        <v>1230</v>
      </c>
      <c r="Y456" t="s">
        <v>1600</v>
      </c>
      <c r="Z456" t="s">
        <v>934</v>
      </c>
      <c r="AA456" t="s">
        <v>1119</v>
      </c>
      <c r="AB456" t="s">
        <v>1008</v>
      </c>
      <c r="AC456" t="s">
        <v>1008</v>
      </c>
      <c r="AD456" t="s">
        <v>1048</v>
      </c>
      <c r="AE456">
        <v>3.0999999999999996</v>
      </c>
      <c r="AF456" t="e">
        <v>#VALUE!</v>
      </c>
    </row>
    <row r="457" spans="1:32" x14ac:dyDescent="0.25">
      <c r="A457" s="191" t="s">
        <v>2400</v>
      </c>
      <c r="B457" t="s">
        <v>2401</v>
      </c>
      <c r="C457" t="s">
        <v>973</v>
      </c>
      <c r="D457" t="s">
        <v>151</v>
      </c>
      <c r="E457" t="s">
        <v>72</v>
      </c>
      <c r="F457" t="s">
        <v>972</v>
      </c>
      <c r="G457" t="s">
        <v>928</v>
      </c>
      <c r="H457" t="s">
        <v>2255</v>
      </c>
      <c r="I457" t="s">
        <v>1043</v>
      </c>
      <c r="J457" t="s">
        <v>1118</v>
      </c>
      <c r="K457" t="s">
        <v>1674</v>
      </c>
      <c r="L457" t="s">
        <v>1600</v>
      </c>
      <c r="M457" t="s">
        <v>1600</v>
      </c>
      <c r="N457" t="s">
        <v>927</v>
      </c>
      <c r="O457" t="s">
        <v>1043</v>
      </c>
      <c r="P457" t="s">
        <v>1118</v>
      </c>
      <c r="Q457" t="s">
        <v>1674</v>
      </c>
      <c r="R457" t="s">
        <v>1674</v>
      </c>
      <c r="S457" t="s">
        <v>1195</v>
      </c>
      <c r="T457" t="s">
        <v>1310</v>
      </c>
      <c r="U457" t="s">
        <v>1765</v>
      </c>
      <c r="V457" t="s">
        <v>956</v>
      </c>
      <c r="W457" t="s">
        <v>1079</v>
      </c>
      <c r="X457" t="s">
        <v>1011</v>
      </c>
      <c r="Y457" t="s">
        <v>1065</v>
      </c>
      <c r="Z457" t="s">
        <v>923</v>
      </c>
      <c r="AA457" t="s">
        <v>987</v>
      </c>
      <c r="AB457" t="s">
        <v>1195</v>
      </c>
      <c r="AC457" t="s">
        <v>1104</v>
      </c>
      <c r="AD457" t="s">
        <v>931</v>
      </c>
      <c r="AE457">
        <v>11.9</v>
      </c>
      <c r="AF457" t="e">
        <v>#VALUE!</v>
      </c>
    </row>
    <row r="458" spans="1:32" x14ac:dyDescent="0.25">
      <c r="A458" s="191" t="s">
        <v>2402</v>
      </c>
      <c r="B458" t="s">
        <v>370</v>
      </c>
      <c r="C458" t="s">
        <v>1245</v>
      </c>
      <c r="D458" t="s">
        <v>108</v>
      </c>
      <c r="E458" t="s">
        <v>72</v>
      </c>
      <c r="F458" t="s">
        <v>1165</v>
      </c>
      <c r="G458" t="s">
        <v>1121</v>
      </c>
      <c r="H458" t="s">
        <v>1635</v>
      </c>
      <c r="I458" t="s">
        <v>947</v>
      </c>
      <c r="J458" t="s">
        <v>970</v>
      </c>
      <c r="K458" t="s">
        <v>1983</v>
      </c>
      <c r="L458" t="s">
        <v>1600</v>
      </c>
      <c r="M458" t="s">
        <v>1600</v>
      </c>
      <c r="N458" t="s">
        <v>1646</v>
      </c>
      <c r="O458" t="s">
        <v>947</v>
      </c>
      <c r="P458" t="s">
        <v>970</v>
      </c>
      <c r="Q458" t="s">
        <v>2403</v>
      </c>
      <c r="R458" t="s">
        <v>1983</v>
      </c>
      <c r="S458" t="s">
        <v>945</v>
      </c>
      <c r="T458" t="s">
        <v>922</v>
      </c>
      <c r="U458" t="s">
        <v>2404</v>
      </c>
      <c r="V458" t="s">
        <v>1029</v>
      </c>
      <c r="W458" t="s">
        <v>1012</v>
      </c>
      <c r="X458" t="s">
        <v>1081</v>
      </c>
      <c r="Y458" t="s">
        <v>1065</v>
      </c>
      <c r="Z458" t="s">
        <v>991</v>
      </c>
      <c r="AA458" t="s">
        <v>945</v>
      </c>
      <c r="AB458" t="s">
        <v>1064</v>
      </c>
      <c r="AC458" t="s">
        <v>925</v>
      </c>
      <c r="AD458" t="s">
        <v>1079</v>
      </c>
      <c r="AE458">
        <v>5.8</v>
      </c>
      <c r="AF458">
        <v>5.8052000000000001</v>
      </c>
    </row>
    <row r="459" spans="1:32" x14ac:dyDescent="0.25">
      <c r="A459" s="191" t="s">
        <v>2405</v>
      </c>
      <c r="B459" t="s">
        <v>2406</v>
      </c>
      <c r="C459" t="s">
        <v>902</v>
      </c>
      <c r="D459" t="s">
        <v>170</v>
      </c>
      <c r="E459" t="s">
        <v>56</v>
      </c>
      <c r="F459" t="s">
        <v>1015</v>
      </c>
      <c r="G459" t="s">
        <v>1067</v>
      </c>
      <c r="H459" t="s">
        <v>1199</v>
      </c>
      <c r="I459" t="s">
        <v>908</v>
      </c>
      <c r="J459" t="s">
        <v>1103</v>
      </c>
      <c r="K459" t="s">
        <v>1426</v>
      </c>
      <c r="L459" t="s">
        <v>1065</v>
      </c>
      <c r="M459" t="s">
        <v>1230</v>
      </c>
      <c r="N459" t="s">
        <v>910</v>
      </c>
      <c r="O459" t="s">
        <v>1310</v>
      </c>
      <c r="P459" t="s">
        <v>964</v>
      </c>
      <c r="Q459" t="s">
        <v>1551</v>
      </c>
      <c r="R459" t="s">
        <v>1058</v>
      </c>
      <c r="S459" t="s">
        <v>1064</v>
      </c>
      <c r="T459" t="s">
        <v>1230</v>
      </c>
      <c r="U459" t="s">
        <v>1185</v>
      </c>
      <c r="V459" t="s">
        <v>1065</v>
      </c>
      <c r="W459" t="s">
        <v>1064</v>
      </c>
      <c r="X459" t="s">
        <v>1029</v>
      </c>
      <c r="Y459" t="s">
        <v>1049</v>
      </c>
      <c r="Z459" t="s">
        <v>987</v>
      </c>
      <c r="AA459" t="s">
        <v>934</v>
      </c>
      <c r="AB459" t="s">
        <v>969</v>
      </c>
      <c r="AC459" t="s">
        <v>1310</v>
      </c>
      <c r="AD459" t="s">
        <v>1079</v>
      </c>
      <c r="AE459">
        <v>5.8000000000000007</v>
      </c>
      <c r="AF459">
        <v>5.8040000000000003</v>
      </c>
    </row>
    <row r="460" spans="1:32" x14ac:dyDescent="0.25">
      <c r="A460" s="191" t="s">
        <v>2407</v>
      </c>
      <c r="B460" t="s">
        <v>2408</v>
      </c>
      <c r="C460" t="s">
        <v>1293</v>
      </c>
      <c r="D460" t="s">
        <v>95</v>
      </c>
      <c r="E460" t="s">
        <v>72</v>
      </c>
      <c r="F460" t="s">
        <v>1238</v>
      </c>
      <c r="G460" t="s">
        <v>949</v>
      </c>
      <c r="H460" t="s">
        <v>1553</v>
      </c>
      <c r="I460" t="s">
        <v>993</v>
      </c>
      <c r="J460" t="s">
        <v>1160</v>
      </c>
      <c r="K460" t="s">
        <v>1987</v>
      </c>
      <c r="L460" t="s">
        <v>1119</v>
      </c>
      <c r="M460" t="s">
        <v>934</v>
      </c>
      <c r="N460" t="s">
        <v>1666</v>
      </c>
      <c r="O460" t="s">
        <v>993</v>
      </c>
      <c r="P460" t="s">
        <v>1155</v>
      </c>
      <c r="Q460" t="s">
        <v>2409</v>
      </c>
      <c r="R460" t="s">
        <v>2166</v>
      </c>
      <c r="S460" t="s">
        <v>987</v>
      </c>
      <c r="T460" t="s">
        <v>918</v>
      </c>
      <c r="U460" t="s">
        <v>1301</v>
      </c>
      <c r="V460" t="s">
        <v>968</v>
      </c>
      <c r="W460" t="s">
        <v>1081</v>
      </c>
      <c r="X460" t="s">
        <v>1126</v>
      </c>
      <c r="Y460" t="s">
        <v>1064</v>
      </c>
      <c r="Z460" t="s">
        <v>1008</v>
      </c>
      <c r="AA460" t="s">
        <v>922</v>
      </c>
      <c r="AB460" t="s">
        <v>918</v>
      </c>
      <c r="AC460" t="s">
        <v>1029</v>
      </c>
      <c r="AD460" t="s">
        <v>1079</v>
      </c>
      <c r="AE460">
        <v>5.8999999999999995</v>
      </c>
      <c r="AF460">
        <v>5.8258000000000001</v>
      </c>
    </row>
    <row r="461" spans="1:32" x14ac:dyDescent="0.25">
      <c r="A461" s="191" t="s">
        <v>2410</v>
      </c>
      <c r="B461" t="s">
        <v>2411</v>
      </c>
      <c r="C461" t="s">
        <v>1032</v>
      </c>
      <c r="D461" t="s">
        <v>1149</v>
      </c>
      <c r="E461" t="s">
        <v>72</v>
      </c>
      <c r="F461" t="s">
        <v>1271</v>
      </c>
      <c r="G461" t="s">
        <v>1083</v>
      </c>
      <c r="H461" t="s">
        <v>1418</v>
      </c>
      <c r="I461" t="s">
        <v>924</v>
      </c>
      <c r="J461" t="s">
        <v>1160</v>
      </c>
      <c r="K461" t="s">
        <v>1542</v>
      </c>
      <c r="L461" t="s">
        <v>1600</v>
      </c>
      <c r="M461" t="s">
        <v>1119</v>
      </c>
      <c r="N461" t="s">
        <v>1646</v>
      </c>
      <c r="O461" t="s">
        <v>924</v>
      </c>
      <c r="P461" t="s">
        <v>1160</v>
      </c>
      <c r="Q461" t="s">
        <v>1325</v>
      </c>
      <c r="R461" t="s">
        <v>1542</v>
      </c>
      <c r="S461" t="s">
        <v>923</v>
      </c>
      <c r="T461" t="s">
        <v>1029</v>
      </c>
      <c r="U461" t="s">
        <v>1856</v>
      </c>
      <c r="V461" t="s">
        <v>1012</v>
      </c>
      <c r="W461" t="s">
        <v>979</v>
      </c>
      <c r="X461" t="s">
        <v>985</v>
      </c>
      <c r="Y461" t="s">
        <v>987</v>
      </c>
      <c r="Z461" t="s">
        <v>969</v>
      </c>
      <c r="AA461" t="s">
        <v>969</v>
      </c>
      <c r="AB461" t="s">
        <v>918</v>
      </c>
      <c r="AC461" t="s">
        <v>1310</v>
      </c>
      <c r="AD461" t="s">
        <v>909</v>
      </c>
      <c r="AE461">
        <v>5.8</v>
      </c>
      <c r="AF461">
        <v>5.5804</v>
      </c>
    </row>
    <row r="462" spans="1:32" x14ac:dyDescent="0.25">
      <c r="A462" s="191" t="s">
        <v>2412</v>
      </c>
      <c r="B462" t="s">
        <v>2413</v>
      </c>
      <c r="C462" t="s">
        <v>1238</v>
      </c>
      <c r="D462" t="s">
        <v>1279</v>
      </c>
      <c r="E462" t="s">
        <v>47</v>
      </c>
      <c r="F462" t="s">
        <v>1238</v>
      </c>
      <c r="G462" t="s">
        <v>1717</v>
      </c>
      <c r="H462" t="s">
        <v>1815</v>
      </c>
      <c r="I462" t="s">
        <v>956</v>
      </c>
      <c r="J462" t="s">
        <v>1134</v>
      </c>
      <c r="K462" t="s">
        <v>1538</v>
      </c>
      <c r="L462" t="s">
        <v>922</v>
      </c>
      <c r="M462" t="s">
        <v>1030</v>
      </c>
      <c r="N462" t="s">
        <v>1319</v>
      </c>
      <c r="O462" t="s">
        <v>1094</v>
      </c>
      <c r="P462" t="s">
        <v>1064</v>
      </c>
      <c r="Q462" t="s">
        <v>2414</v>
      </c>
      <c r="R462" t="s">
        <v>1374</v>
      </c>
      <c r="S462" t="s">
        <v>934</v>
      </c>
      <c r="T462" t="s">
        <v>1094</v>
      </c>
      <c r="U462" t="s">
        <v>1836</v>
      </c>
      <c r="V462" t="s">
        <v>934</v>
      </c>
      <c r="W462" t="s">
        <v>1195</v>
      </c>
      <c r="X462" t="s">
        <v>1310</v>
      </c>
      <c r="Y462" t="s">
        <v>969</v>
      </c>
      <c r="Z462" t="s">
        <v>1094</v>
      </c>
      <c r="AA462" t="s">
        <v>1119</v>
      </c>
      <c r="AB462" t="s">
        <v>987</v>
      </c>
      <c r="AC462" t="s">
        <v>1064</v>
      </c>
      <c r="AD462" t="s">
        <v>909</v>
      </c>
      <c r="AE462">
        <v>5.8999999999999995</v>
      </c>
      <c r="AF462">
        <v>5.7312000000000003</v>
      </c>
    </row>
    <row r="463" spans="1:32" x14ac:dyDescent="0.25">
      <c r="A463" s="191" t="s">
        <v>2415</v>
      </c>
      <c r="B463" t="s">
        <v>418</v>
      </c>
      <c r="C463" t="s">
        <v>1293</v>
      </c>
      <c r="D463" t="s">
        <v>129</v>
      </c>
      <c r="E463" t="s">
        <v>63</v>
      </c>
      <c r="F463" t="s">
        <v>975</v>
      </c>
      <c r="G463" t="s">
        <v>1717</v>
      </c>
      <c r="H463" t="s">
        <v>1460</v>
      </c>
      <c r="I463" t="s">
        <v>908</v>
      </c>
      <c r="J463" t="s">
        <v>1211</v>
      </c>
      <c r="K463" t="s">
        <v>1141</v>
      </c>
      <c r="L463" t="s">
        <v>945</v>
      </c>
      <c r="M463" t="s">
        <v>946</v>
      </c>
      <c r="N463" t="s">
        <v>1225</v>
      </c>
      <c r="O463" t="s">
        <v>918</v>
      </c>
      <c r="P463" t="s">
        <v>1310</v>
      </c>
      <c r="Q463" t="s">
        <v>1856</v>
      </c>
      <c r="R463" t="s">
        <v>1542</v>
      </c>
      <c r="S463" t="s">
        <v>934</v>
      </c>
      <c r="T463" t="s">
        <v>991</v>
      </c>
      <c r="U463" t="s">
        <v>1696</v>
      </c>
      <c r="V463" t="s">
        <v>934</v>
      </c>
      <c r="W463" t="s">
        <v>923</v>
      </c>
      <c r="X463" t="s">
        <v>945</v>
      </c>
      <c r="Y463" t="s">
        <v>1065</v>
      </c>
      <c r="Z463" t="s">
        <v>1065</v>
      </c>
      <c r="AA463" t="s">
        <v>1600</v>
      </c>
      <c r="AB463" t="s">
        <v>991</v>
      </c>
      <c r="AC463" t="s">
        <v>923</v>
      </c>
      <c r="AD463" t="s">
        <v>909</v>
      </c>
      <c r="AE463">
        <v>5.6000000000000005</v>
      </c>
      <c r="AF463">
        <v>5.7439</v>
      </c>
    </row>
    <row r="464" spans="1:32" x14ac:dyDescent="0.25">
      <c r="A464" s="191" t="s">
        <v>2416</v>
      </c>
      <c r="B464" t="s">
        <v>2417</v>
      </c>
      <c r="C464" t="s">
        <v>902</v>
      </c>
      <c r="D464" t="s">
        <v>1014</v>
      </c>
      <c r="E464" t="s">
        <v>56</v>
      </c>
      <c r="F464" t="s">
        <v>950</v>
      </c>
      <c r="G464" t="s">
        <v>1031</v>
      </c>
      <c r="H464" t="s">
        <v>937</v>
      </c>
      <c r="I464" t="s">
        <v>925</v>
      </c>
      <c r="J464" t="s">
        <v>920</v>
      </c>
      <c r="K464" t="s">
        <v>1018</v>
      </c>
      <c r="L464" t="s">
        <v>918</v>
      </c>
      <c r="M464" t="s">
        <v>947</v>
      </c>
      <c r="N464" t="s">
        <v>2226</v>
      </c>
      <c r="O464" t="s">
        <v>1195</v>
      </c>
      <c r="P464" t="s">
        <v>1012</v>
      </c>
      <c r="Q464" t="s">
        <v>1845</v>
      </c>
      <c r="R464" t="s">
        <v>1171</v>
      </c>
      <c r="S464" t="s">
        <v>1094</v>
      </c>
      <c r="T464" t="s">
        <v>991</v>
      </c>
      <c r="U464" t="s">
        <v>1597</v>
      </c>
      <c r="V464" t="s">
        <v>1195</v>
      </c>
      <c r="W464" t="s">
        <v>1012</v>
      </c>
      <c r="X464" t="s">
        <v>1160</v>
      </c>
      <c r="Y464" t="s">
        <v>1230</v>
      </c>
      <c r="Z464" t="s">
        <v>923</v>
      </c>
      <c r="AA464" t="s">
        <v>991</v>
      </c>
      <c r="AB464" t="s">
        <v>918</v>
      </c>
      <c r="AC464" t="s">
        <v>1310</v>
      </c>
      <c r="AD464" t="s">
        <v>1092</v>
      </c>
      <c r="AE464">
        <v>5.6000000000000005</v>
      </c>
      <c r="AF464">
        <v>5.5927999999999995</v>
      </c>
    </row>
    <row r="465" spans="1:32" x14ac:dyDescent="0.25">
      <c r="A465" s="191" t="s">
        <v>2418</v>
      </c>
      <c r="B465" t="s">
        <v>2419</v>
      </c>
      <c r="C465" t="s">
        <v>1015</v>
      </c>
      <c r="D465" t="s">
        <v>974</v>
      </c>
      <c r="E465" t="s">
        <v>63</v>
      </c>
      <c r="F465" t="s">
        <v>1489</v>
      </c>
      <c r="G465" t="s">
        <v>928</v>
      </c>
      <c r="H465" t="s">
        <v>1675</v>
      </c>
      <c r="I465" t="s">
        <v>956</v>
      </c>
      <c r="J465" t="s">
        <v>1047</v>
      </c>
      <c r="K465" t="s">
        <v>1440</v>
      </c>
      <c r="L465" t="s">
        <v>1008</v>
      </c>
      <c r="M465" t="s">
        <v>1049</v>
      </c>
      <c r="N465" t="s">
        <v>1625</v>
      </c>
      <c r="O465" t="s">
        <v>1230</v>
      </c>
      <c r="P465" t="s">
        <v>1012</v>
      </c>
      <c r="Q465" t="s">
        <v>1667</v>
      </c>
      <c r="R465" t="s">
        <v>1171</v>
      </c>
      <c r="S465" t="s">
        <v>987</v>
      </c>
      <c r="T465" t="s">
        <v>923</v>
      </c>
      <c r="U465" t="s">
        <v>1330</v>
      </c>
      <c r="V465" t="s">
        <v>1065</v>
      </c>
      <c r="W465" t="s">
        <v>1195</v>
      </c>
      <c r="X465" t="s">
        <v>968</v>
      </c>
      <c r="Y465" t="s">
        <v>968</v>
      </c>
      <c r="Z465" t="s">
        <v>991</v>
      </c>
      <c r="AA465" t="s">
        <v>1119</v>
      </c>
      <c r="AB465" t="s">
        <v>1008</v>
      </c>
      <c r="AC465" t="s">
        <v>945</v>
      </c>
      <c r="AD465" t="s">
        <v>1291</v>
      </c>
      <c r="AE465">
        <v>5.4999999999999991</v>
      </c>
      <c r="AF465">
        <v>5.5415999999999999</v>
      </c>
    </row>
    <row r="466" spans="1:32" x14ac:dyDescent="0.25">
      <c r="A466" s="191" t="s">
        <v>2418</v>
      </c>
      <c r="B466" t="s">
        <v>2419</v>
      </c>
      <c r="C466" t="s">
        <v>1015</v>
      </c>
      <c r="D466" t="s">
        <v>1279</v>
      </c>
      <c r="E466" t="s">
        <v>63</v>
      </c>
      <c r="F466" t="s">
        <v>1293</v>
      </c>
      <c r="G466" t="s">
        <v>901</v>
      </c>
      <c r="H466" t="s">
        <v>1281</v>
      </c>
      <c r="I466" t="s">
        <v>1220</v>
      </c>
      <c r="J466" t="s">
        <v>1079</v>
      </c>
      <c r="K466" t="s">
        <v>1364</v>
      </c>
      <c r="L466" t="s">
        <v>923</v>
      </c>
      <c r="M466" t="s">
        <v>1220</v>
      </c>
      <c r="N466" t="s">
        <v>1461</v>
      </c>
      <c r="O466" t="s">
        <v>922</v>
      </c>
      <c r="P466" t="s">
        <v>946</v>
      </c>
      <c r="Q466" t="s">
        <v>1352</v>
      </c>
      <c r="R466" t="s">
        <v>1656</v>
      </c>
      <c r="S466" t="s">
        <v>918</v>
      </c>
      <c r="T466" t="s">
        <v>945</v>
      </c>
      <c r="U466" t="s">
        <v>1866</v>
      </c>
      <c r="V466" t="s">
        <v>969</v>
      </c>
      <c r="W466" t="s">
        <v>1195</v>
      </c>
      <c r="X466" t="s">
        <v>1049</v>
      </c>
      <c r="Y466" t="s">
        <v>924</v>
      </c>
      <c r="Z466" t="s">
        <v>969</v>
      </c>
      <c r="AA466" t="s">
        <v>1600</v>
      </c>
      <c r="AB466" t="s">
        <v>1008</v>
      </c>
      <c r="AC466" t="s">
        <v>1029</v>
      </c>
      <c r="AD466" t="s">
        <v>988</v>
      </c>
      <c r="AE466">
        <v>7.3000000000000007</v>
      </c>
      <c r="AF466">
        <v>7.3403</v>
      </c>
    </row>
    <row r="467" spans="1:32" x14ac:dyDescent="0.25">
      <c r="A467" s="191" t="s">
        <v>2418</v>
      </c>
      <c r="B467" t="s">
        <v>2419</v>
      </c>
      <c r="C467" t="s">
        <v>1015</v>
      </c>
      <c r="D467" t="s">
        <v>1014</v>
      </c>
      <c r="E467" t="s">
        <v>63</v>
      </c>
      <c r="F467" t="s">
        <v>929</v>
      </c>
      <c r="G467" t="s">
        <v>901</v>
      </c>
      <c r="H467" t="s">
        <v>1002</v>
      </c>
      <c r="I467" t="s">
        <v>1230</v>
      </c>
      <c r="J467" t="s">
        <v>1048</v>
      </c>
      <c r="K467" t="s">
        <v>1784</v>
      </c>
      <c r="L467" t="s">
        <v>1094</v>
      </c>
      <c r="M467" t="s">
        <v>1064</v>
      </c>
      <c r="N467" t="s">
        <v>2420</v>
      </c>
      <c r="O467" t="s">
        <v>1064</v>
      </c>
      <c r="P467" t="s">
        <v>908</v>
      </c>
      <c r="Q467" t="s">
        <v>1471</v>
      </c>
      <c r="R467" t="s">
        <v>1514</v>
      </c>
      <c r="S467" t="s">
        <v>1008</v>
      </c>
      <c r="T467" t="s">
        <v>918</v>
      </c>
      <c r="U467" t="s">
        <v>1102</v>
      </c>
      <c r="V467" t="s">
        <v>1065</v>
      </c>
      <c r="W467" t="s">
        <v>1195</v>
      </c>
      <c r="X467" t="s">
        <v>968</v>
      </c>
      <c r="Y467" t="s">
        <v>1195</v>
      </c>
      <c r="Z467" t="s">
        <v>1094</v>
      </c>
      <c r="AA467" t="s">
        <v>1119</v>
      </c>
      <c r="AB467" t="s">
        <v>1008</v>
      </c>
      <c r="AC467" t="s">
        <v>987</v>
      </c>
      <c r="AD467" t="s">
        <v>1160</v>
      </c>
      <c r="AE467">
        <v>3.8</v>
      </c>
      <c r="AF467">
        <v>3.8652000000000002</v>
      </c>
    </row>
    <row r="468" spans="1:32" x14ac:dyDescent="0.25">
      <c r="A468" s="191" t="s">
        <v>1414</v>
      </c>
      <c r="B468" t="s">
        <v>1415</v>
      </c>
      <c r="C468" t="s">
        <v>995</v>
      </c>
      <c r="D468" t="s">
        <v>65</v>
      </c>
      <c r="E468" t="s">
        <v>63</v>
      </c>
      <c r="F468" t="s">
        <v>1416</v>
      </c>
      <c r="G468" t="s">
        <v>1416</v>
      </c>
      <c r="H468" t="s">
        <v>1417</v>
      </c>
      <c r="I468" t="s">
        <v>988</v>
      </c>
      <c r="J468" t="s">
        <v>1418</v>
      </c>
      <c r="K468" t="s">
        <v>1419</v>
      </c>
      <c r="L468" t="s">
        <v>964</v>
      </c>
      <c r="M468" t="s">
        <v>1027</v>
      </c>
      <c r="N468" t="s">
        <v>1001</v>
      </c>
      <c r="O468" t="s">
        <v>1211</v>
      </c>
      <c r="P468" t="s">
        <v>1072</v>
      </c>
      <c r="Q468" t="s">
        <v>1420</v>
      </c>
      <c r="R468" t="s">
        <v>1412</v>
      </c>
      <c r="S468" t="s">
        <v>970</v>
      </c>
      <c r="T468" t="s">
        <v>919</v>
      </c>
      <c r="U468" t="s">
        <v>1421</v>
      </c>
      <c r="V468" t="s">
        <v>1065</v>
      </c>
      <c r="W468" t="s">
        <v>1228</v>
      </c>
      <c r="X468" t="s">
        <v>1211</v>
      </c>
      <c r="Y468" t="s">
        <v>1000</v>
      </c>
      <c r="Z468" t="s">
        <v>918</v>
      </c>
      <c r="AA468" t="s">
        <v>1094</v>
      </c>
      <c r="AB468" t="s">
        <v>993</v>
      </c>
      <c r="AC468" t="s">
        <v>1310</v>
      </c>
      <c r="AD468" t="s">
        <v>1087</v>
      </c>
      <c r="AE468">
        <v>21</v>
      </c>
      <c r="AF468">
        <v>20.997099999999996</v>
      </c>
    </row>
    <row r="469" spans="1:32" x14ac:dyDescent="0.25">
      <c r="A469" s="191" t="s">
        <v>1410</v>
      </c>
      <c r="B469" t="s">
        <v>71</v>
      </c>
      <c r="C469" t="s">
        <v>995</v>
      </c>
      <c r="D469" t="s">
        <v>65</v>
      </c>
      <c r="E469" t="s">
        <v>72</v>
      </c>
      <c r="F469" t="s">
        <v>903</v>
      </c>
      <c r="G469" t="s">
        <v>903</v>
      </c>
      <c r="H469" t="s">
        <v>1486</v>
      </c>
      <c r="I469" t="s">
        <v>1028</v>
      </c>
      <c r="J469" t="s">
        <v>1487</v>
      </c>
      <c r="K469" t="s">
        <v>1476</v>
      </c>
      <c r="L469" t="s">
        <v>1094</v>
      </c>
      <c r="M469" t="s">
        <v>945</v>
      </c>
      <c r="N469" t="s">
        <v>1198</v>
      </c>
      <c r="O469" t="s">
        <v>1026</v>
      </c>
      <c r="P469" t="s">
        <v>1129</v>
      </c>
      <c r="Q469" t="s">
        <v>907</v>
      </c>
      <c r="R469" t="s">
        <v>1412</v>
      </c>
      <c r="S469" t="s">
        <v>1160</v>
      </c>
      <c r="T469" t="s">
        <v>1092</v>
      </c>
      <c r="U469" t="s">
        <v>1488</v>
      </c>
      <c r="V469" t="s">
        <v>1000</v>
      </c>
      <c r="W469" t="s">
        <v>1116</v>
      </c>
      <c r="X469" t="s">
        <v>1038</v>
      </c>
      <c r="Y469" t="s">
        <v>1046</v>
      </c>
      <c r="Z469" t="s">
        <v>1064</v>
      </c>
      <c r="AA469" t="s">
        <v>987</v>
      </c>
      <c r="AB469" t="s">
        <v>1012</v>
      </c>
      <c r="AC469" t="s">
        <v>1104</v>
      </c>
      <c r="AD469" t="s">
        <v>1485</v>
      </c>
      <c r="AE469">
        <v>19.2</v>
      </c>
      <c r="AF469">
        <v>19.038399999999999</v>
      </c>
    </row>
    <row r="470" spans="1:32" x14ac:dyDescent="0.25">
      <c r="A470" s="191" t="s">
        <v>2426</v>
      </c>
      <c r="B470" t="s">
        <v>2427</v>
      </c>
      <c r="C470" t="s">
        <v>1293</v>
      </c>
      <c r="D470" t="s">
        <v>142</v>
      </c>
      <c r="E470" t="s">
        <v>93</v>
      </c>
      <c r="F470" t="s">
        <v>1271</v>
      </c>
      <c r="G470" t="s">
        <v>901</v>
      </c>
      <c r="H470" t="s">
        <v>1183</v>
      </c>
      <c r="I470" t="s">
        <v>1049</v>
      </c>
      <c r="J470" t="s">
        <v>1211</v>
      </c>
      <c r="K470" t="s">
        <v>1968</v>
      </c>
      <c r="L470" t="s">
        <v>1065</v>
      </c>
      <c r="M470" t="s">
        <v>908</v>
      </c>
      <c r="N470" t="s">
        <v>2227</v>
      </c>
      <c r="O470" t="s">
        <v>1195</v>
      </c>
      <c r="P470" t="s">
        <v>924</v>
      </c>
      <c r="Q470" t="s">
        <v>1209</v>
      </c>
      <c r="R470" t="s">
        <v>1268</v>
      </c>
      <c r="S470" t="s">
        <v>923</v>
      </c>
      <c r="T470" t="s">
        <v>1310</v>
      </c>
      <c r="U470" t="s">
        <v>2121</v>
      </c>
      <c r="V470" t="s">
        <v>922</v>
      </c>
      <c r="W470" t="s">
        <v>1220</v>
      </c>
      <c r="X470" t="s">
        <v>1103</v>
      </c>
      <c r="Y470" t="s">
        <v>969</v>
      </c>
      <c r="Z470" t="s">
        <v>918</v>
      </c>
      <c r="AA470" t="s">
        <v>1064</v>
      </c>
      <c r="AB470" t="s">
        <v>1065</v>
      </c>
      <c r="AC470" t="s">
        <v>1195</v>
      </c>
      <c r="AD470" t="s">
        <v>1329</v>
      </c>
      <c r="AE470">
        <v>5.3</v>
      </c>
      <c r="AF470">
        <v>5.3933999999999997</v>
      </c>
    </row>
    <row r="471" spans="1:32" x14ac:dyDescent="0.25">
      <c r="A471" s="191" t="s">
        <v>2428</v>
      </c>
      <c r="B471" t="s">
        <v>2429</v>
      </c>
      <c r="C471" t="s">
        <v>1015</v>
      </c>
      <c r="D471" t="s">
        <v>85</v>
      </c>
      <c r="E471" t="s">
        <v>93</v>
      </c>
      <c r="F471" t="s">
        <v>1501</v>
      </c>
      <c r="G471" t="s">
        <v>929</v>
      </c>
      <c r="H471" t="s">
        <v>998</v>
      </c>
      <c r="I471" t="s">
        <v>1049</v>
      </c>
      <c r="J471" t="s">
        <v>1211</v>
      </c>
      <c r="K471" t="s">
        <v>1767</v>
      </c>
      <c r="L471" t="s">
        <v>1230</v>
      </c>
      <c r="M471" t="s">
        <v>1155</v>
      </c>
      <c r="N471" t="s">
        <v>1556</v>
      </c>
      <c r="O471" t="s">
        <v>1065</v>
      </c>
      <c r="P471" t="s">
        <v>987</v>
      </c>
      <c r="Q471" t="s">
        <v>2409</v>
      </c>
      <c r="R471" t="s">
        <v>1559</v>
      </c>
      <c r="S471" t="s">
        <v>1094</v>
      </c>
      <c r="T471" t="s">
        <v>1065</v>
      </c>
      <c r="U471" t="s">
        <v>1381</v>
      </c>
      <c r="V471" t="s">
        <v>918</v>
      </c>
      <c r="W471" t="s">
        <v>1000</v>
      </c>
      <c r="X471" t="s">
        <v>1081</v>
      </c>
      <c r="Y471" t="s">
        <v>1195</v>
      </c>
      <c r="Z471" t="s">
        <v>1008</v>
      </c>
      <c r="AA471" t="s">
        <v>1094</v>
      </c>
      <c r="AB471" t="s">
        <v>991</v>
      </c>
      <c r="AC471" t="s">
        <v>922</v>
      </c>
      <c r="AD471" t="s">
        <v>1329</v>
      </c>
      <c r="AE471">
        <v>5.4999999999999991</v>
      </c>
      <c r="AF471">
        <v>5.4152999999999984</v>
      </c>
    </row>
    <row r="472" spans="1:32" x14ac:dyDescent="0.25">
      <c r="A472" s="191" t="s">
        <v>2430</v>
      </c>
      <c r="B472" t="s">
        <v>2431</v>
      </c>
      <c r="C472" t="s">
        <v>973</v>
      </c>
      <c r="D472" t="s">
        <v>111</v>
      </c>
      <c r="E472" t="s">
        <v>56</v>
      </c>
      <c r="F472" t="s">
        <v>1176</v>
      </c>
      <c r="G472" t="s">
        <v>1031</v>
      </c>
      <c r="H472" t="s">
        <v>1621</v>
      </c>
      <c r="I472" t="s">
        <v>908</v>
      </c>
      <c r="J472" t="s">
        <v>962</v>
      </c>
      <c r="K472" t="s">
        <v>1206</v>
      </c>
      <c r="L472" t="s">
        <v>918</v>
      </c>
      <c r="M472" t="s">
        <v>1012</v>
      </c>
      <c r="N472" t="s">
        <v>2432</v>
      </c>
      <c r="O472" t="s">
        <v>945</v>
      </c>
      <c r="P472" t="s">
        <v>1012</v>
      </c>
      <c r="Q472" t="s">
        <v>1426</v>
      </c>
      <c r="R472" t="s">
        <v>1514</v>
      </c>
      <c r="S472" t="s">
        <v>991</v>
      </c>
      <c r="T472" t="s">
        <v>991</v>
      </c>
      <c r="U472" t="s">
        <v>2146</v>
      </c>
      <c r="V472" t="s">
        <v>934</v>
      </c>
      <c r="W472" t="s">
        <v>1230</v>
      </c>
      <c r="X472" t="s">
        <v>1029</v>
      </c>
      <c r="Y472" t="s">
        <v>1012</v>
      </c>
      <c r="Z472" t="s">
        <v>918</v>
      </c>
      <c r="AA472" t="s">
        <v>1094</v>
      </c>
      <c r="AB472" t="s">
        <v>1064</v>
      </c>
      <c r="AC472" t="s">
        <v>1195</v>
      </c>
      <c r="AD472" t="s">
        <v>1329</v>
      </c>
      <c r="AE472">
        <v>5.5000000000000009</v>
      </c>
      <c r="AF472">
        <v>5.4362000000000004</v>
      </c>
    </row>
    <row r="473" spans="1:32" x14ac:dyDescent="0.25">
      <c r="A473" s="191" t="s">
        <v>2433</v>
      </c>
      <c r="B473" t="s">
        <v>2434</v>
      </c>
      <c r="C473" t="s">
        <v>1245</v>
      </c>
      <c r="D473" t="s">
        <v>111</v>
      </c>
      <c r="E473" t="s">
        <v>63</v>
      </c>
      <c r="F473" t="s">
        <v>1106</v>
      </c>
      <c r="G473" t="s">
        <v>1717</v>
      </c>
      <c r="H473" t="s">
        <v>1113</v>
      </c>
      <c r="I473" t="s">
        <v>968</v>
      </c>
      <c r="J473" t="s">
        <v>957</v>
      </c>
      <c r="K473" t="s">
        <v>1111</v>
      </c>
      <c r="L473" t="s">
        <v>991</v>
      </c>
      <c r="M473" t="s">
        <v>1049</v>
      </c>
      <c r="N473" t="s">
        <v>2435</v>
      </c>
      <c r="O473" t="s">
        <v>1230</v>
      </c>
      <c r="P473" t="s">
        <v>1104</v>
      </c>
      <c r="Q473" t="s">
        <v>1131</v>
      </c>
      <c r="R473" t="s">
        <v>1474</v>
      </c>
      <c r="S473" t="s">
        <v>1195</v>
      </c>
      <c r="T473" t="s">
        <v>968</v>
      </c>
      <c r="U473" t="s">
        <v>1680</v>
      </c>
      <c r="V473" t="s">
        <v>1065</v>
      </c>
      <c r="W473" t="s">
        <v>1029</v>
      </c>
      <c r="X473" t="s">
        <v>908</v>
      </c>
      <c r="Y473" t="s">
        <v>922</v>
      </c>
      <c r="Z473" t="s">
        <v>1094</v>
      </c>
      <c r="AA473" t="s">
        <v>934</v>
      </c>
      <c r="AB473" t="s">
        <v>987</v>
      </c>
      <c r="AC473" t="s">
        <v>918</v>
      </c>
      <c r="AD473" t="s">
        <v>1043</v>
      </c>
      <c r="AE473">
        <v>5.3</v>
      </c>
      <c r="AF473">
        <v>5.3022999999999998</v>
      </c>
    </row>
    <row r="474" spans="1:32" x14ac:dyDescent="0.25">
      <c r="A474" s="191" t="s">
        <v>2436</v>
      </c>
      <c r="B474" t="s">
        <v>2437</v>
      </c>
      <c r="C474" t="s">
        <v>973</v>
      </c>
      <c r="D474" t="s">
        <v>83</v>
      </c>
      <c r="E474" t="s">
        <v>47</v>
      </c>
      <c r="F474" t="s">
        <v>1376</v>
      </c>
      <c r="G474" t="s">
        <v>1717</v>
      </c>
      <c r="H474" t="s">
        <v>1199</v>
      </c>
      <c r="I474" t="s">
        <v>968</v>
      </c>
      <c r="J474" t="s">
        <v>1170</v>
      </c>
      <c r="K474" t="s">
        <v>1075</v>
      </c>
      <c r="L474" t="s">
        <v>1008</v>
      </c>
      <c r="M474" t="s">
        <v>925</v>
      </c>
      <c r="N474" t="s">
        <v>1578</v>
      </c>
      <c r="O474" t="s">
        <v>1064</v>
      </c>
      <c r="P474" t="s">
        <v>908</v>
      </c>
      <c r="Q474" t="s">
        <v>1307</v>
      </c>
      <c r="R474" t="s">
        <v>1235</v>
      </c>
      <c r="S474" t="s">
        <v>918</v>
      </c>
      <c r="T474" t="s">
        <v>1230</v>
      </c>
      <c r="U474" t="s">
        <v>2438</v>
      </c>
      <c r="V474" t="s">
        <v>1008</v>
      </c>
      <c r="W474" t="s">
        <v>1029</v>
      </c>
      <c r="X474" t="s">
        <v>947</v>
      </c>
      <c r="Y474" t="s">
        <v>969</v>
      </c>
      <c r="Z474" t="s">
        <v>969</v>
      </c>
      <c r="AA474" t="s">
        <v>934</v>
      </c>
      <c r="AB474" t="s">
        <v>969</v>
      </c>
      <c r="AC474" t="s">
        <v>945</v>
      </c>
      <c r="AD474" t="s">
        <v>1043</v>
      </c>
      <c r="AE474">
        <v>5.2</v>
      </c>
      <c r="AF474">
        <v>5.3566000000000003</v>
      </c>
    </row>
    <row r="475" spans="1:32" x14ac:dyDescent="0.25">
      <c r="A475" s="191" t="s">
        <v>2439</v>
      </c>
      <c r="B475" t="s">
        <v>2440</v>
      </c>
      <c r="C475" t="s">
        <v>1204</v>
      </c>
      <c r="D475" t="s">
        <v>105</v>
      </c>
      <c r="E475" t="s">
        <v>63</v>
      </c>
      <c r="F475" t="s">
        <v>1403</v>
      </c>
      <c r="G475" t="s">
        <v>901</v>
      </c>
      <c r="H475" t="s">
        <v>1675</v>
      </c>
      <c r="I475" t="s">
        <v>956</v>
      </c>
      <c r="J475" t="s">
        <v>1170</v>
      </c>
      <c r="K475" t="s">
        <v>1099</v>
      </c>
      <c r="L475" t="s">
        <v>969</v>
      </c>
      <c r="M475" t="s">
        <v>956</v>
      </c>
      <c r="N475" t="s">
        <v>2319</v>
      </c>
      <c r="O475" t="s">
        <v>1230</v>
      </c>
      <c r="P475" t="s">
        <v>947</v>
      </c>
      <c r="Q475" t="s">
        <v>1561</v>
      </c>
      <c r="R475" t="s">
        <v>1143</v>
      </c>
      <c r="S475" t="s">
        <v>969</v>
      </c>
      <c r="T475" t="s">
        <v>987</v>
      </c>
      <c r="U475" t="s">
        <v>2256</v>
      </c>
      <c r="V475" t="s">
        <v>1065</v>
      </c>
      <c r="W475" t="s">
        <v>925</v>
      </c>
      <c r="X475" t="s">
        <v>1220</v>
      </c>
      <c r="Y475" t="s">
        <v>922</v>
      </c>
      <c r="Z475" t="s">
        <v>934</v>
      </c>
      <c r="AA475" t="s">
        <v>1094</v>
      </c>
      <c r="AB475" t="s">
        <v>969</v>
      </c>
      <c r="AC475" t="s">
        <v>1064</v>
      </c>
      <c r="AD475" t="s">
        <v>1043</v>
      </c>
      <c r="AE475">
        <v>5.1999999999999993</v>
      </c>
      <c r="AF475">
        <v>5.2776000000000005</v>
      </c>
    </row>
    <row r="476" spans="1:32" x14ac:dyDescent="0.25">
      <c r="A476" s="191" t="s">
        <v>2441</v>
      </c>
      <c r="B476" t="s">
        <v>2442</v>
      </c>
      <c r="C476" t="s">
        <v>1068</v>
      </c>
      <c r="D476" t="s">
        <v>133</v>
      </c>
      <c r="E476" t="s">
        <v>93</v>
      </c>
      <c r="F476" t="s">
        <v>1032</v>
      </c>
      <c r="G476" t="s">
        <v>1096</v>
      </c>
      <c r="H476" t="s">
        <v>982</v>
      </c>
      <c r="I476" t="s">
        <v>968</v>
      </c>
      <c r="J476" t="s">
        <v>920</v>
      </c>
      <c r="K476" t="s">
        <v>1545</v>
      </c>
      <c r="L476" t="s">
        <v>923</v>
      </c>
      <c r="M476" t="s">
        <v>964</v>
      </c>
      <c r="N476" t="s">
        <v>1625</v>
      </c>
      <c r="O476" t="s">
        <v>1008</v>
      </c>
      <c r="P476" t="s">
        <v>908</v>
      </c>
      <c r="Q476" t="s">
        <v>1001</v>
      </c>
      <c r="R476" t="s">
        <v>1141</v>
      </c>
      <c r="S476" t="s">
        <v>1008</v>
      </c>
      <c r="T476" t="s">
        <v>923</v>
      </c>
      <c r="U476" t="s">
        <v>1875</v>
      </c>
      <c r="V476" t="s">
        <v>923</v>
      </c>
      <c r="W476" t="s">
        <v>946</v>
      </c>
      <c r="X476" t="s">
        <v>919</v>
      </c>
      <c r="Y476" t="s">
        <v>923</v>
      </c>
      <c r="Z476" t="s">
        <v>1008</v>
      </c>
      <c r="AA476" t="s">
        <v>934</v>
      </c>
      <c r="AB476" t="s">
        <v>969</v>
      </c>
      <c r="AC476" t="s">
        <v>918</v>
      </c>
      <c r="AD476" t="s">
        <v>1043</v>
      </c>
      <c r="AE476">
        <v>5.3</v>
      </c>
      <c r="AF476">
        <v>5.2973999999999997</v>
      </c>
    </row>
    <row r="477" spans="1:32" x14ac:dyDescent="0.25">
      <c r="A477" s="191" t="s">
        <v>2443</v>
      </c>
      <c r="B477" t="s">
        <v>2444</v>
      </c>
      <c r="C477" t="s">
        <v>1032</v>
      </c>
      <c r="D477" t="s">
        <v>170</v>
      </c>
      <c r="E477" t="s">
        <v>63</v>
      </c>
      <c r="F477" t="s">
        <v>1349</v>
      </c>
      <c r="G477" t="s">
        <v>1096</v>
      </c>
      <c r="H477" t="s">
        <v>954</v>
      </c>
      <c r="I477" t="s">
        <v>1049</v>
      </c>
      <c r="J477" t="s">
        <v>1211</v>
      </c>
      <c r="K477" t="s">
        <v>1373</v>
      </c>
      <c r="L477" t="s">
        <v>1064</v>
      </c>
      <c r="M477" t="s">
        <v>1048</v>
      </c>
      <c r="N477" t="s">
        <v>1756</v>
      </c>
      <c r="O477" t="s">
        <v>987</v>
      </c>
      <c r="P477" t="s">
        <v>1230</v>
      </c>
      <c r="Q477" t="s">
        <v>1813</v>
      </c>
      <c r="R477" t="s">
        <v>1058</v>
      </c>
      <c r="S477" t="s">
        <v>991</v>
      </c>
      <c r="T477" t="s">
        <v>991</v>
      </c>
      <c r="U477" t="s">
        <v>1759</v>
      </c>
      <c r="V477" t="s">
        <v>1008</v>
      </c>
      <c r="W477" t="s">
        <v>908</v>
      </c>
      <c r="X477" t="s">
        <v>1104</v>
      </c>
      <c r="Y477" t="s">
        <v>1195</v>
      </c>
      <c r="Z477" t="s">
        <v>969</v>
      </c>
      <c r="AA477" t="s">
        <v>934</v>
      </c>
      <c r="AB477" t="s">
        <v>1094</v>
      </c>
      <c r="AC477" t="s">
        <v>956</v>
      </c>
      <c r="AD477" t="s">
        <v>1043</v>
      </c>
      <c r="AE477">
        <v>5.3000000000000007</v>
      </c>
      <c r="AF477">
        <v>5.2935999999999988</v>
      </c>
    </row>
    <row r="478" spans="1:32" x14ac:dyDescent="0.25">
      <c r="A478" s="191" t="s">
        <v>2445</v>
      </c>
      <c r="B478" t="s">
        <v>2446</v>
      </c>
      <c r="C478" t="s">
        <v>950</v>
      </c>
      <c r="D478" t="s">
        <v>1069</v>
      </c>
      <c r="E478" t="s">
        <v>56</v>
      </c>
      <c r="F478" t="s">
        <v>1312</v>
      </c>
      <c r="G478" t="s">
        <v>1717</v>
      </c>
      <c r="H478" t="s">
        <v>966</v>
      </c>
      <c r="I478" t="s">
        <v>968</v>
      </c>
      <c r="J478" t="s">
        <v>1170</v>
      </c>
      <c r="K478" t="s">
        <v>1474</v>
      </c>
      <c r="L478" t="s">
        <v>1008</v>
      </c>
      <c r="M478" t="s">
        <v>1049</v>
      </c>
      <c r="N478" t="s">
        <v>1556</v>
      </c>
      <c r="O478" t="s">
        <v>945</v>
      </c>
      <c r="P478" t="s">
        <v>924</v>
      </c>
      <c r="Q478" t="s">
        <v>1358</v>
      </c>
      <c r="R478" t="s">
        <v>1412</v>
      </c>
      <c r="S478" t="s">
        <v>987</v>
      </c>
      <c r="T478" t="s">
        <v>918</v>
      </c>
      <c r="U478" t="s">
        <v>1361</v>
      </c>
      <c r="V478" t="s">
        <v>1094</v>
      </c>
      <c r="W478" t="s">
        <v>945</v>
      </c>
      <c r="X478" t="s">
        <v>1310</v>
      </c>
      <c r="Y478" t="s">
        <v>1029</v>
      </c>
      <c r="Z478" t="s">
        <v>991</v>
      </c>
      <c r="AA478" t="s">
        <v>1119</v>
      </c>
      <c r="AB478" t="s">
        <v>1065</v>
      </c>
      <c r="AC478" t="s">
        <v>1065</v>
      </c>
      <c r="AD478" t="s">
        <v>962</v>
      </c>
      <c r="AE478">
        <v>5.0999999999999996</v>
      </c>
      <c r="AF478">
        <v>5.1128999999999998</v>
      </c>
    </row>
    <row r="479" spans="1:32" x14ac:dyDescent="0.25">
      <c r="A479" s="191" t="s">
        <v>2447</v>
      </c>
      <c r="B479" t="s">
        <v>2448</v>
      </c>
      <c r="C479" t="s">
        <v>995</v>
      </c>
      <c r="D479" t="s">
        <v>95</v>
      </c>
      <c r="E479" t="s">
        <v>47</v>
      </c>
      <c r="F479" t="s">
        <v>1255</v>
      </c>
      <c r="G479" t="s">
        <v>901</v>
      </c>
      <c r="H479" t="s">
        <v>1236</v>
      </c>
      <c r="I479" t="s">
        <v>956</v>
      </c>
      <c r="J479" t="s">
        <v>1155</v>
      </c>
      <c r="K479" t="s">
        <v>1090</v>
      </c>
      <c r="L479" t="s">
        <v>1065</v>
      </c>
      <c r="M479" t="s">
        <v>945</v>
      </c>
      <c r="N479" t="s">
        <v>1461</v>
      </c>
      <c r="O479" t="s">
        <v>1310</v>
      </c>
      <c r="P479" t="s">
        <v>1012</v>
      </c>
      <c r="Q479" t="s">
        <v>1585</v>
      </c>
      <c r="R479" t="s">
        <v>955</v>
      </c>
      <c r="S479" t="s">
        <v>987</v>
      </c>
      <c r="T479" t="s">
        <v>945</v>
      </c>
      <c r="U479" t="s">
        <v>2185</v>
      </c>
      <c r="V479" t="s">
        <v>923</v>
      </c>
      <c r="W479" t="s">
        <v>993</v>
      </c>
      <c r="X479" t="s">
        <v>979</v>
      </c>
      <c r="Y479" t="s">
        <v>969</v>
      </c>
      <c r="Z479" t="s">
        <v>969</v>
      </c>
      <c r="AA479" t="s">
        <v>1119</v>
      </c>
      <c r="AB479" t="s">
        <v>969</v>
      </c>
      <c r="AC479" t="s">
        <v>1310</v>
      </c>
      <c r="AD479" t="s">
        <v>962</v>
      </c>
      <c r="AE479">
        <v>5.3</v>
      </c>
      <c r="AF479">
        <v>5.2079999999999993</v>
      </c>
    </row>
    <row r="480" spans="1:32" x14ac:dyDescent="0.25">
      <c r="A480" s="191" t="s">
        <v>2449</v>
      </c>
      <c r="B480" t="s">
        <v>486</v>
      </c>
      <c r="C480" t="s">
        <v>1176</v>
      </c>
      <c r="D480" t="s">
        <v>974</v>
      </c>
      <c r="E480" t="s">
        <v>63</v>
      </c>
      <c r="F480" t="s">
        <v>1431</v>
      </c>
      <c r="G480" t="s">
        <v>1232</v>
      </c>
      <c r="H480" t="s">
        <v>1109</v>
      </c>
      <c r="I480" t="s">
        <v>968</v>
      </c>
      <c r="J480" t="s">
        <v>1081</v>
      </c>
      <c r="K480" t="s">
        <v>1729</v>
      </c>
      <c r="L480" t="s">
        <v>1008</v>
      </c>
      <c r="M480" t="s">
        <v>908</v>
      </c>
      <c r="N480" t="s">
        <v>1977</v>
      </c>
      <c r="O480" t="s">
        <v>1064</v>
      </c>
      <c r="P480" t="s">
        <v>908</v>
      </c>
      <c r="Q480" t="s">
        <v>1074</v>
      </c>
      <c r="R480" t="s">
        <v>1130</v>
      </c>
      <c r="S480" t="s">
        <v>987</v>
      </c>
      <c r="T480" t="s">
        <v>1064</v>
      </c>
      <c r="U480" t="s">
        <v>1674</v>
      </c>
      <c r="V480" t="s">
        <v>918</v>
      </c>
      <c r="W480" t="s">
        <v>947</v>
      </c>
      <c r="X480" t="s">
        <v>1048</v>
      </c>
      <c r="Y480" t="s">
        <v>987</v>
      </c>
      <c r="Z480" t="s">
        <v>923</v>
      </c>
      <c r="AA480" t="s">
        <v>1065</v>
      </c>
      <c r="AB480" t="s">
        <v>1065</v>
      </c>
      <c r="AC480" t="s">
        <v>1230</v>
      </c>
      <c r="AD480" t="s">
        <v>1005</v>
      </c>
      <c r="AE480">
        <v>5.0999999999999996</v>
      </c>
      <c r="AF480">
        <v>5.063600000000001</v>
      </c>
    </row>
    <row r="481" spans="1:32" x14ac:dyDescent="0.25">
      <c r="A481" s="191" t="s">
        <v>2449</v>
      </c>
      <c r="B481" t="s">
        <v>486</v>
      </c>
      <c r="C481" t="s">
        <v>1176</v>
      </c>
      <c r="D481" t="s">
        <v>83</v>
      </c>
      <c r="E481" t="s">
        <v>63</v>
      </c>
      <c r="F481" t="s">
        <v>975</v>
      </c>
      <c r="G481" t="s">
        <v>1222</v>
      </c>
      <c r="H481" t="s">
        <v>906</v>
      </c>
      <c r="I481" t="s">
        <v>956</v>
      </c>
      <c r="J481" t="s">
        <v>1047</v>
      </c>
      <c r="K481" t="s">
        <v>1319</v>
      </c>
      <c r="L481" t="s">
        <v>987</v>
      </c>
      <c r="M481" t="s">
        <v>925</v>
      </c>
      <c r="N481" t="s">
        <v>1250</v>
      </c>
      <c r="O481" t="s">
        <v>945</v>
      </c>
      <c r="P481" t="s">
        <v>947</v>
      </c>
      <c r="Q481" t="s">
        <v>1226</v>
      </c>
      <c r="R481" t="s">
        <v>1275</v>
      </c>
      <c r="S481" t="s">
        <v>923</v>
      </c>
      <c r="T481" t="s">
        <v>1195</v>
      </c>
      <c r="U481" t="s">
        <v>1866</v>
      </c>
      <c r="V481" t="s">
        <v>923</v>
      </c>
      <c r="W481" t="s">
        <v>1012</v>
      </c>
      <c r="X481" t="s">
        <v>992</v>
      </c>
      <c r="Y481" t="s">
        <v>918</v>
      </c>
      <c r="Z481" t="s">
        <v>1064</v>
      </c>
      <c r="AA481" t="s">
        <v>969</v>
      </c>
      <c r="AB481" t="s">
        <v>969</v>
      </c>
      <c r="AC481" t="s">
        <v>1310</v>
      </c>
      <c r="AD481" t="s">
        <v>1079</v>
      </c>
      <c r="AE481">
        <v>5.8000000000000007</v>
      </c>
      <c r="AF481">
        <v>5.7650000000000006</v>
      </c>
    </row>
    <row r="482" spans="1:32" x14ac:dyDescent="0.25">
      <c r="A482" s="191" t="s">
        <v>2449</v>
      </c>
      <c r="B482" t="s">
        <v>486</v>
      </c>
      <c r="C482" t="s">
        <v>1176</v>
      </c>
      <c r="D482" t="s">
        <v>85</v>
      </c>
      <c r="E482" t="s">
        <v>63</v>
      </c>
      <c r="F482" t="s">
        <v>1222</v>
      </c>
      <c r="G482" t="s">
        <v>901</v>
      </c>
      <c r="H482" t="s">
        <v>911</v>
      </c>
      <c r="I482" t="s">
        <v>1195</v>
      </c>
      <c r="J482" t="s">
        <v>979</v>
      </c>
      <c r="K482" t="s">
        <v>1379</v>
      </c>
      <c r="L482" t="s">
        <v>991</v>
      </c>
      <c r="M482" t="s">
        <v>968</v>
      </c>
      <c r="N482" t="s">
        <v>2450</v>
      </c>
      <c r="O482" t="s">
        <v>987</v>
      </c>
      <c r="P482" t="s">
        <v>922</v>
      </c>
      <c r="Q482" t="s">
        <v>1131</v>
      </c>
      <c r="R482" t="s">
        <v>1729</v>
      </c>
      <c r="S482" t="s">
        <v>1094</v>
      </c>
      <c r="T482" t="s">
        <v>969</v>
      </c>
      <c r="U482" t="s">
        <v>1131</v>
      </c>
      <c r="V482" t="s">
        <v>969</v>
      </c>
      <c r="W482" t="s">
        <v>922</v>
      </c>
      <c r="X482" t="s">
        <v>925</v>
      </c>
      <c r="Y482" t="s">
        <v>969</v>
      </c>
      <c r="Z482" t="s">
        <v>969</v>
      </c>
      <c r="AA482" t="s">
        <v>1119</v>
      </c>
      <c r="AB482" t="s">
        <v>934</v>
      </c>
      <c r="AC482" t="s">
        <v>945</v>
      </c>
      <c r="AD482" t="s">
        <v>970</v>
      </c>
      <c r="AE482">
        <v>3.3</v>
      </c>
      <c r="AF482">
        <v>3.3068</v>
      </c>
    </row>
    <row r="483" spans="1:32" x14ac:dyDescent="0.25">
      <c r="A483" s="191" t="s">
        <v>2451</v>
      </c>
      <c r="B483" t="s">
        <v>2452</v>
      </c>
      <c r="C483" t="s">
        <v>973</v>
      </c>
      <c r="D483" t="s">
        <v>974</v>
      </c>
      <c r="E483" t="s">
        <v>93</v>
      </c>
      <c r="F483" t="s">
        <v>1175</v>
      </c>
      <c r="G483" t="s">
        <v>1717</v>
      </c>
      <c r="H483" t="s">
        <v>1560</v>
      </c>
      <c r="I483" t="s">
        <v>922</v>
      </c>
      <c r="J483" t="s">
        <v>992</v>
      </c>
      <c r="K483" t="s">
        <v>1300</v>
      </c>
      <c r="L483" t="s">
        <v>923</v>
      </c>
      <c r="M483" t="s">
        <v>1220</v>
      </c>
      <c r="N483" t="s">
        <v>2023</v>
      </c>
      <c r="O483" t="s">
        <v>1008</v>
      </c>
      <c r="P483" t="s">
        <v>918</v>
      </c>
      <c r="Q483" t="s">
        <v>1102</v>
      </c>
      <c r="R483" t="s">
        <v>938</v>
      </c>
      <c r="S483" t="s">
        <v>969</v>
      </c>
      <c r="T483" t="s">
        <v>987</v>
      </c>
      <c r="U483" t="s">
        <v>2049</v>
      </c>
      <c r="V483" t="s">
        <v>969</v>
      </c>
      <c r="W483" t="s">
        <v>993</v>
      </c>
      <c r="X483" t="s">
        <v>946</v>
      </c>
      <c r="Y483" t="s">
        <v>1094</v>
      </c>
      <c r="Z483" t="s">
        <v>1008</v>
      </c>
      <c r="AA483" t="s">
        <v>1008</v>
      </c>
      <c r="AB483" t="s">
        <v>991</v>
      </c>
      <c r="AC483" t="s">
        <v>1230</v>
      </c>
      <c r="AD483" t="s">
        <v>1005</v>
      </c>
      <c r="AE483">
        <v>5</v>
      </c>
      <c r="AF483">
        <v>5.0874000000000006</v>
      </c>
    </row>
    <row r="484" spans="1:32" x14ac:dyDescent="0.25">
      <c r="A484" s="191" t="s">
        <v>2451</v>
      </c>
      <c r="B484" t="s">
        <v>2452</v>
      </c>
      <c r="C484" t="s">
        <v>973</v>
      </c>
      <c r="D484" t="s">
        <v>48</v>
      </c>
      <c r="E484" t="s">
        <v>93</v>
      </c>
      <c r="F484" t="s">
        <v>901</v>
      </c>
      <c r="G484" t="s">
        <v>1717</v>
      </c>
      <c r="H484" t="s">
        <v>956</v>
      </c>
      <c r="I484" t="s">
        <v>923</v>
      </c>
      <c r="J484" t="s">
        <v>923</v>
      </c>
      <c r="K484" t="s">
        <v>2146</v>
      </c>
      <c r="L484" t="s">
        <v>1600</v>
      </c>
      <c r="M484" t="s">
        <v>1600</v>
      </c>
      <c r="N484" t="s">
        <v>927</v>
      </c>
      <c r="O484" t="s">
        <v>923</v>
      </c>
      <c r="P484" t="s">
        <v>923</v>
      </c>
      <c r="Q484" t="s">
        <v>2146</v>
      </c>
      <c r="R484" t="s">
        <v>2146</v>
      </c>
      <c r="S484" t="s">
        <v>1600</v>
      </c>
      <c r="T484" t="s">
        <v>1600</v>
      </c>
      <c r="U484" t="s">
        <v>927</v>
      </c>
      <c r="V484" t="s">
        <v>923</v>
      </c>
      <c r="W484" t="s">
        <v>1600</v>
      </c>
      <c r="X484" t="s">
        <v>923</v>
      </c>
      <c r="Y484" t="s">
        <v>1600</v>
      </c>
      <c r="Z484" t="s">
        <v>1600</v>
      </c>
      <c r="AA484" t="s">
        <v>1600</v>
      </c>
      <c r="AB484" t="s">
        <v>1600</v>
      </c>
      <c r="AC484" t="s">
        <v>1600</v>
      </c>
      <c r="AD484" t="s">
        <v>956</v>
      </c>
      <c r="AE484">
        <v>2</v>
      </c>
      <c r="AF484" t="e">
        <v>#VALUE!</v>
      </c>
    </row>
    <row r="485" spans="1:32" x14ac:dyDescent="0.25">
      <c r="A485" s="191" t="s">
        <v>2451</v>
      </c>
      <c r="B485" t="s">
        <v>2452</v>
      </c>
      <c r="C485" t="s">
        <v>973</v>
      </c>
      <c r="D485" t="s">
        <v>108</v>
      </c>
      <c r="E485" t="s">
        <v>93</v>
      </c>
      <c r="F485" t="s">
        <v>1162</v>
      </c>
      <c r="G485" t="s">
        <v>1717</v>
      </c>
      <c r="H485" t="s">
        <v>1527</v>
      </c>
      <c r="I485" t="s">
        <v>968</v>
      </c>
      <c r="J485" t="s">
        <v>1155</v>
      </c>
      <c r="K485" t="s">
        <v>1287</v>
      </c>
      <c r="L485" t="s">
        <v>1064</v>
      </c>
      <c r="M485" t="s">
        <v>964</v>
      </c>
      <c r="N485" t="s">
        <v>2023</v>
      </c>
      <c r="O485" t="s">
        <v>1008</v>
      </c>
      <c r="P485" t="s">
        <v>918</v>
      </c>
      <c r="Q485" t="s">
        <v>1765</v>
      </c>
      <c r="R485" t="s">
        <v>2453</v>
      </c>
      <c r="S485" t="s">
        <v>969</v>
      </c>
      <c r="T485" t="s">
        <v>918</v>
      </c>
      <c r="U485" t="s">
        <v>2049</v>
      </c>
      <c r="V485" t="s">
        <v>969</v>
      </c>
      <c r="W485" t="s">
        <v>1220</v>
      </c>
      <c r="X485" t="s">
        <v>970</v>
      </c>
      <c r="Y485" t="s">
        <v>1094</v>
      </c>
      <c r="Z485" t="s">
        <v>1008</v>
      </c>
      <c r="AA485" t="s">
        <v>1008</v>
      </c>
      <c r="AB485" t="s">
        <v>991</v>
      </c>
      <c r="AC485" t="s">
        <v>1310</v>
      </c>
      <c r="AD485" t="s">
        <v>1043</v>
      </c>
      <c r="AE485">
        <v>5.3</v>
      </c>
      <c r="AF485">
        <v>5.3585999999999991</v>
      </c>
    </row>
    <row r="486" spans="1:32" x14ac:dyDescent="0.25">
      <c r="A486" s="191" t="s">
        <v>2454</v>
      </c>
      <c r="B486" t="s">
        <v>2455</v>
      </c>
      <c r="C486" t="s">
        <v>1204</v>
      </c>
      <c r="D486" t="s">
        <v>70</v>
      </c>
      <c r="E486" t="s">
        <v>72</v>
      </c>
      <c r="F486" t="s">
        <v>1015</v>
      </c>
      <c r="G486" t="s">
        <v>902</v>
      </c>
      <c r="H486" t="s">
        <v>1140</v>
      </c>
      <c r="I486" t="s">
        <v>924</v>
      </c>
      <c r="J486" t="s">
        <v>919</v>
      </c>
      <c r="K486" t="s">
        <v>1911</v>
      </c>
      <c r="L486" t="s">
        <v>1600</v>
      </c>
      <c r="M486" t="s">
        <v>1600</v>
      </c>
      <c r="N486" t="s">
        <v>927</v>
      </c>
      <c r="O486" t="s">
        <v>924</v>
      </c>
      <c r="P486" t="s">
        <v>919</v>
      </c>
      <c r="Q486" t="s">
        <v>1911</v>
      </c>
      <c r="R486" t="s">
        <v>1911</v>
      </c>
      <c r="S486" t="s">
        <v>991</v>
      </c>
      <c r="T486" t="s">
        <v>918</v>
      </c>
      <c r="U486" t="s">
        <v>1719</v>
      </c>
      <c r="V486" t="s">
        <v>1310</v>
      </c>
      <c r="W486" t="s">
        <v>919</v>
      </c>
      <c r="X486" t="s">
        <v>1092</v>
      </c>
      <c r="Y486" t="s">
        <v>1064</v>
      </c>
      <c r="Z486" t="s">
        <v>969</v>
      </c>
      <c r="AA486" t="s">
        <v>987</v>
      </c>
      <c r="AB486" t="s">
        <v>923</v>
      </c>
      <c r="AC486" t="s">
        <v>1049</v>
      </c>
      <c r="AD486" t="s">
        <v>1005</v>
      </c>
      <c r="AE486">
        <v>5.2</v>
      </c>
      <c r="AF486" t="e">
        <v>#VALUE!</v>
      </c>
    </row>
    <row r="487" spans="1:32" x14ac:dyDescent="0.25">
      <c r="A487" s="191" t="s">
        <v>2456</v>
      </c>
      <c r="B487" t="s">
        <v>423</v>
      </c>
      <c r="C487" t="s">
        <v>902</v>
      </c>
      <c r="D487" t="s">
        <v>129</v>
      </c>
      <c r="E487" t="s">
        <v>72</v>
      </c>
      <c r="F487" t="s">
        <v>1212</v>
      </c>
      <c r="G487" t="s">
        <v>949</v>
      </c>
      <c r="H487" t="s">
        <v>1167</v>
      </c>
      <c r="I487" t="s">
        <v>925</v>
      </c>
      <c r="J487" t="s">
        <v>970</v>
      </c>
      <c r="K487" t="s">
        <v>1601</v>
      </c>
      <c r="L487" t="s">
        <v>1600</v>
      </c>
      <c r="M487" t="s">
        <v>1600</v>
      </c>
      <c r="N487" t="s">
        <v>927</v>
      </c>
      <c r="O487" t="s">
        <v>925</v>
      </c>
      <c r="P487" t="s">
        <v>970</v>
      </c>
      <c r="Q487" t="s">
        <v>1601</v>
      </c>
      <c r="R487" t="s">
        <v>1601</v>
      </c>
      <c r="S487" t="s">
        <v>987</v>
      </c>
      <c r="T487" t="s">
        <v>1064</v>
      </c>
      <c r="U487" t="s">
        <v>1724</v>
      </c>
      <c r="V487" t="s">
        <v>946</v>
      </c>
      <c r="W487" t="s">
        <v>964</v>
      </c>
      <c r="X487" t="s">
        <v>1126</v>
      </c>
      <c r="Y487" t="s">
        <v>987</v>
      </c>
      <c r="Z487" t="s">
        <v>918</v>
      </c>
      <c r="AA487" t="s">
        <v>1064</v>
      </c>
      <c r="AB487" t="s">
        <v>969</v>
      </c>
      <c r="AC487" t="s">
        <v>1310</v>
      </c>
      <c r="AD487" t="s">
        <v>1005</v>
      </c>
      <c r="AE487">
        <v>5.2</v>
      </c>
      <c r="AF487" t="e">
        <v>#VALUE!</v>
      </c>
    </row>
    <row r="488" spans="1:32" x14ac:dyDescent="0.25">
      <c r="A488" s="191" t="s">
        <v>2457</v>
      </c>
      <c r="B488" t="s">
        <v>2458</v>
      </c>
      <c r="C488" t="s">
        <v>1084</v>
      </c>
      <c r="D488" t="s">
        <v>974</v>
      </c>
      <c r="E488" t="s">
        <v>72</v>
      </c>
      <c r="F488" t="s">
        <v>1233</v>
      </c>
      <c r="G488" t="s">
        <v>1051</v>
      </c>
      <c r="H488" t="s">
        <v>1207</v>
      </c>
      <c r="I488" t="s">
        <v>925</v>
      </c>
      <c r="J488" t="s">
        <v>1220</v>
      </c>
      <c r="K488" t="s">
        <v>2459</v>
      </c>
      <c r="L488" t="s">
        <v>1600</v>
      </c>
      <c r="M488" t="s">
        <v>1119</v>
      </c>
      <c r="N488" t="s">
        <v>2251</v>
      </c>
      <c r="O488" t="s">
        <v>925</v>
      </c>
      <c r="P488" t="s">
        <v>1012</v>
      </c>
      <c r="Q488" t="s">
        <v>1309</v>
      </c>
      <c r="R488" t="s">
        <v>1589</v>
      </c>
      <c r="S488" t="s">
        <v>969</v>
      </c>
      <c r="T488" t="s">
        <v>987</v>
      </c>
      <c r="U488" t="s">
        <v>2200</v>
      </c>
      <c r="V488" t="s">
        <v>923</v>
      </c>
      <c r="W488" t="s">
        <v>908</v>
      </c>
      <c r="X488" t="s">
        <v>946</v>
      </c>
      <c r="Y488" t="s">
        <v>969</v>
      </c>
      <c r="Z488" t="s">
        <v>991</v>
      </c>
      <c r="AA488" t="s">
        <v>969</v>
      </c>
      <c r="AB488" t="s">
        <v>1065</v>
      </c>
      <c r="AC488" t="s">
        <v>1195</v>
      </c>
      <c r="AD488" t="s">
        <v>920</v>
      </c>
      <c r="AE488">
        <v>5</v>
      </c>
      <c r="AF488">
        <v>4.9355999999999991</v>
      </c>
    </row>
    <row r="489" spans="1:32" x14ac:dyDescent="0.25">
      <c r="A489" s="191" t="s">
        <v>2457</v>
      </c>
      <c r="B489" t="s">
        <v>2458</v>
      </c>
      <c r="C489" t="s">
        <v>1084</v>
      </c>
      <c r="D489" t="s">
        <v>79</v>
      </c>
      <c r="E489" t="s">
        <v>72</v>
      </c>
      <c r="F489" t="s">
        <v>1015</v>
      </c>
      <c r="G489" t="s">
        <v>1717</v>
      </c>
      <c r="H489" t="s">
        <v>988</v>
      </c>
      <c r="I489" t="s">
        <v>918</v>
      </c>
      <c r="J489" t="s">
        <v>1195</v>
      </c>
      <c r="K489" t="s">
        <v>1680</v>
      </c>
      <c r="L489" t="s">
        <v>1600</v>
      </c>
      <c r="M489" t="s">
        <v>1119</v>
      </c>
      <c r="N489" t="s">
        <v>1646</v>
      </c>
      <c r="O489" t="s">
        <v>918</v>
      </c>
      <c r="P489" t="s">
        <v>945</v>
      </c>
      <c r="Q489" t="s">
        <v>1547</v>
      </c>
      <c r="R489" t="s">
        <v>1680</v>
      </c>
      <c r="S489" t="s">
        <v>1094</v>
      </c>
      <c r="T489" t="s">
        <v>991</v>
      </c>
      <c r="U489" t="s">
        <v>2049</v>
      </c>
      <c r="V489" t="s">
        <v>1065</v>
      </c>
      <c r="W489" t="s">
        <v>1064</v>
      </c>
      <c r="X489" t="s">
        <v>1029</v>
      </c>
      <c r="Y489" t="s">
        <v>991</v>
      </c>
      <c r="Z489" t="s">
        <v>934</v>
      </c>
      <c r="AA489" t="s">
        <v>1065</v>
      </c>
      <c r="AB489" t="s">
        <v>991</v>
      </c>
      <c r="AC489" t="s">
        <v>987</v>
      </c>
      <c r="AD489" t="s">
        <v>925</v>
      </c>
      <c r="AE489">
        <v>2.1</v>
      </c>
      <c r="AF489">
        <v>2.1360000000000001</v>
      </c>
    </row>
    <row r="490" spans="1:32" x14ac:dyDescent="0.25">
      <c r="A490" s="191" t="s">
        <v>2457</v>
      </c>
      <c r="B490" t="s">
        <v>2458</v>
      </c>
      <c r="C490" t="s">
        <v>1084</v>
      </c>
      <c r="D490" t="s">
        <v>151</v>
      </c>
      <c r="E490" t="s">
        <v>72</v>
      </c>
      <c r="F490" t="s">
        <v>1137</v>
      </c>
      <c r="G490" t="s">
        <v>1051</v>
      </c>
      <c r="H490" t="s">
        <v>1965</v>
      </c>
      <c r="I490" t="s">
        <v>1005</v>
      </c>
      <c r="J490" t="s">
        <v>1059</v>
      </c>
      <c r="K490" t="s">
        <v>1252</v>
      </c>
      <c r="L490" t="s">
        <v>1119</v>
      </c>
      <c r="M490" t="s">
        <v>1094</v>
      </c>
      <c r="N490" t="s">
        <v>1666</v>
      </c>
      <c r="O490" t="s">
        <v>920</v>
      </c>
      <c r="P490" t="s">
        <v>1079</v>
      </c>
      <c r="Q490" t="s">
        <v>1361</v>
      </c>
      <c r="R490" t="s">
        <v>1568</v>
      </c>
      <c r="S490" t="s">
        <v>945</v>
      </c>
      <c r="T490" t="s">
        <v>922</v>
      </c>
      <c r="U490" t="s">
        <v>2333</v>
      </c>
      <c r="V490" t="s">
        <v>908</v>
      </c>
      <c r="W490" t="s">
        <v>1047</v>
      </c>
      <c r="X490" t="s">
        <v>1006</v>
      </c>
      <c r="Y490" t="s">
        <v>1195</v>
      </c>
      <c r="Z490" t="s">
        <v>987</v>
      </c>
      <c r="AA490" t="s">
        <v>987</v>
      </c>
      <c r="AB490" t="s">
        <v>1008</v>
      </c>
      <c r="AC490" t="s">
        <v>947</v>
      </c>
      <c r="AD490" t="s">
        <v>1546</v>
      </c>
      <c r="AE490">
        <v>11.5</v>
      </c>
      <c r="AF490">
        <v>11.430899999999999</v>
      </c>
    </row>
    <row r="491" spans="1:32" x14ac:dyDescent="0.25">
      <c r="A491" s="191" t="s">
        <v>2460</v>
      </c>
      <c r="B491" t="s">
        <v>2461</v>
      </c>
      <c r="C491" t="s">
        <v>1015</v>
      </c>
      <c r="D491" t="s">
        <v>974</v>
      </c>
      <c r="E491" t="s">
        <v>56</v>
      </c>
      <c r="F491" t="s">
        <v>1177</v>
      </c>
      <c r="G491" t="s">
        <v>1084</v>
      </c>
      <c r="H491" t="s">
        <v>1732</v>
      </c>
      <c r="I491" t="s">
        <v>947</v>
      </c>
      <c r="J491" t="s">
        <v>1103</v>
      </c>
      <c r="K491" t="s">
        <v>1667</v>
      </c>
      <c r="L491" t="s">
        <v>1600</v>
      </c>
      <c r="M491" t="s">
        <v>1600</v>
      </c>
      <c r="N491" t="s">
        <v>927</v>
      </c>
      <c r="O491" t="s">
        <v>947</v>
      </c>
      <c r="P491" t="s">
        <v>1103</v>
      </c>
      <c r="Q491" t="s">
        <v>1667</v>
      </c>
      <c r="R491" t="s">
        <v>1667</v>
      </c>
      <c r="S491" t="s">
        <v>1065</v>
      </c>
      <c r="T491" t="s">
        <v>969</v>
      </c>
      <c r="U491" t="s">
        <v>1133</v>
      </c>
      <c r="V491" t="s">
        <v>918</v>
      </c>
      <c r="W491" t="s">
        <v>1155</v>
      </c>
      <c r="X491" t="s">
        <v>957</v>
      </c>
      <c r="Y491" t="s">
        <v>1092</v>
      </c>
      <c r="Z491" t="s">
        <v>1008</v>
      </c>
      <c r="AA491" t="s">
        <v>1065</v>
      </c>
      <c r="AB491" t="s">
        <v>956</v>
      </c>
      <c r="AC491" t="s">
        <v>908</v>
      </c>
      <c r="AD491" t="s">
        <v>920</v>
      </c>
      <c r="AE491">
        <v>5.0999999999999996</v>
      </c>
      <c r="AF491" t="e">
        <v>#VALUE!</v>
      </c>
    </row>
    <row r="492" spans="1:32" x14ac:dyDescent="0.25">
      <c r="A492" s="191" t="s">
        <v>2460</v>
      </c>
      <c r="B492" t="s">
        <v>2461</v>
      </c>
      <c r="C492" t="s">
        <v>1015</v>
      </c>
      <c r="D492" t="s">
        <v>1279</v>
      </c>
      <c r="E492" t="s">
        <v>56</v>
      </c>
      <c r="F492" t="s">
        <v>1355</v>
      </c>
      <c r="G492" t="s">
        <v>1084</v>
      </c>
      <c r="H492" t="s">
        <v>1317</v>
      </c>
      <c r="I492" t="s">
        <v>1104</v>
      </c>
      <c r="J492" t="s">
        <v>962</v>
      </c>
      <c r="K492" t="s">
        <v>1042</v>
      </c>
      <c r="L492" t="s">
        <v>1600</v>
      </c>
      <c r="M492" t="s">
        <v>1600</v>
      </c>
      <c r="N492" t="s">
        <v>927</v>
      </c>
      <c r="O492" t="s">
        <v>1104</v>
      </c>
      <c r="P492" t="s">
        <v>962</v>
      </c>
      <c r="Q492" t="s">
        <v>1042</v>
      </c>
      <c r="R492" t="s">
        <v>1042</v>
      </c>
      <c r="S492" t="s">
        <v>1065</v>
      </c>
      <c r="T492" t="s">
        <v>987</v>
      </c>
      <c r="U492" t="s">
        <v>1488</v>
      </c>
      <c r="V492" t="s">
        <v>918</v>
      </c>
      <c r="W492" t="s">
        <v>1170</v>
      </c>
      <c r="X492" t="s">
        <v>962</v>
      </c>
      <c r="Y492" t="s">
        <v>1116</v>
      </c>
      <c r="Z492" t="s">
        <v>987</v>
      </c>
      <c r="AA492" t="s">
        <v>1065</v>
      </c>
      <c r="AB492" t="s">
        <v>1220</v>
      </c>
      <c r="AC492" t="s">
        <v>993</v>
      </c>
      <c r="AD492" t="s">
        <v>985</v>
      </c>
      <c r="AE492">
        <v>6.1</v>
      </c>
      <c r="AF492" t="e">
        <v>#VALUE!</v>
      </c>
    </row>
    <row r="493" spans="1:32" x14ac:dyDescent="0.25">
      <c r="A493" s="191" t="s">
        <v>2460</v>
      </c>
      <c r="B493" t="s">
        <v>2461</v>
      </c>
      <c r="C493" t="s">
        <v>1015</v>
      </c>
      <c r="D493" t="s">
        <v>79</v>
      </c>
      <c r="E493" t="s">
        <v>56</v>
      </c>
      <c r="F493" t="s">
        <v>1222</v>
      </c>
      <c r="G493" t="s">
        <v>1717</v>
      </c>
      <c r="H493" t="s">
        <v>1345</v>
      </c>
      <c r="I493" t="s">
        <v>1195</v>
      </c>
      <c r="J493" t="s">
        <v>964</v>
      </c>
      <c r="K493" t="s">
        <v>1764</v>
      </c>
      <c r="L493" t="s">
        <v>1600</v>
      </c>
      <c r="M493" t="s">
        <v>1600</v>
      </c>
      <c r="N493" t="s">
        <v>927</v>
      </c>
      <c r="O493" t="s">
        <v>1195</v>
      </c>
      <c r="P493" t="s">
        <v>964</v>
      </c>
      <c r="Q493" t="s">
        <v>1764</v>
      </c>
      <c r="R493" t="s">
        <v>1764</v>
      </c>
      <c r="S493" t="s">
        <v>1094</v>
      </c>
      <c r="T493" t="s">
        <v>991</v>
      </c>
      <c r="U493" t="s">
        <v>1361</v>
      </c>
      <c r="V493" t="s">
        <v>918</v>
      </c>
      <c r="W493" t="s">
        <v>964</v>
      </c>
      <c r="X493" t="s">
        <v>1155</v>
      </c>
      <c r="Y493" t="s">
        <v>946</v>
      </c>
      <c r="Z493" t="s">
        <v>1008</v>
      </c>
      <c r="AA493" t="s">
        <v>991</v>
      </c>
      <c r="AB493" t="s">
        <v>987</v>
      </c>
      <c r="AC493" t="s">
        <v>1230</v>
      </c>
      <c r="AD493" t="s">
        <v>964</v>
      </c>
      <c r="AE493">
        <v>2.9</v>
      </c>
      <c r="AF493" t="e">
        <v>#VALUE!</v>
      </c>
    </row>
    <row r="494" spans="1:32" x14ac:dyDescent="0.25">
      <c r="A494" s="191" t="s">
        <v>2462</v>
      </c>
      <c r="B494" t="s">
        <v>2463</v>
      </c>
      <c r="C494" t="s">
        <v>1245</v>
      </c>
      <c r="D494" t="s">
        <v>70</v>
      </c>
      <c r="E494" t="s">
        <v>63</v>
      </c>
      <c r="F494" t="s">
        <v>1150</v>
      </c>
      <c r="G494" t="s">
        <v>1717</v>
      </c>
      <c r="H494" t="s">
        <v>1035</v>
      </c>
      <c r="I494" t="s">
        <v>1049</v>
      </c>
      <c r="J494" t="s">
        <v>1228</v>
      </c>
      <c r="K494" t="s">
        <v>1555</v>
      </c>
      <c r="L494" t="s">
        <v>1008</v>
      </c>
      <c r="M494" t="s">
        <v>968</v>
      </c>
      <c r="N494" t="s">
        <v>1154</v>
      </c>
      <c r="O494" t="s">
        <v>1064</v>
      </c>
      <c r="P494" t="s">
        <v>947</v>
      </c>
      <c r="Q494" t="s">
        <v>1131</v>
      </c>
      <c r="R494" t="s">
        <v>1042</v>
      </c>
      <c r="S494" t="s">
        <v>969</v>
      </c>
      <c r="T494" t="s">
        <v>1008</v>
      </c>
      <c r="U494" t="s">
        <v>1597</v>
      </c>
      <c r="V494" t="s">
        <v>1119</v>
      </c>
      <c r="W494" t="s">
        <v>918</v>
      </c>
      <c r="X494" t="s">
        <v>1064</v>
      </c>
      <c r="Y494" t="s">
        <v>987</v>
      </c>
      <c r="Z494" t="s">
        <v>934</v>
      </c>
      <c r="AA494" t="s">
        <v>1600</v>
      </c>
      <c r="AB494" t="s">
        <v>1008</v>
      </c>
      <c r="AC494" t="s">
        <v>969</v>
      </c>
      <c r="AD494" t="s">
        <v>920</v>
      </c>
      <c r="AE494">
        <v>5.0999999999999996</v>
      </c>
      <c r="AF494">
        <v>4.9596</v>
      </c>
    </row>
    <row r="495" spans="1:32" x14ac:dyDescent="0.25">
      <c r="A495" s="191" t="s">
        <v>2464</v>
      </c>
      <c r="B495" t="s">
        <v>2465</v>
      </c>
      <c r="C495" t="s">
        <v>973</v>
      </c>
      <c r="D495" t="s">
        <v>113</v>
      </c>
      <c r="E495" t="s">
        <v>72</v>
      </c>
      <c r="F495" t="s">
        <v>1070</v>
      </c>
      <c r="G495" t="s">
        <v>1051</v>
      </c>
      <c r="H495" t="s">
        <v>1129</v>
      </c>
      <c r="I495" t="s">
        <v>908</v>
      </c>
      <c r="J495" t="s">
        <v>970</v>
      </c>
      <c r="K495" t="s">
        <v>2028</v>
      </c>
      <c r="L495" t="s">
        <v>1600</v>
      </c>
      <c r="M495" t="s">
        <v>1600</v>
      </c>
      <c r="N495" t="s">
        <v>1646</v>
      </c>
      <c r="O495" t="s">
        <v>908</v>
      </c>
      <c r="P495" t="s">
        <v>1048</v>
      </c>
      <c r="Q495" t="s">
        <v>2466</v>
      </c>
      <c r="R495" t="s">
        <v>2028</v>
      </c>
      <c r="S495" t="s">
        <v>1008</v>
      </c>
      <c r="T495" t="s">
        <v>923</v>
      </c>
      <c r="U495" t="s">
        <v>1484</v>
      </c>
      <c r="V495" t="s">
        <v>1230</v>
      </c>
      <c r="W495" t="s">
        <v>924</v>
      </c>
      <c r="X495" t="s">
        <v>1155</v>
      </c>
      <c r="Y495" t="s">
        <v>1008</v>
      </c>
      <c r="Z495" t="s">
        <v>1094</v>
      </c>
      <c r="AA495" t="s">
        <v>1008</v>
      </c>
      <c r="AB495" t="s">
        <v>969</v>
      </c>
      <c r="AC495" t="s">
        <v>922</v>
      </c>
      <c r="AD495" t="s">
        <v>920</v>
      </c>
      <c r="AE495">
        <v>4.9000000000000004</v>
      </c>
      <c r="AF495">
        <v>5.1099999999999994</v>
      </c>
    </row>
    <row r="496" spans="1:32" x14ac:dyDescent="0.25">
      <c r="A496" s="191" t="s">
        <v>2467</v>
      </c>
      <c r="B496" t="s">
        <v>2468</v>
      </c>
      <c r="C496" t="s">
        <v>973</v>
      </c>
      <c r="D496" t="s">
        <v>97</v>
      </c>
      <c r="E496" t="s">
        <v>63</v>
      </c>
      <c r="F496" t="s">
        <v>901</v>
      </c>
      <c r="G496" t="s">
        <v>1717</v>
      </c>
      <c r="H496" t="s">
        <v>1228</v>
      </c>
      <c r="I496" t="s">
        <v>956</v>
      </c>
      <c r="J496" t="s">
        <v>956</v>
      </c>
      <c r="K496" t="s">
        <v>2146</v>
      </c>
      <c r="L496" t="s">
        <v>923</v>
      </c>
      <c r="M496" t="s">
        <v>923</v>
      </c>
      <c r="N496" t="s">
        <v>2146</v>
      </c>
      <c r="O496" t="s">
        <v>923</v>
      </c>
      <c r="P496" t="s">
        <v>923</v>
      </c>
      <c r="Q496" t="s">
        <v>2146</v>
      </c>
      <c r="R496" t="s">
        <v>2469</v>
      </c>
      <c r="S496" t="s">
        <v>1600</v>
      </c>
      <c r="T496" t="s">
        <v>1600</v>
      </c>
      <c r="U496" t="s">
        <v>927</v>
      </c>
      <c r="V496" t="s">
        <v>1600</v>
      </c>
      <c r="W496" t="s">
        <v>1600</v>
      </c>
      <c r="X496" t="s">
        <v>1600</v>
      </c>
      <c r="Y496" t="s">
        <v>923</v>
      </c>
      <c r="Z496" t="s">
        <v>1600</v>
      </c>
      <c r="AA496" t="s">
        <v>1600</v>
      </c>
      <c r="AB496" t="s">
        <v>1600</v>
      </c>
      <c r="AC496" t="s">
        <v>1600</v>
      </c>
      <c r="AD496" t="s">
        <v>920</v>
      </c>
      <c r="AE496">
        <v>5</v>
      </c>
      <c r="AF496" t="e">
        <v>#VALUE!</v>
      </c>
    </row>
    <row r="497" spans="1:32" x14ac:dyDescent="0.25">
      <c r="A497" s="194" t="s">
        <v>2470</v>
      </c>
      <c r="B497" t="s">
        <v>2471</v>
      </c>
      <c r="C497" t="s">
        <v>1245</v>
      </c>
      <c r="D497" t="s">
        <v>974</v>
      </c>
      <c r="E497" t="s">
        <v>47</v>
      </c>
      <c r="F497" t="s">
        <v>1202</v>
      </c>
      <c r="G497" t="s">
        <v>1717</v>
      </c>
      <c r="H497" t="s">
        <v>1498</v>
      </c>
      <c r="I497" t="s">
        <v>1049</v>
      </c>
      <c r="J497" t="s">
        <v>1211</v>
      </c>
      <c r="K497" t="s">
        <v>1761</v>
      </c>
      <c r="L497" t="s">
        <v>991</v>
      </c>
      <c r="M497" t="s">
        <v>1230</v>
      </c>
      <c r="N497" t="s">
        <v>2259</v>
      </c>
      <c r="O497" t="s">
        <v>1310</v>
      </c>
      <c r="P497" t="s">
        <v>1048</v>
      </c>
      <c r="Q497" t="s">
        <v>1916</v>
      </c>
      <c r="R497" t="s">
        <v>1609</v>
      </c>
      <c r="S497" t="s">
        <v>969</v>
      </c>
      <c r="T497" t="s">
        <v>969</v>
      </c>
      <c r="U497" t="s">
        <v>2176</v>
      </c>
      <c r="V497" t="s">
        <v>1008</v>
      </c>
      <c r="W497" t="s">
        <v>908</v>
      </c>
      <c r="X497" t="s">
        <v>1104</v>
      </c>
      <c r="Y497" t="s">
        <v>1064</v>
      </c>
      <c r="Z497" t="s">
        <v>969</v>
      </c>
      <c r="AA497" t="s">
        <v>1600</v>
      </c>
      <c r="AB497" t="s">
        <v>987</v>
      </c>
      <c r="AC497" t="s">
        <v>918</v>
      </c>
      <c r="AD497" t="s">
        <v>1046</v>
      </c>
      <c r="AE497">
        <v>4.8</v>
      </c>
      <c r="AF497">
        <v>4.8311999999999999</v>
      </c>
    </row>
    <row r="498" spans="1:32" x14ac:dyDescent="0.25">
      <c r="A498" s="191" t="s">
        <v>2470</v>
      </c>
      <c r="B498" t="s">
        <v>2471</v>
      </c>
      <c r="C498" t="s">
        <v>1245</v>
      </c>
      <c r="D498" t="s">
        <v>1279</v>
      </c>
      <c r="E498" t="s">
        <v>47</v>
      </c>
      <c r="F498" t="s">
        <v>949</v>
      </c>
      <c r="G498" t="s">
        <v>1717</v>
      </c>
      <c r="H498" t="s">
        <v>922</v>
      </c>
      <c r="I498" t="s">
        <v>1094</v>
      </c>
      <c r="J498" t="s">
        <v>1008</v>
      </c>
      <c r="K498" t="s">
        <v>1131</v>
      </c>
      <c r="L498" t="s">
        <v>1094</v>
      </c>
      <c r="M498" t="s">
        <v>1094</v>
      </c>
      <c r="N498" t="s">
        <v>2146</v>
      </c>
      <c r="O498" t="s">
        <v>1600</v>
      </c>
      <c r="P498" t="s">
        <v>1094</v>
      </c>
      <c r="Q498" t="s">
        <v>1646</v>
      </c>
      <c r="R498" t="s">
        <v>2049</v>
      </c>
      <c r="S498" t="s">
        <v>1600</v>
      </c>
      <c r="T498" t="s">
        <v>1600</v>
      </c>
      <c r="U498" t="s">
        <v>927</v>
      </c>
      <c r="V498" t="s">
        <v>1600</v>
      </c>
      <c r="W498" t="s">
        <v>1600</v>
      </c>
      <c r="X498" t="s">
        <v>1600</v>
      </c>
      <c r="Y498" t="s">
        <v>1600</v>
      </c>
      <c r="Z498" t="s">
        <v>1600</v>
      </c>
      <c r="AA498" t="s">
        <v>1600</v>
      </c>
      <c r="AB498" t="s">
        <v>1600</v>
      </c>
      <c r="AC498" t="s">
        <v>1094</v>
      </c>
      <c r="AD498" t="s">
        <v>923</v>
      </c>
      <c r="AE498">
        <v>0.89999999999999991</v>
      </c>
      <c r="AF498" t="e">
        <v>#VALUE!</v>
      </c>
    </row>
    <row r="499" spans="1:32" x14ac:dyDescent="0.25">
      <c r="A499" s="191" t="s">
        <v>2470</v>
      </c>
      <c r="B499" t="s">
        <v>2471</v>
      </c>
      <c r="C499" t="s">
        <v>1245</v>
      </c>
      <c r="D499" t="s">
        <v>77</v>
      </c>
      <c r="E499" t="s">
        <v>47</v>
      </c>
      <c r="F499" t="s">
        <v>1147</v>
      </c>
      <c r="G499" t="s">
        <v>1717</v>
      </c>
      <c r="H499" t="s">
        <v>1189</v>
      </c>
      <c r="I499" t="s">
        <v>947</v>
      </c>
      <c r="J499" t="s">
        <v>1291</v>
      </c>
      <c r="K499" t="s">
        <v>958</v>
      </c>
      <c r="L499" t="s">
        <v>1065</v>
      </c>
      <c r="M499" t="s">
        <v>922</v>
      </c>
      <c r="N499" t="s">
        <v>2414</v>
      </c>
      <c r="O499" t="s">
        <v>968</v>
      </c>
      <c r="P499" t="s">
        <v>1155</v>
      </c>
      <c r="Q499" t="s">
        <v>1537</v>
      </c>
      <c r="R499" t="s">
        <v>1555</v>
      </c>
      <c r="S499" t="s">
        <v>1008</v>
      </c>
      <c r="T499" t="s">
        <v>987</v>
      </c>
      <c r="U499" t="s">
        <v>2176</v>
      </c>
      <c r="V499" t="s">
        <v>987</v>
      </c>
      <c r="W499" t="s">
        <v>993</v>
      </c>
      <c r="X499" t="s">
        <v>1000</v>
      </c>
      <c r="Y499" t="s">
        <v>1195</v>
      </c>
      <c r="Z499" t="s">
        <v>1008</v>
      </c>
      <c r="AA499" t="s">
        <v>1600</v>
      </c>
      <c r="AB499" t="s">
        <v>918</v>
      </c>
      <c r="AC499" t="s">
        <v>923</v>
      </c>
      <c r="AD499" t="s">
        <v>1079</v>
      </c>
      <c r="AE499">
        <v>5.8</v>
      </c>
      <c r="AF499">
        <v>5.7603</v>
      </c>
    </row>
    <row r="500" spans="1:32" x14ac:dyDescent="0.25">
      <c r="A500" s="191" t="s">
        <v>2472</v>
      </c>
      <c r="B500" t="s">
        <v>2473</v>
      </c>
      <c r="C500" t="s">
        <v>1293</v>
      </c>
      <c r="D500" t="s">
        <v>974</v>
      </c>
      <c r="E500" t="s">
        <v>63</v>
      </c>
      <c r="F500" t="s">
        <v>1085</v>
      </c>
      <c r="G500" t="s">
        <v>1096</v>
      </c>
      <c r="H500" t="s">
        <v>1487</v>
      </c>
      <c r="I500" t="s">
        <v>968</v>
      </c>
      <c r="J500" t="s">
        <v>1134</v>
      </c>
      <c r="K500" t="s">
        <v>2034</v>
      </c>
      <c r="L500" t="s">
        <v>945</v>
      </c>
      <c r="M500" t="s">
        <v>992</v>
      </c>
      <c r="N500" t="s">
        <v>1515</v>
      </c>
      <c r="O500" t="s">
        <v>1065</v>
      </c>
      <c r="P500" t="s">
        <v>945</v>
      </c>
      <c r="Q500" t="s">
        <v>1297</v>
      </c>
      <c r="R500" t="s">
        <v>1387</v>
      </c>
      <c r="S500" t="s">
        <v>934</v>
      </c>
      <c r="T500" t="s">
        <v>934</v>
      </c>
      <c r="U500" t="s">
        <v>1133</v>
      </c>
      <c r="V500" t="s">
        <v>991</v>
      </c>
      <c r="W500" t="s">
        <v>922</v>
      </c>
      <c r="X500" t="s">
        <v>908</v>
      </c>
      <c r="Y500" t="s">
        <v>923</v>
      </c>
      <c r="Z500" t="s">
        <v>1065</v>
      </c>
      <c r="AA500" t="s">
        <v>934</v>
      </c>
      <c r="AB500" t="s">
        <v>991</v>
      </c>
      <c r="AC500" t="s">
        <v>945</v>
      </c>
      <c r="AD500" t="s">
        <v>1046</v>
      </c>
      <c r="AE500">
        <v>5</v>
      </c>
      <c r="AF500">
        <v>4.9261999999999997</v>
      </c>
    </row>
    <row r="501" spans="1:32" x14ac:dyDescent="0.25">
      <c r="A501" s="191" t="s">
        <v>1721</v>
      </c>
      <c r="B501" t="s">
        <v>64</v>
      </c>
      <c r="C501" t="s">
        <v>995</v>
      </c>
      <c r="D501" t="s">
        <v>65</v>
      </c>
      <c r="E501" t="s">
        <v>47</v>
      </c>
      <c r="F501" t="s">
        <v>1377</v>
      </c>
      <c r="G501" t="s">
        <v>1187</v>
      </c>
      <c r="H501" t="s">
        <v>1224</v>
      </c>
      <c r="I501" t="s">
        <v>1092</v>
      </c>
      <c r="J501" t="s">
        <v>1040</v>
      </c>
      <c r="K501" t="s">
        <v>1522</v>
      </c>
      <c r="L501" t="s">
        <v>991</v>
      </c>
      <c r="M501" t="s">
        <v>1195</v>
      </c>
      <c r="N501" t="s">
        <v>1722</v>
      </c>
      <c r="O501" t="s">
        <v>1043</v>
      </c>
      <c r="P501" t="s">
        <v>916</v>
      </c>
      <c r="Q501" t="s">
        <v>1541</v>
      </c>
      <c r="R501" t="s">
        <v>1723</v>
      </c>
      <c r="S501" t="s">
        <v>924</v>
      </c>
      <c r="T501" t="s">
        <v>992</v>
      </c>
      <c r="U501" t="s">
        <v>1724</v>
      </c>
      <c r="V501" t="s">
        <v>1104</v>
      </c>
      <c r="W501" t="s">
        <v>1329</v>
      </c>
      <c r="X501" t="s">
        <v>989</v>
      </c>
      <c r="Y501" t="s">
        <v>1155</v>
      </c>
      <c r="Z501" t="s">
        <v>1230</v>
      </c>
      <c r="AA501" t="s">
        <v>1195</v>
      </c>
      <c r="AB501" t="s">
        <v>956</v>
      </c>
      <c r="AC501" t="s">
        <v>924</v>
      </c>
      <c r="AD501" t="s">
        <v>1714</v>
      </c>
      <c r="AE501">
        <v>13.999999999999998</v>
      </c>
      <c r="AF501">
        <v>14.077299999999999</v>
      </c>
    </row>
    <row r="502" spans="1:32" x14ac:dyDescent="0.25">
      <c r="A502" s="191" t="s">
        <v>2472</v>
      </c>
      <c r="B502" t="s">
        <v>2473</v>
      </c>
      <c r="C502" t="s">
        <v>1293</v>
      </c>
      <c r="D502" t="s">
        <v>97</v>
      </c>
      <c r="E502" t="s">
        <v>63</v>
      </c>
      <c r="F502" t="s">
        <v>1162</v>
      </c>
      <c r="G502" t="s">
        <v>1717</v>
      </c>
      <c r="H502" t="s">
        <v>916</v>
      </c>
      <c r="I502" t="s">
        <v>1064</v>
      </c>
      <c r="J502" t="s">
        <v>946</v>
      </c>
      <c r="K502" t="s">
        <v>1870</v>
      </c>
      <c r="L502" t="s">
        <v>1064</v>
      </c>
      <c r="M502" t="s">
        <v>1220</v>
      </c>
      <c r="N502" t="s">
        <v>1039</v>
      </c>
      <c r="O502" t="s">
        <v>1119</v>
      </c>
      <c r="P502" t="s">
        <v>991</v>
      </c>
      <c r="Q502" t="s">
        <v>2388</v>
      </c>
      <c r="R502" t="s">
        <v>1226</v>
      </c>
      <c r="S502" t="s">
        <v>1600</v>
      </c>
      <c r="T502" t="s">
        <v>1600</v>
      </c>
      <c r="U502">
        <v>0</v>
      </c>
      <c r="V502" t="s">
        <v>1094</v>
      </c>
      <c r="W502" t="s">
        <v>1008</v>
      </c>
      <c r="X502" t="s">
        <v>923</v>
      </c>
      <c r="Y502" t="s">
        <v>1008</v>
      </c>
      <c r="Z502" t="s">
        <v>991</v>
      </c>
      <c r="AA502" t="s">
        <v>1119</v>
      </c>
      <c r="AB502" t="s">
        <v>934</v>
      </c>
      <c r="AC502" t="s">
        <v>1065</v>
      </c>
      <c r="AD502" t="s">
        <v>1000</v>
      </c>
      <c r="AE502">
        <v>3.3000000000000003</v>
      </c>
      <c r="AF502">
        <v>3.3331000000000004</v>
      </c>
    </row>
    <row r="503" spans="1:32" x14ac:dyDescent="0.25">
      <c r="A503" s="191" t="s">
        <v>2474</v>
      </c>
      <c r="B503" t="s">
        <v>2475</v>
      </c>
      <c r="C503" t="s">
        <v>1293</v>
      </c>
      <c r="D503" t="s">
        <v>142</v>
      </c>
      <c r="E503" t="s">
        <v>63</v>
      </c>
      <c r="F503" t="s">
        <v>1176</v>
      </c>
      <c r="G503" t="s">
        <v>928</v>
      </c>
      <c r="H503" t="s">
        <v>1129</v>
      </c>
      <c r="I503" t="s">
        <v>968</v>
      </c>
      <c r="J503" t="s">
        <v>957</v>
      </c>
      <c r="K503" t="s">
        <v>1679</v>
      </c>
      <c r="L503" t="s">
        <v>1008</v>
      </c>
      <c r="M503" t="s">
        <v>993</v>
      </c>
      <c r="N503" t="s">
        <v>1785</v>
      </c>
      <c r="O503" t="s">
        <v>1064</v>
      </c>
      <c r="P503" t="s">
        <v>947</v>
      </c>
      <c r="Q503" t="s">
        <v>1976</v>
      </c>
      <c r="R503" t="s">
        <v>1923</v>
      </c>
      <c r="S503" t="s">
        <v>969</v>
      </c>
      <c r="T503" t="s">
        <v>1008</v>
      </c>
      <c r="U503" t="s">
        <v>1361</v>
      </c>
      <c r="V503" t="s">
        <v>987</v>
      </c>
      <c r="W503" t="s">
        <v>918</v>
      </c>
      <c r="X503" t="s">
        <v>922</v>
      </c>
      <c r="Y503" t="s">
        <v>945</v>
      </c>
      <c r="Z503" t="s">
        <v>923</v>
      </c>
      <c r="AA503" t="s">
        <v>1094</v>
      </c>
      <c r="AB503" t="s">
        <v>1008</v>
      </c>
      <c r="AC503" t="s">
        <v>945</v>
      </c>
      <c r="AD503" t="s">
        <v>1046</v>
      </c>
      <c r="AE503">
        <v>4.8999999999999995</v>
      </c>
      <c r="AF503">
        <v>4.8833000000000002</v>
      </c>
    </row>
    <row r="504" spans="1:32" x14ac:dyDescent="0.25">
      <c r="A504" s="191" t="s">
        <v>874</v>
      </c>
      <c r="B504" t="s">
        <v>171</v>
      </c>
      <c r="C504" t="s">
        <v>875</v>
      </c>
      <c r="D504" t="s">
        <v>172</v>
      </c>
      <c r="E504" t="s">
        <v>876</v>
      </c>
      <c r="F504" t="s">
        <v>392</v>
      </c>
      <c r="G504" t="s">
        <v>877</v>
      </c>
      <c r="H504" t="s">
        <v>878</v>
      </c>
      <c r="I504" t="s">
        <v>879</v>
      </c>
      <c r="J504" t="s">
        <v>880</v>
      </c>
      <c r="K504" t="s">
        <v>881</v>
      </c>
      <c r="L504" t="s">
        <v>882</v>
      </c>
      <c r="M504" t="s">
        <v>883</v>
      </c>
      <c r="N504" t="s">
        <v>884</v>
      </c>
      <c r="O504" t="s">
        <v>885</v>
      </c>
      <c r="P504" t="s">
        <v>886</v>
      </c>
      <c r="Q504" t="s">
        <v>887</v>
      </c>
      <c r="R504" t="s">
        <v>888</v>
      </c>
      <c r="S504" t="s">
        <v>889</v>
      </c>
      <c r="T504" t="s">
        <v>890</v>
      </c>
      <c r="U504" t="s">
        <v>891</v>
      </c>
      <c r="V504" t="s">
        <v>892</v>
      </c>
      <c r="W504" t="s">
        <v>893</v>
      </c>
      <c r="X504" t="s">
        <v>894</v>
      </c>
      <c r="Y504" t="s">
        <v>895</v>
      </c>
      <c r="Z504" t="s">
        <v>896</v>
      </c>
      <c r="AA504" t="s">
        <v>897</v>
      </c>
      <c r="AB504" t="s">
        <v>898</v>
      </c>
      <c r="AC504" t="s">
        <v>93</v>
      </c>
      <c r="AD504" t="s">
        <v>899</v>
      </c>
      <c r="AE504" t="e">
        <v>#VALUE!</v>
      </c>
      <c r="AF504" t="e">
        <v>#VALUE!</v>
      </c>
    </row>
    <row r="505" spans="1:32" x14ac:dyDescent="0.25">
      <c r="A505" s="191" t="s">
        <v>1725</v>
      </c>
      <c r="B505" t="s">
        <v>159</v>
      </c>
      <c r="C505" t="s">
        <v>929</v>
      </c>
      <c r="D505" t="s">
        <v>65</v>
      </c>
      <c r="E505" t="s">
        <v>56</v>
      </c>
      <c r="F505" t="s">
        <v>1255</v>
      </c>
      <c r="G505" t="s">
        <v>1255</v>
      </c>
      <c r="H505" t="s">
        <v>1323</v>
      </c>
      <c r="I505" t="s">
        <v>1134</v>
      </c>
      <c r="J505" t="s">
        <v>966</v>
      </c>
      <c r="K505" t="s">
        <v>1435</v>
      </c>
      <c r="L505" t="s">
        <v>1220</v>
      </c>
      <c r="M505" t="s">
        <v>990</v>
      </c>
      <c r="N505" t="s">
        <v>1726</v>
      </c>
      <c r="O505" t="s">
        <v>908</v>
      </c>
      <c r="P505" t="s">
        <v>920</v>
      </c>
      <c r="Q505" t="s">
        <v>1075</v>
      </c>
      <c r="R505" t="s">
        <v>1466</v>
      </c>
      <c r="S505" t="s">
        <v>1049</v>
      </c>
      <c r="T505" t="s">
        <v>947</v>
      </c>
      <c r="U505" t="s">
        <v>1388</v>
      </c>
      <c r="V505" t="s">
        <v>1065</v>
      </c>
      <c r="W505" t="s">
        <v>1048</v>
      </c>
      <c r="X505" t="s">
        <v>1030</v>
      </c>
      <c r="Y505" t="s">
        <v>1092</v>
      </c>
      <c r="Z505" t="s">
        <v>1029</v>
      </c>
      <c r="AA505" t="s">
        <v>991</v>
      </c>
      <c r="AB505" t="s">
        <v>1310</v>
      </c>
      <c r="AC505" t="s">
        <v>947</v>
      </c>
      <c r="AD505" t="s">
        <v>1714</v>
      </c>
      <c r="AE505">
        <v>14.200000000000001</v>
      </c>
      <c r="AF505">
        <v>14.132499999999999</v>
      </c>
    </row>
    <row r="506" spans="1:32" x14ac:dyDescent="0.25">
      <c r="A506" s="191" t="s">
        <v>2478</v>
      </c>
      <c r="B506" t="s">
        <v>2479</v>
      </c>
      <c r="C506" t="s">
        <v>1084</v>
      </c>
      <c r="D506" t="s">
        <v>1755</v>
      </c>
      <c r="E506" t="s">
        <v>72</v>
      </c>
      <c r="F506" t="s">
        <v>902</v>
      </c>
      <c r="G506" t="s">
        <v>972</v>
      </c>
      <c r="H506" t="s">
        <v>1296</v>
      </c>
      <c r="I506" t="s">
        <v>968</v>
      </c>
      <c r="J506" t="s">
        <v>1155</v>
      </c>
      <c r="K506" t="s">
        <v>1099</v>
      </c>
      <c r="L506" t="s">
        <v>1119</v>
      </c>
      <c r="M506" t="s">
        <v>969</v>
      </c>
      <c r="N506" t="s">
        <v>2480</v>
      </c>
      <c r="O506" t="s">
        <v>922</v>
      </c>
      <c r="P506" t="s">
        <v>1048</v>
      </c>
      <c r="Q506" t="s">
        <v>1058</v>
      </c>
      <c r="R506" t="s">
        <v>1537</v>
      </c>
      <c r="S506" t="s">
        <v>1064</v>
      </c>
      <c r="T506" t="s">
        <v>1310</v>
      </c>
      <c r="U506" t="s">
        <v>1549</v>
      </c>
      <c r="V506" t="s">
        <v>956</v>
      </c>
      <c r="W506" t="s">
        <v>1220</v>
      </c>
      <c r="X506" t="s">
        <v>957</v>
      </c>
      <c r="Y506" t="s">
        <v>1064</v>
      </c>
      <c r="Z506" t="s">
        <v>1094</v>
      </c>
      <c r="AA506" t="s">
        <v>991</v>
      </c>
      <c r="AB506" t="s">
        <v>918</v>
      </c>
      <c r="AC506" t="s">
        <v>956</v>
      </c>
      <c r="AD506" t="s">
        <v>957</v>
      </c>
      <c r="AE506">
        <v>4.8000000000000007</v>
      </c>
      <c r="AF506">
        <v>4.8063000000000002</v>
      </c>
    </row>
    <row r="507" spans="1:32" x14ac:dyDescent="0.25">
      <c r="A507" s="191" t="s">
        <v>2478</v>
      </c>
      <c r="B507" t="s">
        <v>2479</v>
      </c>
      <c r="C507" t="s">
        <v>1084</v>
      </c>
      <c r="D507" t="s">
        <v>156</v>
      </c>
      <c r="E507" t="s">
        <v>72</v>
      </c>
      <c r="F507" t="s">
        <v>1106</v>
      </c>
      <c r="G507" t="s">
        <v>1717</v>
      </c>
      <c r="H507" t="s">
        <v>1211</v>
      </c>
      <c r="I507" t="s">
        <v>934</v>
      </c>
      <c r="J507" t="s">
        <v>923</v>
      </c>
      <c r="K507" t="s">
        <v>2251</v>
      </c>
      <c r="L507" t="s">
        <v>1600</v>
      </c>
      <c r="M507" t="s">
        <v>991</v>
      </c>
      <c r="N507" t="s">
        <v>1646</v>
      </c>
      <c r="O507" t="s">
        <v>934</v>
      </c>
      <c r="P507" t="s">
        <v>969</v>
      </c>
      <c r="Q507" t="s">
        <v>1666</v>
      </c>
      <c r="R507" t="s">
        <v>2251</v>
      </c>
      <c r="S507" t="s">
        <v>923</v>
      </c>
      <c r="T507" t="s">
        <v>1064</v>
      </c>
      <c r="U507" t="s">
        <v>1887</v>
      </c>
      <c r="V507" t="s">
        <v>1094</v>
      </c>
      <c r="W507" t="s">
        <v>969</v>
      </c>
      <c r="X507" t="s">
        <v>918</v>
      </c>
      <c r="Y507" t="s">
        <v>1600</v>
      </c>
      <c r="Z507" t="s">
        <v>1119</v>
      </c>
      <c r="AA507" t="s">
        <v>1119</v>
      </c>
      <c r="AB507" t="s">
        <v>1119</v>
      </c>
      <c r="AC507" t="s">
        <v>969</v>
      </c>
      <c r="AD507" t="s">
        <v>1230</v>
      </c>
      <c r="AE507">
        <v>1.4</v>
      </c>
      <c r="AF507">
        <v>1.3995000000000002</v>
      </c>
    </row>
    <row r="508" spans="1:32" x14ac:dyDescent="0.25">
      <c r="A508" s="191" t="s">
        <v>2478</v>
      </c>
      <c r="B508" t="s">
        <v>2479</v>
      </c>
      <c r="C508" t="s">
        <v>1084</v>
      </c>
      <c r="D508" t="s">
        <v>163</v>
      </c>
      <c r="E508" t="s">
        <v>72</v>
      </c>
      <c r="F508" t="s">
        <v>1121</v>
      </c>
      <c r="G508" t="s">
        <v>972</v>
      </c>
      <c r="H508" t="s">
        <v>1760</v>
      </c>
      <c r="I508" t="s">
        <v>964</v>
      </c>
      <c r="J508" t="s">
        <v>1079</v>
      </c>
      <c r="K508" t="s">
        <v>1131</v>
      </c>
      <c r="L508" t="s">
        <v>934</v>
      </c>
      <c r="M508" t="s">
        <v>1008</v>
      </c>
      <c r="N508" t="s">
        <v>2152</v>
      </c>
      <c r="O508" t="s">
        <v>1220</v>
      </c>
      <c r="P508" t="s">
        <v>1005</v>
      </c>
      <c r="Q508" t="s">
        <v>984</v>
      </c>
      <c r="R508" t="s">
        <v>1180</v>
      </c>
      <c r="S508" t="s">
        <v>945</v>
      </c>
      <c r="T508" t="s">
        <v>1029</v>
      </c>
      <c r="U508" t="s">
        <v>1680</v>
      </c>
      <c r="V508" t="s">
        <v>946</v>
      </c>
      <c r="W508" t="s">
        <v>1155</v>
      </c>
      <c r="X508" t="s">
        <v>1116</v>
      </c>
      <c r="Y508" t="s">
        <v>1029</v>
      </c>
      <c r="Z508" t="s">
        <v>1065</v>
      </c>
      <c r="AA508" t="s">
        <v>1008</v>
      </c>
      <c r="AB508" t="s">
        <v>1049</v>
      </c>
      <c r="AC508" t="s">
        <v>964</v>
      </c>
      <c r="AD508" t="s">
        <v>1026</v>
      </c>
      <c r="AE508">
        <v>7.2</v>
      </c>
      <c r="AF508">
        <v>7.1474000000000002</v>
      </c>
    </row>
    <row r="509" spans="1:32" x14ac:dyDescent="0.25">
      <c r="A509" s="194" t="s">
        <v>2478</v>
      </c>
      <c r="B509" t="s">
        <v>2479</v>
      </c>
      <c r="C509" t="s">
        <v>1084</v>
      </c>
      <c r="D509" t="s">
        <v>108</v>
      </c>
      <c r="E509" t="s">
        <v>72</v>
      </c>
      <c r="F509" t="s">
        <v>1031</v>
      </c>
      <c r="G509" t="s">
        <v>1717</v>
      </c>
      <c r="H509" t="s">
        <v>1314</v>
      </c>
      <c r="I509" t="s">
        <v>924</v>
      </c>
      <c r="J509" t="s">
        <v>1134</v>
      </c>
      <c r="K509" t="s">
        <v>1131</v>
      </c>
      <c r="L509" t="s">
        <v>1600</v>
      </c>
      <c r="M509" t="s">
        <v>987</v>
      </c>
      <c r="N509" t="s">
        <v>1646</v>
      </c>
      <c r="O509" t="s">
        <v>924</v>
      </c>
      <c r="P509" t="s">
        <v>1228</v>
      </c>
      <c r="Q509" t="s">
        <v>1836</v>
      </c>
      <c r="R509" t="s">
        <v>1131</v>
      </c>
      <c r="S509" t="s">
        <v>945</v>
      </c>
      <c r="T509" t="s">
        <v>968</v>
      </c>
      <c r="U509" t="s">
        <v>1696</v>
      </c>
      <c r="V509" t="s">
        <v>1048</v>
      </c>
      <c r="W509" t="s">
        <v>1081</v>
      </c>
      <c r="X509" t="s">
        <v>988</v>
      </c>
      <c r="Y509" t="s">
        <v>956</v>
      </c>
      <c r="Z509" t="s">
        <v>934</v>
      </c>
      <c r="AA509" t="s">
        <v>934</v>
      </c>
      <c r="AB509" t="s">
        <v>934</v>
      </c>
      <c r="AC509" t="s">
        <v>1012</v>
      </c>
      <c r="AD509" t="s">
        <v>1063</v>
      </c>
      <c r="AE509">
        <v>6</v>
      </c>
      <c r="AF509">
        <v>6.0006000000000004</v>
      </c>
    </row>
    <row r="510" spans="1:32" x14ac:dyDescent="0.25">
      <c r="A510" s="191" t="s">
        <v>2481</v>
      </c>
      <c r="B510" t="s">
        <v>2482</v>
      </c>
      <c r="C510" t="s">
        <v>1245</v>
      </c>
      <c r="D510" t="s">
        <v>45</v>
      </c>
      <c r="E510" t="s">
        <v>93</v>
      </c>
      <c r="F510" t="s">
        <v>949</v>
      </c>
      <c r="G510" t="s">
        <v>949</v>
      </c>
      <c r="H510" t="s">
        <v>1317</v>
      </c>
      <c r="I510" t="s">
        <v>1195</v>
      </c>
      <c r="J510" t="s">
        <v>1063</v>
      </c>
      <c r="K510" t="s">
        <v>935</v>
      </c>
      <c r="L510" t="s">
        <v>923</v>
      </c>
      <c r="M510" t="s">
        <v>1228</v>
      </c>
      <c r="N510" t="s">
        <v>2152</v>
      </c>
      <c r="O510" t="s">
        <v>1094</v>
      </c>
      <c r="P510" t="s">
        <v>956</v>
      </c>
      <c r="Q510" t="s">
        <v>2388</v>
      </c>
      <c r="R510" t="s">
        <v>1960</v>
      </c>
      <c r="S510" t="s">
        <v>923</v>
      </c>
      <c r="T510" t="s">
        <v>1195</v>
      </c>
      <c r="U510" t="s">
        <v>2049</v>
      </c>
      <c r="V510" t="s">
        <v>922</v>
      </c>
      <c r="W510" t="s">
        <v>970</v>
      </c>
      <c r="X510" t="s">
        <v>920</v>
      </c>
      <c r="Y510" t="s">
        <v>1008</v>
      </c>
      <c r="Z510" t="s">
        <v>922</v>
      </c>
      <c r="AA510" t="s">
        <v>1195</v>
      </c>
      <c r="AB510" t="s">
        <v>1008</v>
      </c>
      <c r="AC510" t="s">
        <v>1220</v>
      </c>
      <c r="AD510" t="s">
        <v>957</v>
      </c>
      <c r="AE510">
        <v>4.5999999999999996</v>
      </c>
      <c r="AF510">
        <v>4.6430000000000007</v>
      </c>
    </row>
    <row r="511" spans="1:32" x14ac:dyDescent="0.25">
      <c r="A511" s="191" t="s">
        <v>2483</v>
      </c>
      <c r="B511" t="s">
        <v>2484</v>
      </c>
      <c r="C511" t="s">
        <v>1032</v>
      </c>
      <c r="D511" t="s">
        <v>1755</v>
      </c>
      <c r="E511" t="s">
        <v>93</v>
      </c>
      <c r="F511" t="s">
        <v>1355</v>
      </c>
      <c r="G511" t="s">
        <v>949</v>
      </c>
      <c r="H511" t="s">
        <v>1113</v>
      </c>
      <c r="I511" t="s">
        <v>922</v>
      </c>
      <c r="J511" t="s">
        <v>1155</v>
      </c>
      <c r="K511" t="s">
        <v>1923</v>
      </c>
      <c r="L511" t="s">
        <v>969</v>
      </c>
      <c r="M511" t="s">
        <v>968</v>
      </c>
      <c r="N511" t="s">
        <v>1528</v>
      </c>
      <c r="O511" t="s">
        <v>945</v>
      </c>
      <c r="P511" t="s">
        <v>1049</v>
      </c>
      <c r="Q511" t="s">
        <v>1561</v>
      </c>
      <c r="R511" t="s">
        <v>1615</v>
      </c>
      <c r="S511" t="s">
        <v>969</v>
      </c>
      <c r="T511" t="s">
        <v>987</v>
      </c>
      <c r="U511" t="s">
        <v>1947</v>
      </c>
      <c r="V511" t="s">
        <v>991</v>
      </c>
      <c r="W511" t="s">
        <v>925</v>
      </c>
      <c r="X511" t="s">
        <v>993</v>
      </c>
      <c r="Y511" t="s">
        <v>1064</v>
      </c>
      <c r="Z511" t="s">
        <v>991</v>
      </c>
      <c r="AA511" t="s">
        <v>1094</v>
      </c>
      <c r="AB511" t="s">
        <v>1008</v>
      </c>
      <c r="AC511" t="s">
        <v>969</v>
      </c>
      <c r="AD511" t="s">
        <v>1211</v>
      </c>
      <c r="AE511">
        <v>4.5999999999999996</v>
      </c>
      <c r="AF511">
        <v>4.6705999999999985</v>
      </c>
    </row>
    <row r="512" spans="1:32" x14ac:dyDescent="0.25">
      <c r="A512" s="191" t="s">
        <v>2483</v>
      </c>
      <c r="B512" t="s">
        <v>2484</v>
      </c>
      <c r="C512" t="s">
        <v>1032</v>
      </c>
      <c r="D512" t="s">
        <v>111</v>
      </c>
      <c r="E512" t="s">
        <v>93</v>
      </c>
      <c r="F512" t="s">
        <v>1293</v>
      </c>
      <c r="G512" t="s">
        <v>949</v>
      </c>
      <c r="H512" t="s">
        <v>1244</v>
      </c>
      <c r="I512" t="s">
        <v>1029</v>
      </c>
      <c r="J512" t="s">
        <v>1000</v>
      </c>
      <c r="K512" t="s">
        <v>1205</v>
      </c>
      <c r="L512" t="s">
        <v>969</v>
      </c>
      <c r="M512" t="s">
        <v>1029</v>
      </c>
      <c r="N512" t="s">
        <v>1558</v>
      </c>
      <c r="O512" t="s">
        <v>923</v>
      </c>
      <c r="P512" t="s">
        <v>1049</v>
      </c>
      <c r="Q512" t="s">
        <v>1192</v>
      </c>
      <c r="R512" t="s">
        <v>1057</v>
      </c>
      <c r="S512" t="s">
        <v>1008</v>
      </c>
      <c r="T512" t="s">
        <v>987</v>
      </c>
      <c r="U512" t="s">
        <v>1597</v>
      </c>
      <c r="V512" t="s">
        <v>991</v>
      </c>
      <c r="W512" t="s">
        <v>925</v>
      </c>
      <c r="X512" t="s">
        <v>1012</v>
      </c>
      <c r="Y512" t="s">
        <v>1064</v>
      </c>
      <c r="Z512" t="s">
        <v>991</v>
      </c>
      <c r="AA512" t="s">
        <v>1094</v>
      </c>
      <c r="AB512" t="s">
        <v>1008</v>
      </c>
      <c r="AC512" t="s">
        <v>1008</v>
      </c>
      <c r="AD512" t="s">
        <v>1047</v>
      </c>
      <c r="AE512">
        <v>4.5</v>
      </c>
      <c r="AF512">
        <v>4.4560000000000004</v>
      </c>
    </row>
    <row r="513" spans="1:32" x14ac:dyDescent="0.25">
      <c r="A513" s="191" t="s">
        <v>2483</v>
      </c>
      <c r="B513" t="s">
        <v>2484</v>
      </c>
      <c r="C513" t="s">
        <v>1032</v>
      </c>
      <c r="D513" t="s">
        <v>108</v>
      </c>
      <c r="E513" t="s">
        <v>93</v>
      </c>
      <c r="F513" t="s">
        <v>949</v>
      </c>
      <c r="G513" t="s">
        <v>1717</v>
      </c>
      <c r="H513" t="s">
        <v>943</v>
      </c>
      <c r="I513" t="s">
        <v>1220</v>
      </c>
      <c r="J513" t="s">
        <v>1044</v>
      </c>
      <c r="K513" t="s">
        <v>1818</v>
      </c>
      <c r="L513" t="s">
        <v>1008</v>
      </c>
      <c r="M513" t="s">
        <v>1030</v>
      </c>
      <c r="N513" t="s">
        <v>2485</v>
      </c>
      <c r="O513" t="s">
        <v>956</v>
      </c>
      <c r="P513" t="s">
        <v>1220</v>
      </c>
      <c r="Q513" t="s">
        <v>2049</v>
      </c>
      <c r="R513" t="s">
        <v>1268</v>
      </c>
      <c r="S513" t="s">
        <v>1600</v>
      </c>
      <c r="T513" t="s">
        <v>1600</v>
      </c>
      <c r="U513" t="s">
        <v>927</v>
      </c>
      <c r="V513" t="s">
        <v>1008</v>
      </c>
      <c r="W513" t="s">
        <v>947</v>
      </c>
      <c r="X513" t="s">
        <v>1135</v>
      </c>
      <c r="Y513" t="s">
        <v>923</v>
      </c>
      <c r="Z513" t="s">
        <v>1008</v>
      </c>
      <c r="AA513" t="s">
        <v>1600</v>
      </c>
      <c r="AB513" t="s">
        <v>1094</v>
      </c>
      <c r="AC513" t="s">
        <v>1094</v>
      </c>
      <c r="AD513" t="s">
        <v>1063</v>
      </c>
      <c r="AE513">
        <v>6.1</v>
      </c>
      <c r="AF513" t="e">
        <v>#VALUE!</v>
      </c>
    </row>
    <row r="514" spans="1:32" x14ac:dyDescent="0.25">
      <c r="A514" s="191" t="s">
        <v>1727</v>
      </c>
      <c r="B514" t="s">
        <v>1728</v>
      </c>
      <c r="C514" t="s">
        <v>950</v>
      </c>
      <c r="D514" t="s">
        <v>65</v>
      </c>
      <c r="E514" t="s">
        <v>47</v>
      </c>
      <c r="F514" t="s">
        <v>1138</v>
      </c>
      <c r="G514" t="s">
        <v>1138</v>
      </c>
      <c r="H514" t="s">
        <v>1664</v>
      </c>
      <c r="I514" t="s">
        <v>1005</v>
      </c>
      <c r="J514" t="s">
        <v>944</v>
      </c>
      <c r="K514" t="s">
        <v>1729</v>
      </c>
      <c r="L514" t="s">
        <v>993</v>
      </c>
      <c r="M514" t="s">
        <v>1044</v>
      </c>
      <c r="N514" t="s">
        <v>1225</v>
      </c>
      <c r="O514" t="s">
        <v>1012</v>
      </c>
      <c r="P514" t="s">
        <v>909</v>
      </c>
      <c r="Q514" t="s">
        <v>1364</v>
      </c>
      <c r="R514" t="s">
        <v>1381</v>
      </c>
      <c r="S514" t="s">
        <v>1195</v>
      </c>
      <c r="T514" t="s">
        <v>1029</v>
      </c>
      <c r="U514" t="s">
        <v>1597</v>
      </c>
      <c r="V514" t="s">
        <v>923</v>
      </c>
      <c r="W514" t="s">
        <v>1220</v>
      </c>
      <c r="X514" t="s">
        <v>1030</v>
      </c>
      <c r="Y514" t="s">
        <v>922</v>
      </c>
      <c r="Z514" t="s">
        <v>987</v>
      </c>
      <c r="AA514" t="s">
        <v>934</v>
      </c>
      <c r="AB514" t="s">
        <v>923</v>
      </c>
      <c r="AC514" t="s">
        <v>1048</v>
      </c>
      <c r="AD514" t="s">
        <v>1548</v>
      </c>
      <c r="AE514">
        <v>14</v>
      </c>
      <c r="AF514">
        <v>14.020100000000001</v>
      </c>
    </row>
    <row r="515" spans="1:32" x14ac:dyDescent="0.25">
      <c r="A515" s="191" t="s">
        <v>2487</v>
      </c>
      <c r="B515" t="s">
        <v>2488</v>
      </c>
      <c r="C515" t="s">
        <v>1293</v>
      </c>
      <c r="D515" t="s">
        <v>974</v>
      </c>
      <c r="E515" t="s">
        <v>72</v>
      </c>
      <c r="F515" t="s">
        <v>1512</v>
      </c>
      <c r="G515" t="s">
        <v>972</v>
      </c>
      <c r="H515" t="s">
        <v>1241</v>
      </c>
      <c r="I515" t="s">
        <v>1049</v>
      </c>
      <c r="J515" t="s">
        <v>1048</v>
      </c>
      <c r="K515" t="s">
        <v>1605</v>
      </c>
      <c r="L515" t="s">
        <v>1600</v>
      </c>
      <c r="M515" t="s">
        <v>1119</v>
      </c>
      <c r="N515" t="s">
        <v>1131</v>
      </c>
      <c r="O515" t="s">
        <v>968</v>
      </c>
      <c r="P515" t="s">
        <v>946</v>
      </c>
      <c r="Q515" t="s">
        <v>1542</v>
      </c>
      <c r="R515" t="s">
        <v>933</v>
      </c>
      <c r="S515" t="s">
        <v>987</v>
      </c>
      <c r="T515" t="s">
        <v>945</v>
      </c>
      <c r="U515" t="s">
        <v>2219</v>
      </c>
      <c r="V515" t="s">
        <v>923</v>
      </c>
      <c r="W515" t="s">
        <v>1220</v>
      </c>
      <c r="X515" t="s">
        <v>1030</v>
      </c>
      <c r="Y515" t="s">
        <v>918</v>
      </c>
      <c r="Z515" t="s">
        <v>934</v>
      </c>
      <c r="AA515" t="s">
        <v>969</v>
      </c>
      <c r="AB515" t="s">
        <v>1008</v>
      </c>
      <c r="AC515" t="s">
        <v>923</v>
      </c>
      <c r="AD515" t="s">
        <v>1211</v>
      </c>
      <c r="AE515">
        <v>4.5999999999999996</v>
      </c>
      <c r="AF515">
        <v>4.6395999999999997</v>
      </c>
    </row>
    <row r="516" spans="1:32" x14ac:dyDescent="0.25">
      <c r="A516" s="191" t="s">
        <v>2487</v>
      </c>
      <c r="B516" t="s">
        <v>2488</v>
      </c>
      <c r="C516" t="s">
        <v>1293</v>
      </c>
      <c r="D516" t="s">
        <v>45</v>
      </c>
      <c r="E516" t="s">
        <v>72</v>
      </c>
      <c r="F516" t="s">
        <v>1376</v>
      </c>
      <c r="G516" t="s">
        <v>972</v>
      </c>
      <c r="H516" t="s">
        <v>1183</v>
      </c>
      <c r="I516" t="s">
        <v>924</v>
      </c>
      <c r="J516" t="s">
        <v>1160</v>
      </c>
      <c r="K516" t="s">
        <v>939</v>
      </c>
      <c r="L516" t="s">
        <v>1119</v>
      </c>
      <c r="M516" t="s">
        <v>1119</v>
      </c>
      <c r="N516" t="s">
        <v>1836</v>
      </c>
      <c r="O516" t="s">
        <v>947</v>
      </c>
      <c r="P516" t="s">
        <v>1155</v>
      </c>
      <c r="Q516" t="s">
        <v>939</v>
      </c>
      <c r="R516" t="s">
        <v>942</v>
      </c>
      <c r="S516" t="s">
        <v>923</v>
      </c>
      <c r="T516" t="s">
        <v>1310</v>
      </c>
      <c r="U516" t="s">
        <v>2489</v>
      </c>
      <c r="V516" t="s">
        <v>1064</v>
      </c>
      <c r="W516" t="s">
        <v>979</v>
      </c>
      <c r="X516" t="s">
        <v>1047</v>
      </c>
      <c r="Y516" t="s">
        <v>945</v>
      </c>
      <c r="Z516" t="s">
        <v>1094</v>
      </c>
      <c r="AA516" t="s">
        <v>918</v>
      </c>
      <c r="AB516" t="s">
        <v>987</v>
      </c>
      <c r="AC516" t="s">
        <v>945</v>
      </c>
      <c r="AD516" t="s">
        <v>1079</v>
      </c>
      <c r="AE516">
        <v>5.8999999999999995</v>
      </c>
      <c r="AF516">
        <v>5.7411999999999992</v>
      </c>
    </row>
    <row r="517" spans="1:32" x14ac:dyDescent="0.25">
      <c r="A517" s="191" t="s">
        <v>2487</v>
      </c>
      <c r="B517" t="s">
        <v>2488</v>
      </c>
      <c r="C517" t="s">
        <v>1293</v>
      </c>
      <c r="D517" t="s">
        <v>79</v>
      </c>
      <c r="E517" t="s">
        <v>72</v>
      </c>
      <c r="F517" t="s">
        <v>1084</v>
      </c>
      <c r="G517" t="s">
        <v>1717</v>
      </c>
      <c r="H517" t="s">
        <v>988</v>
      </c>
      <c r="I517" t="s">
        <v>1064</v>
      </c>
      <c r="J517" t="s">
        <v>956</v>
      </c>
      <c r="K517" t="s">
        <v>1115</v>
      </c>
      <c r="L517" t="s">
        <v>1600</v>
      </c>
      <c r="M517" t="s">
        <v>1600</v>
      </c>
      <c r="N517" t="s">
        <v>1646</v>
      </c>
      <c r="O517" t="s">
        <v>1064</v>
      </c>
      <c r="P517" t="s">
        <v>956</v>
      </c>
      <c r="Q517" t="s">
        <v>1289</v>
      </c>
      <c r="R517" t="s">
        <v>1115</v>
      </c>
      <c r="S517" t="s">
        <v>1065</v>
      </c>
      <c r="T517" t="s">
        <v>969</v>
      </c>
      <c r="U517" t="s">
        <v>2280</v>
      </c>
      <c r="V517" t="s">
        <v>987</v>
      </c>
      <c r="W517" t="s">
        <v>1029</v>
      </c>
      <c r="X517" t="s">
        <v>924</v>
      </c>
      <c r="Y517" t="s">
        <v>991</v>
      </c>
      <c r="Z517" t="s">
        <v>1119</v>
      </c>
      <c r="AA517" t="s">
        <v>1094</v>
      </c>
      <c r="AB517" t="s">
        <v>991</v>
      </c>
      <c r="AC517" t="s">
        <v>1008</v>
      </c>
      <c r="AD517" t="s">
        <v>1220</v>
      </c>
      <c r="AE517">
        <v>2.7</v>
      </c>
      <c r="AF517">
        <v>2.7235999999999998</v>
      </c>
    </row>
    <row r="518" spans="1:32" x14ac:dyDescent="0.25">
      <c r="A518" s="191" t="s">
        <v>2490</v>
      </c>
      <c r="B518" t="s">
        <v>2491</v>
      </c>
      <c r="C518" t="s">
        <v>1032</v>
      </c>
      <c r="D518" t="s">
        <v>133</v>
      </c>
      <c r="E518" t="s">
        <v>63</v>
      </c>
      <c r="F518" t="s">
        <v>1480</v>
      </c>
      <c r="G518" t="s">
        <v>1083</v>
      </c>
      <c r="H518" t="s">
        <v>1454</v>
      </c>
      <c r="I518" t="s">
        <v>1029</v>
      </c>
      <c r="J518" t="s">
        <v>1030</v>
      </c>
      <c r="K518" t="s">
        <v>1018</v>
      </c>
      <c r="L518" t="s">
        <v>969</v>
      </c>
      <c r="M518" t="s">
        <v>922</v>
      </c>
      <c r="N518" t="s">
        <v>1089</v>
      </c>
      <c r="O518" t="s">
        <v>923</v>
      </c>
      <c r="P518" t="s">
        <v>956</v>
      </c>
      <c r="Q518" t="s">
        <v>1171</v>
      </c>
      <c r="R518" t="s">
        <v>1208</v>
      </c>
      <c r="S518" t="s">
        <v>1008</v>
      </c>
      <c r="T518" t="s">
        <v>1064</v>
      </c>
      <c r="U518" t="s">
        <v>2492</v>
      </c>
      <c r="V518" t="s">
        <v>1065</v>
      </c>
      <c r="W518" t="s">
        <v>945</v>
      </c>
      <c r="X518" t="s">
        <v>922</v>
      </c>
      <c r="Y518" t="s">
        <v>945</v>
      </c>
      <c r="Z518" t="s">
        <v>969</v>
      </c>
      <c r="AA518" t="s">
        <v>1119</v>
      </c>
      <c r="AB518" t="s">
        <v>991</v>
      </c>
      <c r="AC518" t="s">
        <v>922</v>
      </c>
      <c r="AD518" t="s">
        <v>1211</v>
      </c>
      <c r="AE518">
        <v>4.5</v>
      </c>
      <c r="AF518">
        <v>4.5699000000000005</v>
      </c>
    </row>
    <row r="519" spans="1:32" x14ac:dyDescent="0.25">
      <c r="A519" s="191" t="s">
        <v>2493</v>
      </c>
      <c r="B519" t="s">
        <v>2494</v>
      </c>
      <c r="C519" t="s">
        <v>1245</v>
      </c>
      <c r="D519" t="s">
        <v>131</v>
      </c>
      <c r="E519" t="s">
        <v>47</v>
      </c>
      <c r="F519" t="s">
        <v>1033</v>
      </c>
      <c r="G519" t="s">
        <v>1031</v>
      </c>
      <c r="H519" t="s">
        <v>1454</v>
      </c>
      <c r="I519" t="s">
        <v>1029</v>
      </c>
      <c r="J519" t="s">
        <v>992</v>
      </c>
      <c r="K519" t="s">
        <v>1319</v>
      </c>
      <c r="L519" t="s">
        <v>969</v>
      </c>
      <c r="M519" t="s">
        <v>1049</v>
      </c>
      <c r="N519" t="s">
        <v>2069</v>
      </c>
      <c r="O519" t="s">
        <v>923</v>
      </c>
      <c r="P519" t="s">
        <v>922</v>
      </c>
      <c r="Q519" t="s">
        <v>1510</v>
      </c>
      <c r="R519" t="s">
        <v>1381</v>
      </c>
      <c r="S519" t="s">
        <v>987</v>
      </c>
      <c r="T519" t="s">
        <v>923</v>
      </c>
      <c r="U519" t="s">
        <v>1382</v>
      </c>
      <c r="V519" t="s">
        <v>987</v>
      </c>
      <c r="W519" t="s">
        <v>1195</v>
      </c>
      <c r="X519" t="s">
        <v>908</v>
      </c>
      <c r="Y519" t="s">
        <v>1065</v>
      </c>
      <c r="Z519" t="s">
        <v>1065</v>
      </c>
      <c r="AA519" t="s">
        <v>1094</v>
      </c>
      <c r="AB519" t="s">
        <v>1094</v>
      </c>
      <c r="AC519" t="s">
        <v>1230</v>
      </c>
      <c r="AD519" t="s">
        <v>1211</v>
      </c>
      <c r="AE519">
        <v>4.5999999999999996</v>
      </c>
      <c r="AF519">
        <v>4.6316999999999995</v>
      </c>
    </row>
    <row r="520" spans="1:32" x14ac:dyDescent="0.25">
      <c r="A520" s="191" t="s">
        <v>2495</v>
      </c>
      <c r="B520" t="s">
        <v>2496</v>
      </c>
      <c r="C520" t="s">
        <v>1238</v>
      </c>
      <c r="D520" t="s">
        <v>45</v>
      </c>
      <c r="E520" t="s">
        <v>63</v>
      </c>
      <c r="F520" t="s">
        <v>975</v>
      </c>
      <c r="G520" t="s">
        <v>1245</v>
      </c>
      <c r="H520" t="s">
        <v>998</v>
      </c>
      <c r="I520" t="s">
        <v>922</v>
      </c>
      <c r="J520" t="s">
        <v>1005</v>
      </c>
      <c r="K520" t="s">
        <v>1750</v>
      </c>
      <c r="L520" t="s">
        <v>1008</v>
      </c>
      <c r="M520" t="s">
        <v>1220</v>
      </c>
      <c r="N520" t="s">
        <v>1934</v>
      </c>
      <c r="O520" t="s">
        <v>923</v>
      </c>
      <c r="P520" t="s">
        <v>924</v>
      </c>
      <c r="Q520" t="s">
        <v>1393</v>
      </c>
      <c r="R520" t="s">
        <v>1595</v>
      </c>
      <c r="S520" t="s">
        <v>969</v>
      </c>
      <c r="T520" t="s">
        <v>987</v>
      </c>
      <c r="U520" t="s">
        <v>1525</v>
      </c>
      <c r="V520" t="s">
        <v>1065</v>
      </c>
      <c r="W520" t="s">
        <v>922</v>
      </c>
      <c r="X520" t="s">
        <v>947</v>
      </c>
      <c r="Y520" t="s">
        <v>945</v>
      </c>
      <c r="Z520" t="s">
        <v>1065</v>
      </c>
      <c r="AA520" t="s">
        <v>1094</v>
      </c>
      <c r="AB520" t="s">
        <v>918</v>
      </c>
      <c r="AC520" t="s">
        <v>1049</v>
      </c>
      <c r="AD520" t="s">
        <v>1211</v>
      </c>
      <c r="AE520">
        <v>4.6999999999999993</v>
      </c>
      <c r="AF520">
        <v>4.5642999999999994</v>
      </c>
    </row>
    <row r="521" spans="1:32" x14ac:dyDescent="0.25">
      <c r="A521" s="191" t="s">
        <v>2497</v>
      </c>
      <c r="B521" t="s">
        <v>2498</v>
      </c>
      <c r="C521" t="s">
        <v>1238</v>
      </c>
      <c r="D521" t="s">
        <v>102</v>
      </c>
      <c r="E521" t="s">
        <v>56</v>
      </c>
      <c r="F521" t="s">
        <v>1453</v>
      </c>
      <c r="G521" t="s">
        <v>901</v>
      </c>
      <c r="H521" t="s">
        <v>1483</v>
      </c>
      <c r="I521" t="s">
        <v>1049</v>
      </c>
      <c r="J521" t="s">
        <v>1170</v>
      </c>
      <c r="K521" t="s">
        <v>1840</v>
      </c>
      <c r="L521" t="s">
        <v>1065</v>
      </c>
      <c r="M521" t="s">
        <v>1310</v>
      </c>
      <c r="N521" t="s">
        <v>1835</v>
      </c>
      <c r="O521" t="s">
        <v>1230</v>
      </c>
      <c r="P521" t="s">
        <v>1104</v>
      </c>
      <c r="Q521" t="s">
        <v>1476</v>
      </c>
      <c r="R521" t="s">
        <v>1131</v>
      </c>
      <c r="S521" t="s">
        <v>934</v>
      </c>
      <c r="T521" t="s">
        <v>1094</v>
      </c>
      <c r="U521" t="s">
        <v>1381</v>
      </c>
      <c r="V521" t="s">
        <v>934</v>
      </c>
      <c r="W521" t="s">
        <v>987</v>
      </c>
      <c r="X521" t="s">
        <v>923</v>
      </c>
      <c r="Y521" t="s">
        <v>956</v>
      </c>
      <c r="Z521" t="s">
        <v>991</v>
      </c>
      <c r="AA521" t="s">
        <v>1600</v>
      </c>
      <c r="AB521" t="s">
        <v>1064</v>
      </c>
      <c r="AC521" t="s">
        <v>987</v>
      </c>
      <c r="AD521" t="s">
        <v>1047</v>
      </c>
      <c r="AE521">
        <v>4.5</v>
      </c>
      <c r="AF521">
        <v>4.4584999999999999</v>
      </c>
    </row>
    <row r="522" spans="1:32" x14ac:dyDescent="0.25">
      <c r="A522" s="191" t="s">
        <v>2499</v>
      </c>
      <c r="B522" t="s">
        <v>2500</v>
      </c>
      <c r="C522" t="s">
        <v>1245</v>
      </c>
      <c r="D522" t="s">
        <v>142</v>
      </c>
      <c r="E522" t="s">
        <v>47</v>
      </c>
      <c r="F522" t="s">
        <v>1255</v>
      </c>
      <c r="G522" t="s">
        <v>1717</v>
      </c>
      <c r="H522" t="s">
        <v>1207</v>
      </c>
      <c r="I522" t="s">
        <v>1029</v>
      </c>
      <c r="J522" t="s">
        <v>1103</v>
      </c>
      <c r="K522" t="s">
        <v>1365</v>
      </c>
      <c r="L522" t="s">
        <v>918</v>
      </c>
      <c r="M522" t="s">
        <v>946</v>
      </c>
      <c r="N522" t="s">
        <v>2155</v>
      </c>
      <c r="O522" t="s">
        <v>1008</v>
      </c>
      <c r="P522" t="s">
        <v>1195</v>
      </c>
      <c r="Q522" t="s">
        <v>1504</v>
      </c>
      <c r="R522" t="s">
        <v>1795</v>
      </c>
      <c r="S522" t="s">
        <v>1094</v>
      </c>
      <c r="T522" t="s">
        <v>991</v>
      </c>
      <c r="U522" t="s">
        <v>1875</v>
      </c>
      <c r="V522" t="s">
        <v>1094</v>
      </c>
      <c r="W522" t="s">
        <v>987</v>
      </c>
      <c r="X522" t="s">
        <v>945</v>
      </c>
      <c r="Y522" t="s">
        <v>1008</v>
      </c>
      <c r="Z522" t="s">
        <v>934</v>
      </c>
      <c r="AA522" t="s">
        <v>934</v>
      </c>
      <c r="AB522" t="s">
        <v>969</v>
      </c>
      <c r="AC522" t="s">
        <v>1064</v>
      </c>
      <c r="AD522" t="s">
        <v>1047</v>
      </c>
      <c r="AE522">
        <v>4.4000000000000004</v>
      </c>
      <c r="AF522">
        <v>4.5028000000000006</v>
      </c>
    </row>
    <row r="523" spans="1:32" x14ac:dyDescent="0.25">
      <c r="A523" s="191" t="s">
        <v>1829</v>
      </c>
      <c r="B523" t="s">
        <v>1830</v>
      </c>
      <c r="C523" t="s">
        <v>1245</v>
      </c>
      <c r="D523" t="s">
        <v>65</v>
      </c>
      <c r="E523" t="s">
        <v>93</v>
      </c>
      <c r="F523" t="s">
        <v>1489</v>
      </c>
      <c r="G523" t="s">
        <v>1390</v>
      </c>
      <c r="H523" t="s">
        <v>1550</v>
      </c>
      <c r="I523" t="s">
        <v>1103</v>
      </c>
      <c r="J523" t="s">
        <v>965</v>
      </c>
      <c r="K523" t="s">
        <v>1018</v>
      </c>
      <c r="L523" t="s">
        <v>922</v>
      </c>
      <c r="M523" t="s">
        <v>1046</v>
      </c>
      <c r="N523" t="s">
        <v>1001</v>
      </c>
      <c r="O523" t="s">
        <v>1012</v>
      </c>
      <c r="P523" t="s">
        <v>1005</v>
      </c>
      <c r="Q523" t="s">
        <v>907</v>
      </c>
      <c r="R523" t="s">
        <v>1144</v>
      </c>
      <c r="S523" t="s">
        <v>968</v>
      </c>
      <c r="T523" t="s">
        <v>925</v>
      </c>
      <c r="U523" t="s">
        <v>1326</v>
      </c>
      <c r="V523" t="s">
        <v>968</v>
      </c>
      <c r="W523" t="s">
        <v>962</v>
      </c>
      <c r="X523" t="s">
        <v>1023</v>
      </c>
      <c r="Y523" t="s">
        <v>1064</v>
      </c>
      <c r="Z523" t="s">
        <v>991</v>
      </c>
      <c r="AA523" t="s">
        <v>1008</v>
      </c>
      <c r="AB523" t="s">
        <v>1064</v>
      </c>
      <c r="AC523" t="s">
        <v>925</v>
      </c>
      <c r="AD523" t="s">
        <v>1241</v>
      </c>
      <c r="AE523">
        <v>12.3</v>
      </c>
      <c r="AF523">
        <v>12.2088</v>
      </c>
    </row>
    <row r="524" spans="1:32" x14ac:dyDescent="0.25">
      <c r="A524" s="191" t="s">
        <v>2503</v>
      </c>
      <c r="B524" t="s">
        <v>2504</v>
      </c>
      <c r="C524" t="s">
        <v>1164</v>
      </c>
      <c r="D524" t="s">
        <v>1069</v>
      </c>
      <c r="E524" t="s">
        <v>72</v>
      </c>
      <c r="F524" t="s">
        <v>1322</v>
      </c>
      <c r="G524" t="s">
        <v>1245</v>
      </c>
      <c r="H524" t="s">
        <v>1553</v>
      </c>
      <c r="I524" t="s">
        <v>922</v>
      </c>
      <c r="J524" t="s">
        <v>1220</v>
      </c>
      <c r="K524" t="s">
        <v>2115</v>
      </c>
      <c r="L524" t="s">
        <v>1600</v>
      </c>
      <c r="M524" t="s">
        <v>1119</v>
      </c>
      <c r="N524" t="s">
        <v>1646</v>
      </c>
      <c r="O524" t="s">
        <v>922</v>
      </c>
      <c r="P524" t="s">
        <v>1220</v>
      </c>
      <c r="Q524" t="s">
        <v>2505</v>
      </c>
      <c r="R524" t="s">
        <v>2115</v>
      </c>
      <c r="S524" t="s">
        <v>1064</v>
      </c>
      <c r="T524" t="s">
        <v>922</v>
      </c>
      <c r="U524" t="s">
        <v>1637</v>
      </c>
      <c r="V524" t="s">
        <v>1029</v>
      </c>
      <c r="W524" t="s">
        <v>1211</v>
      </c>
      <c r="X524" t="s">
        <v>1059</v>
      </c>
      <c r="Y524" t="s">
        <v>968</v>
      </c>
      <c r="Z524" t="s">
        <v>991</v>
      </c>
      <c r="AA524" t="s">
        <v>969</v>
      </c>
      <c r="AB524" t="s">
        <v>987</v>
      </c>
      <c r="AC524" t="s">
        <v>908</v>
      </c>
      <c r="AD524" t="s">
        <v>1047</v>
      </c>
      <c r="AE524">
        <v>4.5</v>
      </c>
      <c r="AF524">
        <v>4.3827999999999996</v>
      </c>
    </row>
    <row r="525" spans="1:32" x14ac:dyDescent="0.25">
      <c r="A525" s="191" t="s">
        <v>2506</v>
      </c>
      <c r="B525" t="s">
        <v>2507</v>
      </c>
      <c r="C525" t="s">
        <v>995</v>
      </c>
      <c r="D525" t="s">
        <v>131</v>
      </c>
      <c r="E525" t="s">
        <v>63</v>
      </c>
      <c r="F525" t="s">
        <v>1438</v>
      </c>
      <c r="G525" t="s">
        <v>1031</v>
      </c>
      <c r="H525" t="s">
        <v>1260</v>
      </c>
      <c r="I525" t="s">
        <v>1029</v>
      </c>
      <c r="J525" t="s">
        <v>1030</v>
      </c>
      <c r="K525" t="s">
        <v>1168</v>
      </c>
      <c r="L525" t="s">
        <v>1065</v>
      </c>
      <c r="M525" t="s">
        <v>1230</v>
      </c>
      <c r="N525" t="s">
        <v>1100</v>
      </c>
      <c r="O525" t="s">
        <v>1064</v>
      </c>
      <c r="P525" t="s">
        <v>925</v>
      </c>
      <c r="Q525" t="s">
        <v>1283</v>
      </c>
      <c r="R525" t="s">
        <v>1208</v>
      </c>
      <c r="S525" t="s">
        <v>1008</v>
      </c>
      <c r="T525" t="s">
        <v>918</v>
      </c>
      <c r="U525" t="s">
        <v>1833</v>
      </c>
      <c r="V525" t="s">
        <v>1065</v>
      </c>
      <c r="W525" t="s">
        <v>945</v>
      </c>
      <c r="X525" t="s">
        <v>922</v>
      </c>
      <c r="Y525" t="s">
        <v>1195</v>
      </c>
      <c r="Z525" t="s">
        <v>969</v>
      </c>
      <c r="AA525" t="s">
        <v>934</v>
      </c>
      <c r="AB525" t="s">
        <v>1008</v>
      </c>
      <c r="AC525" t="s">
        <v>1029</v>
      </c>
      <c r="AD525" t="s">
        <v>1047</v>
      </c>
      <c r="AE525">
        <v>4.4000000000000004</v>
      </c>
      <c r="AF525">
        <v>4.4618000000000002</v>
      </c>
    </row>
    <row r="526" spans="1:32" x14ac:dyDescent="0.25">
      <c r="A526" s="191" t="s">
        <v>2508</v>
      </c>
      <c r="B526" t="s">
        <v>2509</v>
      </c>
      <c r="C526" t="s">
        <v>973</v>
      </c>
      <c r="D526" t="s">
        <v>974</v>
      </c>
      <c r="E526" t="s">
        <v>93</v>
      </c>
      <c r="F526" t="s">
        <v>1176</v>
      </c>
      <c r="G526" t="s">
        <v>928</v>
      </c>
      <c r="H526" t="s">
        <v>1182</v>
      </c>
      <c r="I526" t="s">
        <v>968</v>
      </c>
      <c r="J526" t="s">
        <v>1000</v>
      </c>
      <c r="K526" t="s">
        <v>907</v>
      </c>
      <c r="L526" t="s">
        <v>1119</v>
      </c>
      <c r="M526" t="s">
        <v>969</v>
      </c>
      <c r="N526" t="s">
        <v>2510</v>
      </c>
      <c r="O526" t="s">
        <v>922</v>
      </c>
      <c r="P526" t="s">
        <v>1104</v>
      </c>
      <c r="Q526" t="s">
        <v>1078</v>
      </c>
      <c r="R526" t="s">
        <v>1381</v>
      </c>
      <c r="S526" t="s">
        <v>1008</v>
      </c>
      <c r="T526" t="s">
        <v>1064</v>
      </c>
      <c r="U526" t="s">
        <v>2349</v>
      </c>
      <c r="V526" t="s">
        <v>945</v>
      </c>
      <c r="W526" t="s">
        <v>1310</v>
      </c>
      <c r="X526" t="s">
        <v>1220</v>
      </c>
      <c r="Y526" t="s">
        <v>991</v>
      </c>
      <c r="Z526" t="s">
        <v>1094</v>
      </c>
      <c r="AA526" t="s">
        <v>1094</v>
      </c>
      <c r="AB526" t="s">
        <v>991</v>
      </c>
      <c r="AC526" t="s">
        <v>969</v>
      </c>
      <c r="AD526" t="s">
        <v>1103</v>
      </c>
      <c r="AE526">
        <v>4.4000000000000004</v>
      </c>
      <c r="AF526">
        <v>4.3559000000000001</v>
      </c>
    </row>
    <row r="527" spans="1:32" x14ac:dyDescent="0.25">
      <c r="A527" s="191" t="s">
        <v>2508</v>
      </c>
      <c r="B527" t="s">
        <v>2509</v>
      </c>
      <c r="C527" t="s">
        <v>973</v>
      </c>
      <c r="D527" t="s">
        <v>77</v>
      </c>
      <c r="E527" t="s">
        <v>72</v>
      </c>
      <c r="F527" t="s">
        <v>1232</v>
      </c>
      <c r="G527" t="s">
        <v>901</v>
      </c>
      <c r="H527" t="s">
        <v>1062</v>
      </c>
      <c r="I527" t="s">
        <v>956</v>
      </c>
      <c r="J527" t="s">
        <v>1030</v>
      </c>
      <c r="K527" t="s">
        <v>1261</v>
      </c>
      <c r="L527" t="s">
        <v>1119</v>
      </c>
      <c r="M527" t="s">
        <v>1065</v>
      </c>
      <c r="N527" t="s">
        <v>2251</v>
      </c>
      <c r="O527" t="s">
        <v>1049</v>
      </c>
      <c r="P527" t="s">
        <v>1048</v>
      </c>
      <c r="Q527" t="s">
        <v>1482</v>
      </c>
      <c r="R527" t="s">
        <v>1209</v>
      </c>
      <c r="S527" t="s">
        <v>987</v>
      </c>
      <c r="T527" t="s">
        <v>945</v>
      </c>
      <c r="U527" t="s">
        <v>2511</v>
      </c>
      <c r="V527" t="s">
        <v>1230</v>
      </c>
      <c r="W527" t="s">
        <v>1310</v>
      </c>
      <c r="X527" t="s">
        <v>964</v>
      </c>
      <c r="Y527" t="s">
        <v>991</v>
      </c>
      <c r="Z527" t="s">
        <v>991</v>
      </c>
      <c r="AA527" t="s">
        <v>1094</v>
      </c>
      <c r="AB527" t="s">
        <v>969</v>
      </c>
      <c r="AC527" t="s">
        <v>969</v>
      </c>
      <c r="AD527" t="s">
        <v>1046</v>
      </c>
      <c r="AE527">
        <v>4.8999999999999995</v>
      </c>
      <c r="AF527">
        <v>4.8583999999999996</v>
      </c>
    </row>
    <row r="528" spans="1:32" x14ac:dyDescent="0.25">
      <c r="A528" s="191" t="s">
        <v>2508</v>
      </c>
      <c r="B528" t="s">
        <v>2509</v>
      </c>
      <c r="C528" t="s">
        <v>973</v>
      </c>
      <c r="D528" t="s">
        <v>156</v>
      </c>
      <c r="E528" t="s">
        <v>93</v>
      </c>
      <c r="F528" t="s">
        <v>1137</v>
      </c>
      <c r="G528" t="s">
        <v>901</v>
      </c>
      <c r="H528" t="s">
        <v>1010</v>
      </c>
      <c r="I528" t="s">
        <v>1230</v>
      </c>
      <c r="J528" t="s">
        <v>964</v>
      </c>
      <c r="K528" t="s">
        <v>1976</v>
      </c>
      <c r="L528" t="s">
        <v>1119</v>
      </c>
      <c r="M528" t="s">
        <v>987</v>
      </c>
      <c r="N528" t="s">
        <v>2291</v>
      </c>
      <c r="O528" t="s">
        <v>1195</v>
      </c>
      <c r="P528" t="s">
        <v>925</v>
      </c>
      <c r="Q528" t="s">
        <v>2169</v>
      </c>
      <c r="R528" t="s">
        <v>1131</v>
      </c>
      <c r="S528" t="s">
        <v>1008</v>
      </c>
      <c r="T528" t="s">
        <v>923</v>
      </c>
      <c r="U528" t="s">
        <v>1696</v>
      </c>
      <c r="V528" t="s">
        <v>918</v>
      </c>
      <c r="W528" t="s">
        <v>1230</v>
      </c>
      <c r="X528" t="s">
        <v>947</v>
      </c>
      <c r="Y528" t="s">
        <v>1094</v>
      </c>
      <c r="Z528" t="s">
        <v>934</v>
      </c>
      <c r="AA528" t="s">
        <v>1094</v>
      </c>
      <c r="AB528" t="s">
        <v>1119</v>
      </c>
      <c r="AC528" t="s">
        <v>1065</v>
      </c>
      <c r="AD528" t="s">
        <v>992</v>
      </c>
      <c r="AE528">
        <v>3.5999999999999996</v>
      </c>
      <c r="AF528">
        <v>3.5164</v>
      </c>
    </row>
    <row r="529" spans="1:32" x14ac:dyDescent="0.25">
      <c r="A529" s="191" t="s">
        <v>2512</v>
      </c>
      <c r="B529" t="s">
        <v>2513</v>
      </c>
      <c r="C529" t="s">
        <v>1084</v>
      </c>
      <c r="D529" t="s">
        <v>70</v>
      </c>
      <c r="E529" t="s">
        <v>72</v>
      </c>
      <c r="F529" t="s">
        <v>1068</v>
      </c>
      <c r="G529" t="s">
        <v>901</v>
      </c>
      <c r="H529" t="s">
        <v>1020</v>
      </c>
      <c r="I529" t="s">
        <v>1049</v>
      </c>
      <c r="J529" t="s">
        <v>970</v>
      </c>
      <c r="K529" t="s">
        <v>1520</v>
      </c>
      <c r="L529" t="s">
        <v>1600</v>
      </c>
      <c r="M529" t="s">
        <v>1600</v>
      </c>
      <c r="N529" t="s">
        <v>927</v>
      </c>
      <c r="O529" t="s">
        <v>1049</v>
      </c>
      <c r="P529" t="s">
        <v>970</v>
      </c>
      <c r="Q529" t="s">
        <v>1520</v>
      </c>
      <c r="R529" t="s">
        <v>1520</v>
      </c>
      <c r="S529" t="s">
        <v>969</v>
      </c>
      <c r="T529" t="s">
        <v>918</v>
      </c>
      <c r="U529" t="s">
        <v>1771</v>
      </c>
      <c r="V529" t="s">
        <v>1029</v>
      </c>
      <c r="W529" t="s">
        <v>1220</v>
      </c>
      <c r="X529" t="s">
        <v>1081</v>
      </c>
      <c r="Y529" t="s">
        <v>1065</v>
      </c>
      <c r="Z529" t="s">
        <v>991</v>
      </c>
      <c r="AA529" t="s">
        <v>987</v>
      </c>
      <c r="AB529" t="s">
        <v>969</v>
      </c>
      <c r="AC529" t="s">
        <v>1230</v>
      </c>
      <c r="AD529" t="s">
        <v>1103</v>
      </c>
      <c r="AE529">
        <v>4.3999999999999995</v>
      </c>
      <c r="AF529" t="e">
        <v>#VALUE!</v>
      </c>
    </row>
    <row r="530" spans="1:32" x14ac:dyDescent="0.25">
      <c r="A530" s="191" t="s">
        <v>2514</v>
      </c>
      <c r="B530" t="s">
        <v>2515</v>
      </c>
      <c r="C530" t="s">
        <v>1293</v>
      </c>
      <c r="D530" t="s">
        <v>170</v>
      </c>
      <c r="E530" t="s">
        <v>72</v>
      </c>
      <c r="F530" t="s">
        <v>1162</v>
      </c>
      <c r="G530" t="s">
        <v>1717</v>
      </c>
      <c r="H530" t="s">
        <v>1027</v>
      </c>
      <c r="I530" t="s">
        <v>908</v>
      </c>
      <c r="J530" t="s">
        <v>1048</v>
      </c>
      <c r="K530" t="s">
        <v>2516</v>
      </c>
      <c r="L530" t="s">
        <v>1119</v>
      </c>
      <c r="M530" t="s">
        <v>934</v>
      </c>
      <c r="N530" t="s">
        <v>1666</v>
      </c>
      <c r="O530" t="s">
        <v>956</v>
      </c>
      <c r="P530" t="s">
        <v>1135</v>
      </c>
      <c r="Q530" t="s">
        <v>1696</v>
      </c>
      <c r="R530" t="s">
        <v>1219</v>
      </c>
      <c r="S530" t="s">
        <v>1119</v>
      </c>
      <c r="T530" t="s">
        <v>991</v>
      </c>
      <c r="U530" t="s">
        <v>1666</v>
      </c>
      <c r="V530" t="s">
        <v>1195</v>
      </c>
      <c r="W530" t="s">
        <v>922</v>
      </c>
      <c r="X530" t="s">
        <v>1135</v>
      </c>
      <c r="Y530" t="s">
        <v>991</v>
      </c>
      <c r="Z530" t="s">
        <v>1119</v>
      </c>
      <c r="AA530" t="s">
        <v>969</v>
      </c>
      <c r="AB530" t="s">
        <v>991</v>
      </c>
      <c r="AC530" t="s">
        <v>987</v>
      </c>
      <c r="AD530" t="s">
        <v>1103</v>
      </c>
      <c r="AE530">
        <v>4.3999999999999995</v>
      </c>
      <c r="AF530">
        <v>4.3350000000000009</v>
      </c>
    </row>
    <row r="531" spans="1:32" x14ac:dyDescent="0.25">
      <c r="A531" s="191" t="s">
        <v>2517</v>
      </c>
      <c r="B531" t="s">
        <v>2518</v>
      </c>
      <c r="C531" t="s">
        <v>1164</v>
      </c>
      <c r="D531" t="s">
        <v>108</v>
      </c>
      <c r="E531" t="s">
        <v>56</v>
      </c>
      <c r="F531" t="s">
        <v>1176</v>
      </c>
      <c r="G531" t="s">
        <v>901</v>
      </c>
      <c r="H531" t="s">
        <v>1113</v>
      </c>
      <c r="I531" t="s">
        <v>922</v>
      </c>
      <c r="J531" t="s">
        <v>1170</v>
      </c>
      <c r="K531" t="s">
        <v>1595</v>
      </c>
      <c r="L531" t="s">
        <v>987</v>
      </c>
      <c r="M531" t="s">
        <v>924</v>
      </c>
      <c r="N531" t="s">
        <v>1835</v>
      </c>
      <c r="O531" t="s">
        <v>918</v>
      </c>
      <c r="P531" t="s">
        <v>1049</v>
      </c>
      <c r="Q531" t="s">
        <v>1555</v>
      </c>
      <c r="R531" t="s">
        <v>1514</v>
      </c>
      <c r="S531" t="s">
        <v>934</v>
      </c>
      <c r="T531" t="s">
        <v>1094</v>
      </c>
      <c r="U531" t="s">
        <v>1864</v>
      </c>
      <c r="V531" t="s">
        <v>1094</v>
      </c>
      <c r="W531" t="s">
        <v>1064</v>
      </c>
      <c r="X531" t="s">
        <v>1230</v>
      </c>
      <c r="Y531" t="s">
        <v>1310</v>
      </c>
      <c r="Z531" t="s">
        <v>1065</v>
      </c>
      <c r="AA531" t="s">
        <v>1119</v>
      </c>
      <c r="AB531" t="s">
        <v>1065</v>
      </c>
      <c r="AC531" t="s">
        <v>1064</v>
      </c>
      <c r="AD531" t="s">
        <v>1103</v>
      </c>
      <c r="AE531">
        <v>4.4000000000000004</v>
      </c>
      <c r="AF531">
        <v>4.4074</v>
      </c>
    </row>
    <row r="532" spans="1:32" x14ac:dyDescent="0.25">
      <c r="A532" s="191" t="s">
        <v>1843</v>
      </c>
      <c r="B532" t="s">
        <v>1844</v>
      </c>
      <c r="C532" t="s">
        <v>1032</v>
      </c>
      <c r="D532" t="s">
        <v>65</v>
      </c>
      <c r="E532" t="s">
        <v>93</v>
      </c>
      <c r="F532" t="s">
        <v>1489</v>
      </c>
      <c r="G532" t="s">
        <v>1202</v>
      </c>
      <c r="H532" t="s">
        <v>1174</v>
      </c>
      <c r="I532" t="s">
        <v>1134</v>
      </c>
      <c r="J532" t="s">
        <v>997</v>
      </c>
      <c r="K532" t="s">
        <v>1845</v>
      </c>
      <c r="L532" t="s">
        <v>1064</v>
      </c>
      <c r="M532" t="s">
        <v>1048</v>
      </c>
      <c r="N532" t="s">
        <v>1756</v>
      </c>
      <c r="O532" t="s">
        <v>1030</v>
      </c>
      <c r="P532" t="s">
        <v>1006</v>
      </c>
      <c r="Q532" t="s">
        <v>1522</v>
      </c>
      <c r="R532" t="s">
        <v>1396</v>
      </c>
      <c r="S532" t="s">
        <v>1230</v>
      </c>
      <c r="T532" t="s">
        <v>968</v>
      </c>
      <c r="U532" t="s">
        <v>1846</v>
      </c>
      <c r="V532" t="s">
        <v>925</v>
      </c>
      <c r="W532" t="s">
        <v>919</v>
      </c>
      <c r="X532" t="s">
        <v>921</v>
      </c>
      <c r="Y532" t="s">
        <v>1310</v>
      </c>
      <c r="Z532" t="s">
        <v>922</v>
      </c>
      <c r="AA532" t="s">
        <v>918</v>
      </c>
      <c r="AB532" t="s">
        <v>1064</v>
      </c>
      <c r="AC532" t="s">
        <v>924</v>
      </c>
      <c r="AD532" t="s">
        <v>1380</v>
      </c>
      <c r="AE532">
        <v>12.1</v>
      </c>
      <c r="AF532">
        <v>12.0036</v>
      </c>
    </row>
    <row r="533" spans="1:32" x14ac:dyDescent="0.25">
      <c r="A533" s="191" t="s">
        <v>2521</v>
      </c>
      <c r="B533" t="s">
        <v>2522</v>
      </c>
      <c r="C533" t="s">
        <v>1293</v>
      </c>
      <c r="D533" t="s">
        <v>156</v>
      </c>
      <c r="E533" t="s">
        <v>93</v>
      </c>
      <c r="F533" t="s">
        <v>1212</v>
      </c>
      <c r="G533" t="s">
        <v>901</v>
      </c>
      <c r="H533" t="s">
        <v>1035</v>
      </c>
      <c r="I533" t="s">
        <v>922</v>
      </c>
      <c r="J533" t="s">
        <v>1030</v>
      </c>
      <c r="K533" t="s">
        <v>1455</v>
      </c>
      <c r="L533" t="s">
        <v>1065</v>
      </c>
      <c r="M533" t="s">
        <v>1029</v>
      </c>
      <c r="N533" t="s">
        <v>2155</v>
      </c>
      <c r="O533" t="s">
        <v>945</v>
      </c>
      <c r="P533" t="s">
        <v>908</v>
      </c>
      <c r="Q533" t="s">
        <v>1494</v>
      </c>
      <c r="R533" t="s">
        <v>1551</v>
      </c>
      <c r="S533" t="s">
        <v>1065</v>
      </c>
      <c r="T533" t="s">
        <v>969</v>
      </c>
      <c r="U533" t="s">
        <v>1133</v>
      </c>
      <c r="V533" t="s">
        <v>934</v>
      </c>
      <c r="W533" t="s">
        <v>956</v>
      </c>
      <c r="X533" t="s">
        <v>925</v>
      </c>
      <c r="Y533" t="s">
        <v>1065</v>
      </c>
      <c r="Z533" t="s">
        <v>1094</v>
      </c>
      <c r="AA533" t="s">
        <v>934</v>
      </c>
      <c r="AB533" t="s">
        <v>969</v>
      </c>
      <c r="AC533" t="s">
        <v>918</v>
      </c>
      <c r="AD533" t="s">
        <v>1103</v>
      </c>
      <c r="AE533">
        <v>4.4000000000000004</v>
      </c>
      <c r="AF533">
        <v>4.3056000000000001</v>
      </c>
    </row>
    <row r="534" spans="1:32" x14ac:dyDescent="0.25">
      <c r="A534" s="191" t="s">
        <v>2523</v>
      </c>
      <c r="B534" t="s">
        <v>2524</v>
      </c>
      <c r="C534" t="s">
        <v>902</v>
      </c>
      <c r="D534" t="s">
        <v>974</v>
      </c>
      <c r="E534" t="s">
        <v>72</v>
      </c>
      <c r="F534" t="s">
        <v>1204</v>
      </c>
      <c r="G534" t="s">
        <v>928</v>
      </c>
      <c r="H534" t="s">
        <v>1781</v>
      </c>
      <c r="I534" t="s">
        <v>1029</v>
      </c>
      <c r="J534" t="s">
        <v>979</v>
      </c>
      <c r="K534" t="s">
        <v>999</v>
      </c>
      <c r="L534" t="s">
        <v>1065</v>
      </c>
      <c r="M534" t="s">
        <v>922</v>
      </c>
      <c r="N534" t="s">
        <v>2309</v>
      </c>
      <c r="O534" t="s">
        <v>945</v>
      </c>
      <c r="P534" t="s">
        <v>968</v>
      </c>
      <c r="Q534" t="s">
        <v>2386</v>
      </c>
      <c r="R534" t="s">
        <v>1275</v>
      </c>
      <c r="S534" t="s">
        <v>969</v>
      </c>
      <c r="T534" t="s">
        <v>987</v>
      </c>
      <c r="U534" t="s">
        <v>2525</v>
      </c>
      <c r="V534" t="s">
        <v>923</v>
      </c>
      <c r="W534" t="s">
        <v>979</v>
      </c>
      <c r="X534" t="s">
        <v>1047</v>
      </c>
      <c r="Y534" t="s">
        <v>969</v>
      </c>
      <c r="Z534" t="s">
        <v>1094</v>
      </c>
      <c r="AA534" t="s">
        <v>923</v>
      </c>
      <c r="AB534" t="s">
        <v>969</v>
      </c>
      <c r="AC534" t="s">
        <v>968</v>
      </c>
      <c r="AD534" t="s">
        <v>1170</v>
      </c>
      <c r="AE534">
        <v>4.3</v>
      </c>
      <c r="AF534">
        <v>4.2778</v>
      </c>
    </row>
    <row r="535" spans="1:32" x14ac:dyDescent="0.25">
      <c r="A535" s="191" t="s">
        <v>2523</v>
      </c>
      <c r="B535" t="s">
        <v>2524</v>
      </c>
      <c r="C535" t="s">
        <v>902</v>
      </c>
      <c r="D535" t="s">
        <v>79</v>
      </c>
      <c r="E535" t="s">
        <v>72</v>
      </c>
      <c r="F535" t="s">
        <v>1015</v>
      </c>
      <c r="G535" t="s">
        <v>928</v>
      </c>
      <c r="H535" t="s">
        <v>1306</v>
      </c>
      <c r="I535" t="s">
        <v>922</v>
      </c>
      <c r="J535" t="s">
        <v>1030</v>
      </c>
      <c r="K535" t="s">
        <v>1609</v>
      </c>
      <c r="L535" t="s">
        <v>1065</v>
      </c>
      <c r="M535" t="s">
        <v>968</v>
      </c>
      <c r="N535" t="s">
        <v>2341</v>
      </c>
      <c r="O535" t="s">
        <v>945</v>
      </c>
      <c r="P535" t="s">
        <v>1049</v>
      </c>
      <c r="Q535" t="s">
        <v>2074</v>
      </c>
      <c r="R535" t="s">
        <v>1114</v>
      </c>
      <c r="S535" t="s">
        <v>969</v>
      </c>
      <c r="T535" t="s">
        <v>918</v>
      </c>
      <c r="U535" t="s">
        <v>2438</v>
      </c>
      <c r="V535" t="s">
        <v>918</v>
      </c>
      <c r="W535" t="s">
        <v>1000</v>
      </c>
      <c r="X535" t="s">
        <v>1170</v>
      </c>
      <c r="Y535" t="s">
        <v>969</v>
      </c>
      <c r="Z535" t="s">
        <v>1094</v>
      </c>
      <c r="AA535" t="s">
        <v>923</v>
      </c>
      <c r="AB535" t="s">
        <v>1008</v>
      </c>
      <c r="AC535" t="s">
        <v>968</v>
      </c>
      <c r="AD535" t="s">
        <v>1211</v>
      </c>
      <c r="AE535">
        <v>4.5</v>
      </c>
      <c r="AF535">
        <v>4.5994000000000002</v>
      </c>
    </row>
    <row r="536" spans="1:32" x14ac:dyDescent="0.25">
      <c r="A536" s="191" t="s">
        <v>2523</v>
      </c>
      <c r="B536" t="s">
        <v>2524</v>
      </c>
      <c r="C536" t="s">
        <v>902</v>
      </c>
      <c r="D536" t="s">
        <v>83</v>
      </c>
      <c r="E536" t="s">
        <v>72</v>
      </c>
      <c r="F536" t="s">
        <v>972</v>
      </c>
      <c r="G536" t="s">
        <v>1717</v>
      </c>
      <c r="H536" t="s">
        <v>1527</v>
      </c>
      <c r="I536" t="s">
        <v>923</v>
      </c>
      <c r="J536" t="s">
        <v>947</v>
      </c>
      <c r="K536" t="s">
        <v>1297</v>
      </c>
      <c r="L536" t="s">
        <v>1600</v>
      </c>
      <c r="M536" t="s">
        <v>923</v>
      </c>
      <c r="N536" t="s">
        <v>1646</v>
      </c>
      <c r="O536" t="s">
        <v>923</v>
      </c>
      <c r="P536" t="s">
        <v>1195</v>
      </c>
      <c r="Q536" t="s">
        <v>963</v>
      </c>
      <c r="R536" t="s">
        <v>1297</v>
      </c>
      <c r="S536" t="s">
        <v>1065</v>
      </c>
      <c r="T536" t="s">
        <v>1065</v>
      </c>
      <c r="U536" t="s">
        <v>2146</v>
      </c>
      <c r="V536" t="s">
        <v>1310</v>
      </c>
      <c r="W536" t="s">
        <v>1134</v>
      </c>
      <c r="X536" t="s">
        <v>1044</v>
      </c>
      <c r="Y536" t="s">
        <v>1065</v>
      </c>
      <c r="Z536" t="s">
        <v>1600</v>
      </c>
      <c r="AA536" t="s">
        <v>987</v>
      </c>
      <c r="AB536" t="s">
        <v>1094</v>
      </c>
      <c r="AC536" t="s">
        <v>968</v>
      </c>
      <c r="AD536" t="s">
        <v>993</v>
      </c>
      <c r="AE536">
        <v>2.5</v>
      </c>
      <c r="AF536">
        <v>2.5799999999999996</v>
      </c>
    </row>
    <row r="537" spans="1:32" x14ac:dyDescent="0.25">
      <c r="A537" s="191" t="s">
        <v>2526</v>
      </c>
      <c r="B537" t="s">
        <v>2527</v>
      </c>
      <c r="C537" t="s">
        <v>950</v>
      </c>
      <c r="D537" t="s">
        <v>131</v>
      </c>
      <c r="E537" t="s">
        <v>56</v>
      </c>
      <c r="F537" t="s">
        <v>1068</v>
      </c>
      <c r="G537" t="s">
        <v>901</v>
      </c>
      <c r="H537" t="s">
        <v>1024</v>
      </c>
      <c r="I537" t="s">
        <v>1310</v>
      </c>
      <c r="J537" t="s">
        <v>919</v>
      </c>
      <c r="K537" t="s">
        <v>1456</v>
      </c>
      <c r="L537" t="s">
        <v>923</v>
      </c>
      <c r="M537" t="s">
        <v>964</v>
      </c>
      <c r="N537" t="s">
        <v>1666</v>
      </c>
      <c r="O537" t="s">
        <v>969</v>
      </c>
      <c r="P537" t="s">
        <v>1064</v>
      </c>
      <c r="Q537" t="s">
        <v>1110</v>
      </c>
      <c r="R537" t="s">
        <v>1587</v>
      </c>
      <c r="S537" t="s">
        <v>934</v>
      </c>
      <c r="T537" t="s">
        <v>1094</v>
      </c>
      <c r="U537" t="s">
        <v>963</v>
      </c>
      <c r="V537" t="s">
        <v>1119</v>
      </c>
      <c r="W537" t="s">
        <v>923</v>
      </c>
      <c r="X537" t="s">
        <v>1064</v>
      </c>
      <c r="Y537" t="s">
        <v>1064</v>
      </c>
      <c r="Z537" t="s">
        <v>991</v>
      </c>
      <c r="AA537" t="s">
        <v>1119</v>
      </c>
      <c r="AB537" t="s">
        <v>1094</v>
      </c>
      <c r="AC537" t="s">
        <v>991</v>
      </c>
      <c r="AD537" t="s">
        <v>1170</v>
      </c>
      <c r="AE537">
        <v>4.2</v>
      </c>
      <c r="AF537">
        <v>4.3083</v>
      </c>
    </row>
    <row r="538" spans="1:32" x14ac:dyDescent="0.25">
      <c r="A538" s="194" t="s">
        <v>2528</v>
      </c>
      <c r="B538" t="s">
        <v>2529</v>
      </c>
      <c r="C538" t="s">
        <v>902</v>
      </c>
      <c r="D538" t="s">
        <v>45</v>
      </c>
      <c r="E538" t="s">
        <v>72</v>
      </c>
      <c r="F538" t="s">
        <v>1384</v>
      </c>
      <c r="G538" t="s">
        <v>1106</v>
      </c>
      <c r="H538" t="s">
        <v>1248</v>
      </c>
      <c r="I538" t="s">
        <v>1310</v>
      </c>
      <c r="J538" t="s">
        <v>992</v>
      </c>
      <c r="K538" t="s">
        <v>1863</v>
      </c>
      <c r="L538" t="s">
        <v>987</v>
      </c>
      <c r="M538" t="s">
        <v>1012</v>
      </c>
      <c r="N538" t="s">
        <v>2530</v>
      </c>
      <c r="O538" t="s">
        <v>1008</v>
      </c>
      <c r="P538" t="s">
        <v>923</v>
      </c>
      <c r="Q538" t="s">
        <v>1983</v>
      </c>
      <c r="R538" t="s">
        <v>1058</v>
      </c>
      <c r="S538" t="s">
        <v>991</v>
      </c>
      <c r="T538" t="s">
        <v>1065</v>
      </c>
      <c r="U538" t="s">
        <v>2531</v>
      </c>
      <c r="V538" t="s">
        <v>1064</v>
      </c>
      <c r="W538" t="s">
        <v>1048</v>
      </c>
      <c r="X538" t="s">
        <v>1170</v>
      </c>
      <c r="Y538" t="s">
        <v>987</v>
      </c>
      <c r="Z538" t="s">
        <v>991</v>
      </c>
      <c r="AA538" t="s">
        <v>991</v>
      </c>
      <c r="AB538" t="s">
        <v>987</v>
      </c>
      <c r="AC538" t="s">
        <v>1195</v>
      </c>
      <c r="AD538" t="s">
        <v>1170</v>
      </c>
      <c r="AE538">
        <v>4.2</v>
      </c>
      <c r="AF538">
        <v>4.2957999999999998</v>
      </c>
    </row>
    <row r="539" spans="1:32" x14ac:dyDescent="0.25">
      <c r="A539" s="191" t="s">
        <v>2532</v>
      </c>
      <c r="B539" t="s">
        <v>2533</v>
      </c>
      <c r="C539" t="s">
        <v>1084</v>
      </c>
      <c r="D539" t="s">
        <v>102</v>
      </c>
      <c r="E539" t="s">
        <v>63</v>
      </c>
      <c r="F539" t="s">
        <v>1204</v>
      </c>
      <c r="G539" t="s">
        <v>901</v>
      </c>
      <c r="H539" t="s">
        <v>941</v>
      </c>
      <c r="I539" t="s">
        <v>922</v>
      </c>
      <c r="J539" t="s">
        <v>992</v>
      </c>
      <c r="K539" t="s">
        <v>1420</v>
      </c>
      <c r="L539" t="s">
        <v>1094</v>
      </c>
      <c r="M539" t="s">
        <v>923</v>
      </c>
      <c r="N539" t="s">
        <v>1425</v>
      </c>
      <c r="O539" t="s">
        <v>1230</v>
      </c>
      <c r="P539" t="s">
        <v>1012</v>
      </c>
      <c r="Q539" t="s">
        <v>1022</v>
      </c>
      <c r="R539" t="s">
        <v>1275</v>
      </c>
      <c r="S539" t="s">
        <v>1065</v>
      </c>
      <c r="T539" t="s">
        <v>1008</v>
      </c>
      <c r="U539" t="s">
        <v>1388</v>
      </c>
      <c r="V539" t="s">
        <v>1094</v>
      </c>
      <c r="W539" t="s">
        <v>945</v>
      </c>
      <c r="X539" t="s">
        <v>1310</v>
      </c>
      <c r="Y539" t="s">
        <v>923</v>
      </c>
      <c r="Z539" t="s">
        <v>934</v>
      </c>
      <c r="AA539" t="s">
        <v>934</v>
      </c>
      <c r="AB539" t="s">
        <v>1065</v>
      </c>
      <c r="AC539" t="s">
        <v>987</v>
      </c>
      <c r="AD539" t="s">
        <v>1170</v>
      </c>
      <c r="AE539">
        <v>4.1999999999999993</v>
      </c>
      <c r="AF539">
        <v>4.3879999999999999</v>
      </c>
    </row>
    <row r="540" spans="1:32" x14ac:dyDescent="0.25">
      <c r="A540" s="191" t="s">
        <v>2534</v>
      </c>
      <c r="B540" t="s">
        <v>2535</v>
      </c>
      <c r="C540" t="s">
        <v>1204</v>
      </c>
      <c r="D540" t="s">
        <v>83</v>
      </c>
      <c r="E540" t="s">
        <v>72</v>
      </c>
      <c r="F540" t="s">
        <v>1384</v>
      </c>
      <c r="G540" t="s">
        <v>1096</v>
      </c>
      <c r="H540" t="s">
        <v>1612</v>
      </c>
      <c r="I540" t="s">
        <v>1029</v>
      </c>
      <c r="J540" t="s">
        <v>1000</v>
      </c>
      <c r="K540" t="s">
        <v>1205</v>
      </c>
      <c r="L540" t="s">
        <v>934</v>
      </c>
      <c r="M540" t="s">
        <v>923</v>
      </c>
      <c r="N540" t="s">
        <v>2361</v>
      </c>
      <c r="O540" t="s">
        <v>1230</v>
      </c>
      <c r="P540" t="s">
        <v>924</v>
      </c>
      <c r="Q540" t="s">
        <v>1288</v>
      </c>
      <c r="R540" t="s">
        <v>1471</v>
      </c>
      <c r="S540" t="s">
        <v>987</v>
      </c>
      <c r="T540" t="s">
        <v>923</v>
      </c>
      <c r="U540" t="s">
        <v>1757</v>
      </c>
      <c r="V540" t="s">
        <v>945</v>
      </c>
      <c r="W540" t="s">
        <v>1048</v>
      </c>
      <c r="X540" t="s">
        <v>1170</v>
      </c>
      <c r="Y540" t="s">
        <v>1029</v>
      </c>
      <c r="Z540" t="s">
        <v>1065</v>
      </c>
      <c r="AA540" t="s">
        <v>1065</v>
      </c>
      <c r="AB540" t="s">
        <v>1008</v>
      </c>
      <c r="AC540" t="s">
        <v>968</v>
      </c>
      <c r="AD540" t="s">
        <v>1170</v>
      </c>
      <c r="AE540">
        <v>4.2</v>
      </c>
      <c r="AF540">
        <v>4.2789999999999999</v>
      </c>
    </row>
    <row r="541" spans="1:32" x14ac:dyDescent="0.25">
      <c r="A541" s="191" t="s">
        <v>2536</v>
      </c>
      <c r="B541" t="s">
        <v>2537</v>
      </c>
      <c r="C541" t="s">
        <v>1164</v>
      </c>
      <c r="D541" t="s">
        <v>974</v>
      </c>
      <c r="E541" t="s">
        <v>47</v>
      </c>
      <c r="F541" t="s">
        <v>902</v>
      </c>
      <c r="G541" t="s">
        <v>972</v>
      </c>
      <c r="H541" t="s">
        <v>1076</v>
      </c>
      <c r="I541" t="s">
        <v>1310</v>
      </c>
      <c r="J541" t="s">
        <v>979</v>
      </c>
      <c r="K541" t="s">
        <v>1863</v>
      </c>
      <c r="L541" t="s">
        <v>918</v>
      </c>
      <c r="M541" t="s">
        <v>993</v>
      </c>
      <c r="N541" t="s">
        <v>1870</v>
      </c>
      <c r="O541" t="s">
        <v>1065</v>
      </c>
      <c r="P541" t="s">
        <v>918</v>
      </c>
      <c r="Q541" t="s">
        <v>1494</v>
      </c>
      <c r="R541" t="s">
        <v>1401</v>
      </c>
      <c r="S541" t="s">
        <v>1094</v>
      </c>
      <c r="T541" t="s">
        <v>1065</v>
      </c>
      <c r="U541" t="s">
        <v>1696</v>
      </c>
      <c r="V541" t="s">
        <v>923</v>
      </c>
      <c r="W541" t="s">
        <v>968</v>
      </c>
      <c r="X541" t="s">
        <v>1104</v>
      </c>
      <c r="Y541" t="s">
        <v>1008</v>
      </c>
      <c r="Z541" t="s">
        <v>1094</v>
      </c>
      <c r="AA541" t="s">
        <v>1065</v>
      </c>
      <c r="AB541" t="s">
        <v>1094</v>
      </c>
      <c r="AC541" t="s">
        <v>1195</v>
      </c>
      <c r="AD541" t="s">
        <v>1081</v>
      </c>
      <c r="AE541">
        <v>4.2</v>
      </c>
      <c r="AF541">
        <v>4.2294999999999998</v>
      </c>
    </row>
    <row r="542" spans="1:32" x14ac:dyDescent="0.25">
      <c r="A542" s="191" t="s">
        <v>2536</v>
      </c>
      <c r="B542" t="s">
        <v>2537</v>
      </c>
      <c r="C542" t="s">
        <v>1164</v>
      </c>
      <c r="D542" t="s">
        <v>131</v>
      </c>
      <c r="E542" t="s">
        <v>47</v>
      </c>
      <c r="F542" t="s">
        <v>1096</v>
      </c>
      <c r="G542" t="s">
        <v>901</v>
      </c>
      <c r="H542" t="s">
        <v>1306</v>
      </c>
      <c r="I542" t="s">
        <v>924</v>
      </c>
      <c r="J542" t="s">
        <v>920</v>
      </c>
      <c r="K542" t="s">
        <v>1629</v>
      </c>
      <c r="L542" t="s">
        <v>922</v>
      </c>
      <c r="M542" t="s">
        <v>1160</v>
      </c>
      <c r="N542" t="s">
        <v>1729</v>
      </c>
      <c r="O542" t="s">
        <v>987</v>
      </c>
      <c r="P542" t="s">
        <v>1064</v>
      </c>
      <c r="Q542" t="s">
        <v>2333</v>
      </c>
      <c r="R542" t="s">
        <v>1219</v>
      </c>
      <c r="S542" t="s">
        <v>1094</v>
      </c>
      <c r="T542" t="s">
        <v>991</v>
      </c>
      <c r="U542" t="s">
        <v>2049</v>
      </c>
      <c r="V542" t="s">
        <v>918</v>
      </c>
      <c r="W542" t="s">
        <v>1049</v>
      </c>
      <c r="X542" t="s">
        <v>1104</v>
      </c>
      <c r="Y542" t="s">
        <v>969</v>
      </c>
      <c r="Z542" t="s">
        <v>934</v>
      </c>
      <c r="AA542" t="s">
        <v>1119</v>
      </c>
      <c r="AB542" t="s">
        <v>1600</v>
      </c>
      <c r="AC542" t="s">
        <v>922</v>
      </c>
      <c r="AD542" t="s">
        <v>1116</v>
      </c>
      <c r="AE542">
        <v>6.8</v>
      </c>
      <c r="AF542">
        <v>6.8593000000000002</v>
      </c>
    </row>
    <row r="543" spans="1:32" x14ac:dyDescent="0.25">
      <c r="A543" s="194" t="s">
        <v>2536</v>
      </c>
      <c r="B543" t="s">
        <v>2537</v>
      </c>
      <c r="C543" t="s">
        <v>1164</v>
      </c>
      <c r="D543" t="s">
        <v>113</v>
      </c>
      <c r="E543" t="s">
        <v>47</v>
      </c>
      <c r="F543" t="s">
        <v>1212</v>
      </c>
      <c r="G543" t="s">
        <v>949</v>
      </c>
      <c r="H543" t="s">
        <v>931</v>
      </c>
      <c r="I543" t="s">
        <v>918</v>
      </c>
      <c r="J543" t="s">
        <v>1012</v>
      </c>
      <c r="K543" t="s">
        <v>1100</v>
      </c>
      <c r="L543" t="s">
        <v>1065</v>
      </c>
      <c r="M543" t="s">
        <v>968</v>
      </c>
      <c r="N543" t="s">
        <v>2538</v>
      </c>
      <c r="O543" t="s">
        <v>991</v>
      </c>
      <c r="P543" t="s">
        <v>987</v>
      </c>
      <c r="Q543" t="s">
        <v>1131</v>
      </c>
      <c r="R543" t="s">
        <v>1923</v>
      </c>
      <c r="S543" t="s">
        <v>1094</v>
      </c>
      <c r="T543" t="s">
        <v>1065</v>
      </c>
      <c r="U543" t="s">
        <v>1842</v>
      </c>
      <c r="V543" t="s">
        <v>1064</v>
      </c>
      <c r="W543" t="s">
        <v>922</v>
      </c>
      <c r="X543" t="s">
        <v>1104</v>
      </c>
      <c r="Y543" t="s">
        <v>1008</v>
      </c>
      <c r="Z543" t="s">
        <v>991</v>
      </c>
      <c r="AA543" t="s">
        <v>969</v>
      </c>
      <c r="AB543" t="s">
        <v>1065</v>
      </c>
      <c r="AC543" t="s">
        <v>1064</v>
      </c>
      <c r="AD543" t="s">
        <v>1220</v>
      </c>
      <c r="AE543">
        <v>2.5999999999999996</v>
      </c>
      <c r="AF543">
        <v>2.6785000000000001</v>
      </c>
    </row>
    <row r="544" spans="1:32" x14ac:dyDescent="0.25">
      <c r="A544" s="191" t="s">
        <v>2539</v>
      </c>
      <c r="B544" t="s">
        <v>2540</v>
      </c>
      <c r="C544" t="s">
        <v>1032</v>
      </c>
      <c r="D544" t="s">
        <v>974</v>
      </c>
      <c r="E544" t="s">
        <v>63</v>
      </c>
      <c r="F544" t="s">
        <v>1068</v>
      </c>
      <c r="G544" t="s">
        <v>901</v>
      </c>
      <c r="H544" t="s">
        <v>1129</v>
      </c>
      <c r="I544" t="s">
        <v>1029</v>
      </c>
      <c r="J544" t="s">
        <v>979</v>
      </c>
      <c r="K544" t="s">
        <v>1405</v>
      </c>
      <c r="L544" t="s">
        <v>991</v>
      </c>
      <c r="M544" t="s">
        <v>1064</v>
      </c>
      <c r="N544" t="s">
        <v>1997</v>
      </c>
      <c r="O544" t="s">
        <v>1195</v>
      </c>
      <c r="P544" t="s">
        <v>924</v>
      </c>
      <c r="Q544" t="s">
        <v>1352</v>
      </c>
      <c r="R544" t="s">
        <v>1551</v>
      </c>
      <c r="S544" t="s">
        <v>1065</v>
      </c>
      <c r="T544" t="s">
        <v>969</v>
      </c>
      <c r="U544" t="s">
        <v>1597</v>
      </c>
      <c r="V544" t="s">
        <v>987</v>
      </c>
      <c r="W544" t="s">
        <v>968</v>
      </c>
      <c r="X544" t="s">
        <v>1012</v>
      </c>
      <c r="Y544" t="s">
        <v>945</v>
      </c>
      <c r="Z544" t="s">
        <v>969</v>
      </c>
      <c r="AA544" t="s">
        <v>1119</v>
      </c>
      <c r="AB544" t="s">
        <v>987</v>
      </c>
      <c r="AC544" t="s">
        <v>918</v>
      </c>
      <c r="AD544" t="s">
        <v>1081</v>
      </c>
      <c r="AE544">
        <v>4.1000000000000005</v>
      </c>
      <c r="AF544">
        <v>4.1553000000000004</v>
      </c>
    </row>
    <row r="545" spans="1:32" x14ac:dyDescent="0.25">
      <c r="A545" s="191" t="s">
        <v>2539</v>
      </c>
      <c r="B545" t="s">
        <v>2540</v>
      </c>
      <c r="C545" t="s">
        <v>1032</v>
      </c>
      <c r="D545" t="s">
        <v>97</v>
      </c>
      <c r="E545" t="s">
        <v>63</v>
      </c>
      <c r="F545" t="s">
        <v>1238</v>
      </c>
      <c r="G545" t="s">
        <v>901</v>
      </c>
      <c r="H545" t="s">
        <v>1253</v>
      </c>
      <c r="I545" t="s">
        <v>945</v>
      </c>
      <c r="J545" t="s">
        <v>993</v>
      </c>
      <c r="K545" t="s">
        <v>1455</v>
      </c>
      <c r="L545" t="s">
        <v>934</v>
      </c>
      <c r="M545" t="s">
        <v>1008</v>
      </c>
      <c r="N545" t="s">
        <v>1785</v>
      </c>
      <c r="O545" t="s">
        <v>923</v>
      </c>
      <c r="P545" t="s">
        <v>968</v>
      </c>
      <c r="Q545" t="s">
        <v>1171</v>
      </c>
      <c r="R545" t="s">
        <v>1131</v>
      </c>
      <c r="S545" t="s">
        <v>1008</v>
      </c>
      <c r="T545" t="s">
        <v>1008</v>
      </c>
      <c r="U545" t="s">
        <v>2541</v>
      </c>
      <c r="V545" t="s">
        <v>969</v>
      </c>
      <c r="W545" t="s">
        <v>922</v>
      </c>
      <c r="X545" t="s">
        <v>925</v>
      </c>
      <c r="Y545" t="s">
        <v>945</v>
      </c>
      <c r="Z545" t="s">
        <v>1065</v>
      </c>
      <c r="AA545" t="s">
        <v>934</v>
      </c>
      <c r="AB545" t="s">
        <v>1065</v>
      </c>
      <c r="AC545" t="s">
        <v>987</v>
      </c>
      <c r="AD545" t="s">
        <v>1048</v>
      </c>
      <c r="AE545">
        <v>3.3</v>
      </c>
      <c r="AF545">
        <v>3.1516999999999999</v>
      </c>
    </row>
    <row r="546" spans="1:32" x14ac:dyDescent="0.25">
      <c r="A546" s="191" t="s">
        <v>2539</v>
      </c>
      <c r="B546" t="s">
        <v>2540</v>
      </c>
      <c r="C546" t="s">
        <v>1032</v>
      </c>
      <c r="D546" t="s">
        <v>1149</v>
      </c>
      <c r="E546" t="s">
        <v>63</v>
      </c>
      <c r="F546" t="s">
        <v>1202</v>
      </c>
      <c r="G546" t="s">
        <v>1717</v>
      </c>
      <c r="H546" t="s">
        <v>1418</v>
      </c>
      <c r="I546" t="s">
        <v>947</v>
      </c>
      <c r="J546" t="s">
        <v>1134</v>
      </c>
      <c r="K546" t="s">
        <v>1268</v>
      </c>
      <c r="L546" t="s">
        <v>969</v>
      </c>
      <c r="M546" t="s">
        <v>922</v>
      </c>
      <c r="N546" t="s">
        <v>1441</v>
      </c>
      <c r="O546" t="s">
        <v>1029</v>
      </c>
      <c r="P546" t="s">
        <v>946</v>
      </c>
      <c r="Q546" t="s">
        <v>1275</v>
      </c>
      <c r="R546" t="s">
        <v>1114</v>
      </c>
      <c r="S546" t="s">
        <v>1094</v>
      </c>
      <c r="T546" t="s">
        <v>1065</v>
      </c>
      <c r="U546" t="s">
        <v>1842</v>
      </c>
      <c r="V546" t="s">
        <v>945</v>
      </c>
      <c r="W546" t="s">
        <v>956</v>
      </c>
      <c r="X546" t="s">
        <v>1048</v>
      </c>
      <c r="Y546" t="s">
        <v>945</v>
      </c>
      <c r="Z546" t="s">
        <v>969</v>
      </c>
      <c r="AA546" t="s">
        <v>1119</v>
      </c>
      <c r="AB546" t="s">
        <v>1064</v>
      </c>
      <c r="AC546" t="s">
        <v>923</v>
      </c>
      <c r="AD546" t="s">
        <v>1329</v>
      </c>
      <c r="AE546">
        <v>5.4999999999999991</v>
      </c>
      <c r="AF546">
        <v>5.4916999999999998</v>
      </c>
    </row>
    <row r="547" spans="1:32" x14ac:dyDescent="0.25">
      <c r="A547" s="191" t="s">
        <v>2542</v>
      </c>
      <c r="B547" t="s">
        <v>2543</v>
      </c>
      <c r="C547" t="s">
        <v>1245</v>
      </c>
      <c r="D547" t="s">
        <v>111</v>
      </c>
      <c r="E547" t="s">
        <v>47</v>
      </c>
      <c r="F547" t="s">
        <v>1343</v>
      </c>
      <c r="G547" t="s">
        <v>972</v>
      </c>
      <c r="H547" t="s">
        <v>1655</v>
      </c>
      <c r="I547" t="s">
        <v>922</v>
      </c>
      <c r="J547" t="s">
        <v>1048</v>
      </c>
      <c r="K547" t="s">
        <v>1275</v>
      </c>
      <c r="L547" t="s">
        <v>934</v>
      </c>
      <c r="M547" t="s">
        <v>987</v>
      </c>
      <c r="N547" t="s">
        <v>1934</v>
      </c>
      <c r="O547" t="s">
        <v>1310</v>
      </c>
      <c r="P547" t="s">
        <v>993</v>
      </c>
      <c r="Q547" t="s">
        <v>1780</v>
      </c>
      <c r="R547" t="s">
        <v>1324</v>
      </c>
      <c r="S547" t="s">
        <v>969</v>
      </c>
      <c r="T547" t="s">
        <v>918</v>
      </c>
      <c r="U547" t="s">
        <v>1771</v>
      </c>
      <c r="V547" t="s">
        <v>923</v>
      </c>
      <c r="W547" t="s">
        <v>1230</v>
      </c>
      <c r="X547" t="s">
        <v>924</v>
      </c>
      <c r="Y547" t="s">
        <v>1065</v>
      </c>
      <c r="Z547" t="s">
        <v>1094</v>
      </c>
      <c r="AA547" t="s">
        <v>1065</v>
      </c>
      <c r="AB547" t="s">
        <v>1119</v>
      </c>
      <c r="AC547" t="s">
        <v>1195</v>
      </c>
      <c r="AD547" t="s">
        <v>1081</v>
      </c>
      <c r="AE547">
        <v>4.2</v>
      </c>
      <c r="AF547">
        <v>4.1508000000000003</v>
      </c>
    </row>
    <row r="548" spans="1:32" x14ac:dyDescent="0.25">
      <c r="A548" s="191" t="s">
        <v>2544</v>
      </c>
      <c r="B548" t="s">
        <v>2545</v>
      </c>
      <c r="C548" t="s">
        <v>1084</v>
      </c>
      <c r="D548" t="s">
        <v>151</v>
      </c>
      <c r="E548" t="s">
        <v>47</v>
      </c>
      <c r="F548" t="s">
        <v>1233</v>
      </c>
      <c r="G548" t="s">
        <v>1222</v>
      </c>
      <c r="H548" t="s">
        <v>1460</v>
      </c>
      <c r="I548" t="s">
        <v>922</v>
      </c>
      <c r="J548" t="s">
        <v>1000</v>
      </c>
      <c r="K548" t="s">
        <v>1476</v>
      </c>
      <c r="L548" t="s">
        <v>969</v>
      </c>
      <c r="M548" t="s">
        <v>1230</v>
      </c>
      <c r="N548" t="s">
        <v>1704</v>
      </c>
      <c r="O548" t="s">
        <v>1064</v>
      </c>
      <c r="P548" t="s">
        <v>956</v>
      </c>
      <c r="Q548" t="s">
        <v>1401</v>
      </c>
      <c r="R548" t="s">
        <v>1374</v>
      </c>
      <c r="S548" t="s">
        <v>1094</v>
      </c>
      <c r="T548" t="s">
        <v>1094</v>
      </c>
      <c r="U548" t="s">
        <v>2546</v>
      </c>
      <c r="V548" t="s">
        <v>969</v>
      </c>
      <c r="W548" t="s">
        <v>947</v>
      </c>
      <c r="X548" t="s">
        <v>964</v>
      </c>
      <c r="Y548" t="s">
        <v>1064</v>
      </c>
      <c r="Z548" t="s">
        <v>1065</v>
      </c>
      <c r="AA548" t="s">
        <v>1065</v>
      </c>
      <c r="AB548" t="s">
        <v>991</v>
      </c>
      <c r="AC548" t="s">
        <v>1029</v>
      </c>
      <c r="AD548" t="s">
        <v>1081</v>
      </c>
      <c r="AE548">
        <v>4.3</v>
      </c>
      <c r="AF548">
        <v>4.2103000000000002</v>
      </c>
    </row>
    <row r="549" spans="1:32" x14ac:dyDescent="0.25">
      <c r="A549" s="191" t="s">
        <v>2547</v>
      </c>
      <c r="B549" t="s">
        <v>224</v>
      </c>
      <c r="C549" t="s">
        <v>995</v>
      </c>
      <c r="D549" t="s">
        <v>1069</v>
      </c>
      <c r="E549" t="s">
        <v>93</v>
      </c>
      <c r="F549" t="s">
        <v>1512</v>
      </c>
      <c r="G549" t="s">
        <v>1051</v>
      </c>
      <c r="H549" t="s">
        <v>1167</v>
      </c>
      <c r="I549" t="s">
        <v>1049</v>
      </c>
      <c r="J549" t="s">
        <v>946</v>
      </c>
      <c r="K549" t="s">
        <v>1524</v>
      </c>
      <c r="L549" t="s">
        <v>1600</v>
      </c>
      <c r="M549" t="s">
        <v>1600</v>
      </c>
      <c r="N549" t="s">
        <v>1646</v>
      </c>
      <c r="O549" t="s">
        <v>1049</v>
      </c>
      <c r="P549" t="s">
        <v>1135</v>
      </c>
      <c r="Q549" t="s">
        <v>1334</v>
      </c>
      <c r="R549" t="s">
        <v>1524</v>
      </c>
      <c r="S549" t="s">
        <v>1065</v>
      </c>
      <c r="T549" t="s">
        <v>987</v>
      </c>
      <c r="U549" t="s">
        <v>1606</v>
      </c>
      <c r="V549" t="s">
        <v>1064</v>
      </c>
      <c r="W549" t="s">
        <v>1012</v>
      </c>
      <c r="X549" t="s">
        <v>992</v>
      </c>
      <c r="Y549" t="s">
        <v>945</v>
      </c>
      <c r="Z549" t="s">
        <v>1065</v>
      </c>
      <c r="AA549" t="s">
        <v>1065</v>
      </c>
      <c r="AB549" t="s">
        <v>969</v>
      </c>
      <c r="AC549" t="s">
        <v>922</v>
      </c>
      <c r="AD549" t="s">
        <v>1081</v>
      </c>
      <c r="AE549">
        <v>4.3</v>
      </c>
      <c r="AF549">
        <v>4.2522000000000002</v>
      </c>
    </row>
    <row r="550" spans="1:32" x14ac:dyDescent="0.25">
      <c r="A550" s="191" t="s">
        <v>2548</v>
      </c>
      <c r="B550" t="s">
        <v>2549</v>
      </c>
      <c r="C550" t="s">
        <v>1084</v>
      </c>
      <c r="D550" t="s">
        <v>95</v>
      </c>
      <c r="E550" t="s">
        <v>47</v>
      </c>
      <c r="F550" t="s">
        <v>1377</v>
      </c>
      <c r="G550" t="s">
        <v>1051</v>
      </c>
      <c r="H550" t="s">
        <v>1439</v>
      </c>
      <c r="I550" t="s">
        <v>922</v>
      </c>
      <c r="J550" t="s">
        <v>1228</v>
      </c>
      <c r="K550" t="s">
        <v>1761</v>
      </c>
      <c r="L550" t="s">
        <v>991</v>
      </c>
      <c r="M550" t="s">
        <v>922</v>
      </c>
      <c r="N550" t="s">
        <v>2550</v>
      </c>
      <c r="O550" t="s">
        <v>1195</v>
      </c>
      <c r="P550" t="s">
        <v>947</v>
      </c>
      <c r="Q550" t="s">
        <v>1504</v>
      </c>
      <c r="R550" t="s">
        <v>1405</v>
      </c>
      <c r="S550" t="s">
        <v>991</v>
      </c>
      <c r="T550" t="s">
        <v>987</v>
      </c>
      <c r="U550" t="s">
        <v>1923</v>
      </c>
      <c r="V550" t="s">
        <v>1064</v>
      </c>
      <c r="W550" t="s">
        <v>1310</v>
      </c>
      <c r="X550" t="s">
        <v>1012</v>
      </c>
      <c r="Y550" t="s">
        <v>923</v>
      </c>
      <c r="Z550" t="s">
        <v>1065</v>
      </c>
      <c r="AA550" t="s">
        <v>934</v>
      </c>
      <c r="AB550" t="s">
        <v>969</v>
      </c>
      <c r="AC550" t="s">
        <v>923</v>
      </c>
      <c r="AD550" t="s">
        <v>1081</v>
      </c>
      <c r="AE550">
        <v>4.2</v>
      </c>
      <c r="AF550">
        <v>4.1158999999999999</v>
      </c>
    </row>
    <row r="551" spans="1:32" x14ac:dyDescent="0.25">
      <c r="A551" s="191" t="s">
        <v>2551</v>
      </c>
      <c r="B551" t="s">
        <v>2552</v>
      </c>
      <c r="C551" t="s">
        <v>1015</v>
      </c>
      <c r="D551" t="s">
        <v>95</v>
      </c>
      <c r="E551" t="s">
        <v>72</v>
      </c>
      <c r="F551" t="s">
        <v>1123</v>
      </c>
      <c r="G551" t="s">
        <v>1717</v>
      </c>
      <c r="H551" t="s">
        <v>967</v>
      </c>
      <c r="I551" t="s">
        <v>1310</v>
      </c>
      <c r="J551" t="s">
        <v>992</v>
      </c>
      <c r="K551" t="s">
        <v>1863</v>
      </c>
      <c r="L551" t="s">
        <v>1008</v>
      </c>
      <c r="M551" t="s">
        <v>947</v>
      </c>
      <c r="N551" t="s">
        <v>2319</v>
      </c>
      <c r="O551" t="s">
        <v>987</v>
      </c>
      <c r="P551" t="s">
        <v>1195</v>
      </c>
      <c r="Q551" t="s">
        <v>1836</v>
      </c>
      <c r="R551" t="s">
        <v>1551</v>
      </c>
      <c r="S551" t="s">
        <v>991</v>
      </c>
      <c r="T551" t="s">
        <v>1065</v>
      </c>
      <c r="U551" t="s">
        <v>1887</v>
      </c>
      <c r="V551" t="s">
        <v>923</v>
      </c>
      <c r="W551" t="s">
        <v>923</v>
      </c>
      <c r="X551" t="s">
        <v>956</v>
      </c>
      <c r="Y551" t="s">
        <v>969</v>
      </c>
      <c r="Z551" t="s">
        <v>1094</v>
      </c>
      <c r="AA551" t="s">
        <v>1094</v>
      </c>
      <c r="AB551" t="s">
        <v>1094</v>
      </c>
      <c r="AC551" t="s">
        <v>918</v>
      </c>
      <c r="AD551" t="s">
        <v>1081</v>
      </c>
      <c r="AE551">
        <v>4.0999999999999996</v>
      </c>
      <c r="AF551">
        <v>4.2294000000000009</v>
      </c>
    </row>
    <row r="552" spans="1:32" x14ac:dyDescent="0.25">
      <c r="A552" s="191" t="s">
        <v>2553</v>
      </c>
      <c r="B552" t="s">
        <v>2554</v>
      </c>
      <c r="C552" t="s">
        <v>1084</v>
      </c>
      <c r="D552" t="s">
        <v>156</v>
      </c>
      <c r="E552" t="s">
        <v>63</v>
      </c>
      <c r="F552" t="s">
        <v>973</v>
      </c>
      <c r="G552" t="s">
        <v>901</v>
      </c>
      <c r="H552" t="s">
        <v>1040</v>
      </c>
      <c r="I552" t="s">
        <v>1230</v>
      </c>
      <c r="J552" t="s">
        <v>970</v>
      </c>
      <c r="K552" t="s">
        <v>1797</v>
      </c>
      <c r="L552" t="s">
        <v>987</v>
      </c>
      <c r="M552" t="s">
        <v>908</v>
      </c>
      <c r="N552" t="s">
        <v>1625</v>
      </c>
      <c r="O552" t="s">
        <v>969</v>
      </c>
      <c r="P552" t="s">
        <v>945</v>
      </c>
      <c r="Q552" t="s">
        <v>1208</v>
      </c>
      <c r="R552" t="s">
        <v>1022</v>
      </c>
      <c r="S552" t="s">
        <v>987</v>
      </c>
      <c r="T552" t="s">
        <v>987</v>
      </c>
      <c r="U552" t="s">
        <v>2146</v>
      </c>
      <c r="V552" t="s">
        <v>1065</v>
      </c>
      <c r="W552" t="s">
        <v>1008</v>
      </c>
      <c r="X552" t="s">
        <v>945</v>
      </c>
      <c r="Y552" t="s">
        <v>1230</v>
      </c>
      <c r="Z552" t="s">
        <v>991</v>
      </c>
      <c r="AA552" t="s">
        <v>1600</v>
      </c>
      <c r="AB552" t="s">
        <v>934</v>
      </c>
      <c r="AC552" t="s">
        <v>918</v>
      </c>
      <c r="AD552" t="s">
        <v>1081</v>
      </c>
      <c r="AE552">
        <v>4.4000000000000004</v>
      </c>
      <c r="AF552">
        <v>4.2961999999999998</v>
      </c>
    </row>
    <row r="553" spans="1:32" x14ac:dyDescent="0.25">
      <c r="A553" s="191" t="s">
        <v>2555</v>
      </c>
      <c r="B553" t="s">
        <v>2556</v>
      </c>
      <c r="C553" t="s">
        <v>995</v>
      </c>
      <c r="D553" t="s">
        <v>974</v>
      </c>
      <c r="E553" t="s">
        <v>47</v>
      </c>
      <c r="F553" t="s">
        <v>1015</v>
      </c>
      <c r="G553" t="s">
        <v>901</v>
      </c>
      <c r="H553" t="s">
        <v>1207</v>
      </c>
      <c r="I553" t="s">
        <v>1029</v>
      </c>
      <c r="J553" t="s">
        <v>1160</v>
      </c>
      <c r="K553" t="s">
        <v>958</v>
      </c>
      <c r="L553" t="s">
        <v>1008</v>
      </c>
      <c r="M553" t="s">
        <v>968</v>
      </c>
      <c r="N553" t="s">
        <v>1902</v>
      </c>
      <c r="O553" t="s">
        <v>918</v>
      </c>
      <c r="P553" t="s">
        <v>908</v>
      </c>
      <c r="Q553" t="s">
        <v>1168</v>
      </c>
      <c r="R553" t="s">
        <v>1412</v>
      </c>
      <c r="S553" t="s">
        <v>1094</v>
      </c>
      <c r="T553" t="s">
        <v>991</v>
      </c>
      <c r="U553" t="s">
        <v>2333</v>
      </c>
      <c r="V553" t="s">
        <v>969</v>
      </c>
      <c r="W553" t="s">
        <v>1195</v>
      </c>
      <c r="X553" t="s">
        <v>956</v>
      </c>
      <c r="Y553" t="s">
        <v>1008</v>
      </c>
      <c r="Z553" t="s">
        <v>1094</v>
      </c>
      <c r="AA553" t="s">
        <v>1094</v>
      </c>
      <c r="AB553" t="s">
        <v>1065</v>
      </c>
      <c r="AC553" t="s">
        <v>923</v>
      </c>
      <c r="AD553" t="s">
        <v>919</v>
      </c>
      <c r="AE553">
        <v>4.2</v>
      </c>
      <c r="AF553">
        <v>4.2135999999999996</v>
      </c>
    </row>
    <row r="554" spans="1:32" x14ac:dyDescent="0.25">
      <c r="A554" s="191" t="s">
        <v>2555</v>
      </c>
      <c r="B554" t="s">
        <v>2556</v>
      </c>
      <c r="C554" t="s">
        <v>995</v>
      </c>
      <c r="D554" t="s">
        <v>1014</v>
      </c>
      <c r="E554" t="s">
        <v>47</v>
      </c>
      <c r="F554" t="s">
        <v>1067</v>
      </c>
      <c r="G554" t="s">
        <v>1717</v>
      </c>
      <c r="H554" t="s">
        <v>919</v>
      </c>
      <c r="I554" t="s">
        <v>1094</v>
      </c>
      <c r="J554" t="s">
        <v>918</v>
      </c>
      <c r="K554" t="s">
        <v>1666</v>
      </c>
      <c r="L554" t="s">
        <v>1600</v>
      </c>
      <c r="M554" t="s">
        <v>1600</v>
      </c>
      <c r="N554" t="s">
        <v>927</v>
      </c>
      <c r="O554" t="s">
        <v>1094</v>
      </c>
      <c r="P554" t="s">
        <v>918</v>
      </c>
      <c r="Q554" t="s">
        <v>1666</v>
      </c>
      <c r="R554" t="s">
        <v>1666</v>
      </c>
      <c r="S554" t="s">
        <v>1600</v>
      </c>
      <c r="T554" t="s">
        <v>1600</v>
      </c>
      <c r="U554" t="s">
        <v>927</v>
      </c>
      <c r="V554" t="s">
        <v>1094</v>
      </c>
      <c r="W554" t="s">
        <v>1600</v>
      </c>
      <c r="X554" t="s">
        <v>1094</v>
      </c>
      <c r="Y554" t="s">
        <v>1094</v>
      </c>
      <c r="Z554" t="s">
        <v>1119</v>
      </c>
      <c r="AA554" t="s">
        <v>1600</v>
      </c>
      <c r="AB554" t="s">
        <v>1094</v>
      </c>
      <c r="AC554" t="s">
        <v>1119</v>
      </c>
      <c r="AD554" t="s">
        <v>969</v>
      </c>
      <c r="AE554">
        <v>0.6</v>
      </c>
      <c r="AF554" t="e">
        <v>#VALUE!</v>
      </c>
    </row>
    <row r="555" spans="1:32" x14ac:dyDescent="0.25">
      <c r="A555" s="191" t="s">
        <v>2555</v>
      </c>
      <c r="B555" t="s">
        <v>2556</v>
      </c>
      <c r="C555" t="s">
        <v>995</v>
      </c>
      <c r="D555" t="s">
        <v>1279</v>
      </c>
      <c r="E555" t="s">
        <v>47</v>
      </c>
      <c r="F555" t="s">
        <v>1245</v>
      </c>
      <c r="G555" t="s">
        <v>901</v>
      </c>
      <c r="H555" t="s">
        <v>1454</v>
      </c>
      <c r="I555" t="s">
        <v>956</v>
      </c>
      <c r="J555" t="s">
        <v>1046</v>
      </c>
      <c r="K555" t="s">
        <v>1863</v>
      </c>
      <c r="L555" t="s">
        <v>918</v>
      </c>
      <c r="M555" t="s">
        <v>924</v>
      </c>
      <c r="N555" t="s">
        <v>1902</v>
      </c>
      <c r="O555" t="s">
        <v>1064</v>
      </c>
      <c r="P555" t="s">
        <v>993</v>
      </c>
      <c r="Q555" t="s">
        <v>1709</v>
      </c>
      <c r="R555" t="s">
        <v>1090</v>
      </c>
      <c r="S555" t="s">
        <v>1094</v>
      </c>
      <c r="T555" t="s">
        <v>1065</v>
      </c>
      <c r="U555" t="s">
        <v>2333</v>
      </c>
      <c r="V555" t="s">
        <v>987</v>
      </c>
      <c r="W555" t="s">
        <v>968</v>
      </c>
      <c r="X555" t="s">
        <v>993</v>
      </c>
      <c r="Y555" t="s">
        <v>987</v>
      </c>
      <c r="Z555" t="s">
        <v>991</v>
      </c>
      <c r="AA555" t="s">
        <v>1094</v>
      </c>
      <c r="AB555" t="s">
        <v>969</v>
      </c>
      <c r="AC555" t="s">
        <v>1195</v>
      </c>
      <c r="AD555" t="s">
        <v>1043</v>
      </c>
      <c r="AE555">
        <v>5.2</v>
      </c>
      <c r="AF555">
        <v>5.3959999999999999</v>
      </c>
    </row>
    <row r="556" spans="1:32" x14ac:dyDescent="0.25">
      <c r="A556" s="191" t="s">
        <v>2557</v>
      </c>
      <c r="B556" t="s">
        <v>2558</v>
      </c>
      <c r="C556" t="s">
        <v>1032</v>
      </c>
      <c r="D556" t="s">
        <v>102</v>
      </c>
      <c r="E556" t="s">
        <v>63</v>
      </c>
      <c r="F556" t="s">
        <v>1233</v>
      </c>
      <c r="G556" t="s">
        <v>972</v>
      </c>
      <c r="H556" t="s">
        <v>1508</v>
      </c>
      <c r="I556" t="s">
        <v>1230</v>
      </c>
      <c r="J556" t="s">
        <v>1135</v>
      </c>
      <c r="K556" t="s">
        <v>1682</v>
      </c>
      <c r="L556" t="s">
        <v>969</v>
      </c>
      <c r="M556" t="s">
        <v>1195</v>
      </c>
      <c r="N556" t="s">
        <v>1448</v>
      </c>
      <c r="O556" t="s">
        <v>918</v>
      </c>
      <c r="P556" t="s">
        <v>922</v>
      </c>
      <c r="Q556" t="s">
        <v>1021</v>
      </c>
      <c r="R556" t="s">
        <v>1837</v>
      </c>
      <c r="S556" t="s">
        <v>1008</v>
      </c>
      <c r="T556" t="s">
        <v>918</v>
      </c>
      <c r="U556" t="s">
        <v>2559</v>
      </c>
      <c r="V556" t="s">
        <v>1008</v>
      </c>
      <c r="W556" t="s">
        <v>1008</v>
      </c>
      <c r="X556" t="s">
        <v>1195</v>
      </c>
      <c r="Y556" t="s">
        <v>1008</v>
      </c>
      <c r="Z556" t="s">
        <v>918</v>
      </c>
      <c r="AA556" t="s">
        <v>1119</v>
      </c>
      <c r="AB556" t="s">
        <v>934</v>
      </c>
      <c r="AC556" t="s">
        <v>1310</v>
      </c>
      <c r="AD556" t="s">
        <v>919</v>
      </c>
      <c r="AE556">
        <v>4.0999999999999996</v>
      </c>
      <c r="AF556">
        <v>4.0626999999999995</v>
      </c>
    </row>
    <row r="557" spans="1:32" x14ac:dyDescent="0.25">
      <c r="A557" s="191" t="s">
        <v>2560</v>
      </c>
      <c r="B557" t="s">
        <v>2561</v>
      </c>
      <c r="C557" t="s">
        <v>995</v>
      </c>
      <c r="D557" t="s">
        <v>142</v>
      </c>
      <c r="E557" t="s">
        <v>47</v>
      </c>
      <c r="F557" t="s">
        <v>1165</v>
      </c>
      <c r="G557" t="s">
        <v>1051</v>
      </c>
      <c r="H557" t="s">
        <v>1199</v>
      </c>
      <c r="I557" t="s">
        <v>1230</v>
      </c>
      <c r="J557" t="s">
        <v>970</v>
      </c>
      <c r="K557" t="s">
        <v>1818</v>
      </c>
      <c r="L557" t="s">
        <v>1064</v>
      </c>
      <c r="M557" t="s">
        <v>1104</v>
      </c>
      <c r="N557" t="s">
        <v>1719</v>
      </c>
      <c r="O557" t="s">
        <v>1094</v>
      </c>
      <c r="P557" t="s">
        <v>1065</v>
      </c>
      <c r="Q557" t="s">
        <v>1381</v>
      </c>
      <c r="R557" t="s">
        <v>2117</v>
      </c>
      <c r="S557" t="s">
        <v>1094</v>
      </c>
      <c r="T557" t="s">
        <v>1094</v>
      </c>
      <c r="U557" t="s">
        <v>1301</v>
      </c>
      <c r="V557" t="s">
        <v>1094</v>
      </c>
      <c r="W557" t="s">
        <v>923</v>
      </c>
      <c r="X557" t="s">
        <v>1195</v>
      </c>
      <c r="Y557" t="s">
        <v>969</v>
      </c>
      <c r="Z557" t="s">
        <v>991</v>
      </c>
      <c r="AA557" t="s">
        <v>1119</v>
      </c>
      <c r="AB557" t="s">
        <v>934</v>
      </c>
      <c r="AC557" t="s">
        <v>1064</v>
      </c>
      <c r="AD557" t="s">
        <v>919</v>
      </c>
      <c r="AE557">
        <v>4.2</v>
      </c>
      <c r="AF557">
        <v>4.1575999999999995</v>
      </c>
    </row>
    <row r="558" spans="1:32" x14ac:dyDescent="0.25">
      <c r="A558" s="191" t="s">
        <v>2562</v>
      </c>
      <c r="B558" t="s">
        <v>2563</v>
      </c>
      <c r="C558" t="s">
        <v>973</v>
      </c>
      <c r="D558" t="s">
        <v>79</v>
      </c>
      <c r="E558" t="s">
        <v>47</v>
      </c>
      <c r="F558" t="s">
        <v>1376</v>
      </c>
      <c r="G558" t="s">
        <v>1717</v>
      </c>
      <c r="H558" t="s">
        <v>1546</v>
      </c>
      <c r="I558" t="s">
        <v>1029</v>
      </c>
      <c r="J558" t="s">
        <v>992</v>
      </c>
      <c r="K558" t="s">
        <v>1784</v>
      </c>
      <c r="L558" t="s">
        <v>934</v>
      </c>
      <c r="M558" t="s">
        <v>923</v>
      </c>
      <c r="N558" t="s">
        <v>2435</v>
      </c>
      <c r="O558" t="s">
        <v>1230</v>
      </c>
      <c r="P558" t="s">
        <v>1012</v>
      </c>
      <c r="Q558" t="s">
        <v>1101</v>
      </c>
      <c r="R558" t="s">
        <v>1258</v>
      </c>
      <c r="S558" t="s">
        <v>987</v>
      </c>
      <c r="T558" t="s">
        <v>918</v>
      </c>
      <c r="U558" t="s">
        <v>963</v>
      </c>
      <c r="V558" t="s">
        <v>969</v>
      </c>
      <c r="W558" t="s">
        <v>918</v>
      </c>
      <c r="X558" t="s">
        <v>1029</v>
      </c>
      <c r="Y558" t="s">
        <v>918</v>
      </c>
      <c r="Z558" t="s">
        <v>1065</v>
      </c>
      <c r="AA558" t="s">
        <v>1119</v>
      </c>
      <c r="AB558" t="s">
        <v>1008</v>
      </c>
      <c r="AC558" t="s">
        <v>1008</v>
      </c>
      <c r="AD558" t="s">
        <v>919</v>
      </c>
      <c r="AE558">
        <v>4.2</v>
      </c>
      <c r="AF558">
        <v>4.0621999999999998</v>
      </c>
    </row>
    <row r="559" spans="1:32" x14ac:dyDescent="0.25">
      <c r="A559" s="194" t="s">
        <v>2564</v>
      </c>
      <c r="B559" t="s">
        <v>310</v>
      </c>
      <c r="C559" t="s">
        <v>973</v>
      </c>
      <c r="D559" t="s">
        <v>148</v>
      </c>
      <c r="E559" t="s">
        <v>63</v>
      </c>
      <c r="F559" t="s">
        <v>1453</v>
      </c>
      <c r="G559" t="s">
        <v>972</v>
      </c>
      <c r="H559" t="s">
        <v>1199</v>
      </c>
      <c r="I559" t="s">
        <v>1029</v>
      </c>
      <c r="J559" t="s">
        <v>1030</v>
      </c>
      <c r="K559" t="s">
        <v>1672</v>
      </c>
      <c r="L559" t="s">
        <v>987</v>
      </c>
      <c r="M559" t="s">
        <v>908</v>
      </c>
      <c r="N559" t="s">
        <v>1633</v>
      </c>
      <c r="O559" t="s">
        <v>987</v>
      </c>
      <c r="P559" t="s">
        <v>1029</v>
      </c>
      <c r="Q559" t="s">
        <v>1405</v>
      </c>
      <c r="R559" t="s">
        <v>1114</v>
      </c>
      <c r="S559" t="s">
        <v>1119</v>
      </c>
      <c r="T559" t="s">
        <v>934</v>
      </c>
      <c r="U559" t="s">
        <v>2049</v>
      </c>
      <c r="V559" t="s">
        <v>1094</v>
      </c>
      <c r="W559" t="s">
        <v>1064</v>
      </c>
      <c r="X559" t="s">
        <v>1230</v>
      </c>
      <c r="Y559" t="s">
        <v>925</v>
      </c>
      <c r="Z559" t="s">
        <v>991</v>
      </c>
      <c r="AA559" t="s">
        <v>1119</v>
      </c>
      <c r="AB559" t="s">
        <v>1065</v>
      </c>
      <c r="AC559" t="s">
        <v>987</v>
      </c>
      <c r="AD559" t="s">
        <v>919</v>
      </c>
      <c r="AE559">
        <v>4.0999999999999996</v>
      </c>
      <c r="AF559">
        <v>4.1424000000000012</v>
      </c>
    </row>
    <row r="560" spans="1:32" x14ac:dyDescent="0.25">
      <c r="A560" s="191" t="s">
        <v>874</v>
      </c>
      <c r="B560" t="s">
        <v>171</v>
      </c>
      <c r="C560" t="s">
        <v>875</v>
      </c>
      <c r="D560" t="s">
        <v>172</v>
      </c>
      <c r="E560" t="s">
        <v>876</v>
      </c>
      <c r="F560" t="s">
        <v>392</v>
      </c>
      <c r="G560" t="s">
        <v>877</v>
      </c>
      <c r="H560" t="s">
        <v>878</v>
      </c>
      <c r="I560" t="s">
        <v>879</v>
      </c>
      <c r="J560" t="s">
        <v>880</v>
      </c>
      <c r="K560" t="s">
        <v>881</v>
      </c>
      <c r="L560" t="s">
        <v>882</v>
      </c>
      <c r="M560" t="s">
        <v>883</v>
      </c>
      <c r="N560" t="s">
        <v>884</v>
      </c>
      <c r="O560" t="s">
        <v>885</v>
      </c>
      <c r="P560" t="s">
        <v>886</v>
      </c>
      <c r="Q560" t="s">
        <v>887</v>
      </c>
      <c r="R560" t="s">
        <v>888</v>
      </c>
      <c r="S560" t="s">
        <v>889</v>
      </c>
      <c r="T560" t="s">
        <v>890</v>
      </c>
      <c r="U560" t="s">
        <v>891</v>
      </c>
      <c r="V560" t="s">
        <v>892</v>
      </c>
      <c r="W560" t="s">
        <v>893</v>
      </c>
      <c r="X560" t="s">
        <v>894</v>
      </c>
      <c r="Y560" t="s">
        <v>895</v>
      </c>
      <c r="Z560" t="s">
        <v>896</v>
      </c>
      <c r="AA560" t="s">
        <v>897</v>
      </c>
      <c r="AB560" t="s">
        <v>898</v>
      </c>
      <c r="AC560" t="s">
        <v>93</v>
      </c>
      <c r="AD560" t="s">
        <v>899</v>
      </c>
      <c r="AE560" t="e">
        <v>#VALUE!</v>
      </c>
      <c r="AF560" t="e">
        <v>#VALUE!</v>
      </c>
    </row>
    <row r="561" spans="1:32" x14ac:dyDescent="0.25">
      <c r="A561" s="191" t="s">
        <v>2565</v>
      </c>
      <c r="B561" t="s">
        <v>2566</v>
      </c>
      <c r="C561" t="s">
        <v>973</v>
      </c>
      <c r="D561" t="s">
        <v>97</v>
      </c>
      <c r="E561" t="s">
        <v>72</v>
      </c>
      <c r="F561" t="s">
        <v>1312</v>
      </c>
      <c r="G561" t="s">
        <v>1717</v>
      </c>
      <c r="H561" t="s">
        <v>943</v>
      </c>
      <c r="I561" t="s">
        <v>1029</v>
      </c>
      <c r="J561" t="s">
        <v>1048</v>
      </c>
      <c r="K561" t="s">
        <v>1262</v>
      </c>
      <c r="L561" t="s">
        <v>934</v>
      </c>
      <c r="M561" t="s">
        <v>969</v>
      </c>
      <c r="N561" t="s">
        <v>1785</v>
      </c>
      <c r="O561" t="s">
        <v>1230</v>
      </c>
      <c r="P561" t="s">
        <v>993</v>
      </c>
      <c r="Q561" t="s">
        <v>1559</v>
      </c>
      <c r="R561" t="s">
        <v>1261</v>
      </c>
      <c r="S561" t="s">
        <v>1008</v>
      </c>
      <c r="T561" t="s">
        <v>918</v>
      </c>
      <c r="U561" t="s">
        <v>1972</v>
      </c>
      <c r="V561" t="s">
        <v>918</v>
      </c>
      <c r="W561" t="s">
        <v>968</v>
      </c>
      <c r="X561" t="s">
        <v>1220</v>
      </c>
      <c r="Y561" t="s">
        <v>923</v>
      </c>
      <c r="Z561" t="s">
        <v>918</v>
      </c>
      <c r="AA561" t="s">
        <v>969</v>
      </c>
      <c r="AB561" t="s">
        <v>969</v>
      </c>
      <c r="AC561" t="s">
        <v>922</v>
      </c>
      <c r="AD561" t="s">
        <v>919</v>
      </c>
      <c r="AE561">
        <v>4.1000000000000005</v>
      </c>
      <c r="AF561">
        <v>4.1178000000000008</v>
      </c>
    </row>
    <row r="562" spans="1:32" x14ac:dyDescent="0.25">
      <c r="A562" s="191" t="s">
        <v>2047</v>
      </c>
      <c r="B562" t="s">
        <v>2048</v>
      </c>
      <c r="C562" t="s">
        <v>1238</v>
      </c>
      <c r="D562" t="s">
        <v>65</v>
      </c>
      <c r="E562" t="s">
        <v>47</v>
      </c>
      <c r="F562" t="s">
        <v>1177</v>
      </c>
      <c r="G562" t="s">
        <v>949</v>
      </c>
      <c r="H562" t="s">
        <v>1621</v>
      </c>
      <c r="I562" t="s">
        <v>979</v>
      </c>
      <c r="J562" t="s">
        <v>915</v>
      </c>
      <c r="K562" t="s">
        <v>1297</v>
      </c>
      <c r="L562" t="s">
        <v>1195</v>
      </c>
      <c r="M562" t="s">
        <v>992</v>
      </c>
      <c r="N562" t="s">
        <v>1425</v>
      </c>
      <c r="O562" t="s">
        <v>925</v>
      </c>
      <c r="P562" t="s">
        <v>1170</v>
      </c>
      <c r="Q562" t="s">
        <v>1395</v>
      </c>
      <c r="R562" t="s">
        <v>1144</v>
      </c>
      <c r="S562" t="s">
        <v>1064</v>
      </c>
      <c r="T562" t="s">
        <v>1230</v>
      </c>
      <c r="U562" t="s">
        <v>2049</v>
      </c>
      <c r="V562" t="s">
        <v>1008</v>
      </c>
      <c r="W562" t="s">
        <v>947</v>
      </c>
      <c r="X562" t="s">
        <v>1135</v>
      </c>
      <c r="Y562" t="s">
        <v>923</v>
      </c>
      <c r="Z562" t="s">
        <v>969</v>
      </c>
      <c r="AA562" t="s">
        <v>1094</v>
      </c>
      <c r="AB562" t="s">
        <v>918</v>
      </c>
      <c r="AC562" t="s">
        <v>918</v>
      </c>
      <c r="AD562" t="s">
        <v>1832</v>
      </c>
      <c r="AE562">
        <v>9.4</v>
      </c>
      <c r="AF562">
        <v>9.3387999999999991</v>
      </c>
    </row>
    <row r="563" spans="1:32" x14ac:dyDescent="0.25">
      <c r="A563" s="191" t="s">
        <v>2569</v>
      </c>
      <c r="B563" t="s">
        <v>2570</v>
      </c>
      <c r="C563" t="s">
        <v>973</v>
      </c>
      <c r="D563" t="s">
        <v>1014</v>
      </c>
      <c r="E563" t="s">
        <v>93</v>
      </c>
      <c r="F563" t="s">
        <v>1068</v>
      </c>
      <c r="G563" t="s">
        <v>928</v>
      </c>
      <c r="H563" t="s">
        <v>912</v>
      </c>
      <c r="I563" t="s">
        <v>1029</v>
      </c>
      <c r="J563" t="s">
        <v>1000</v>
      </c>
      <c r="K563" t="s">
        <v>1110</v>
      </c>
      <c r="L563" t="s">
        <v>1094</v>
      </c>
      <c r="M563" t="s">
        <v>918</v>
      </c>
      <c r="N563" t="s">
        <v>1662</v>
      </c>
      <c r="O563" t="s">
        <v>1230</v>
      </c>
      <c r="P563" t="s">
        <v>993</v>
      </c>
      <c r="Q563" t="s">
        <v>1324</v>
      </c>
      <c r="R563" t="s">
        <v>1144</v>
      </c>
      <c r="S563" t="s">
        <v>969</v>
      </c>
      <c r="T563" t="s">
        <v>923</v>
      </c>
      <c r="U563" t="s">
        <v>1401</v>
      </c>
      <c r="V563" t="s">
        <v>1049</v>
      </c>
      <c r="W563" t="s">
        <v>1048</v>
      </c>
      <c r="X563" t="s">
        <v>1005</v>
      </c>
      <c r="Y563" t="s">
        <v>1064</v>
      </c>
      <c r="Z563" t="s">
        <v>923</v>
      </c>
      <c r="AA563" t="s">
        <v>1094</v>
      </c>
      <c r="AB563" t="s">
        <v>987</v>
      </c>
      <c r="AC563" t="s">
        <v>1049</v>
      </c>
      <c r="AD563" t="s">
        <v>919</v>
      </c>
      <c r="AE563">
        <v>4.0999999999999996</v>
      </c>
      <c r="AF563">
        <v>4.1247000000000007</v>
      </c>
    </row>
    <row r="564" spans="1:32" x14ac:dyDescent="0.25">
      <c r="A564" s="194" t="s">
        <v>2571</v>
      </c>
      <c r="B564" t="s">
        <v>2572</v>
      </c>
      <c r="C564" t="s">
        <v>995</v>
      </c>
      <c r="D564" t="s">
        <v>974</v>
      </c>
      <c r="E564" t="s">
        <v>63</v>
      </c>
      <c r="F564" t="s">
        <v>1390</v>
      </c>
      <c r="G564" t="s">
        <v>1717</v>
      </c>
      <c r="H564" t="s">
        <v>1752</v>
      </c>
      <c r="I564" t="s">
        <v>1310</v>
      </c>
      <c r="J564" t="s">
        <v>970</v>
      </c>
      <c r="K564" t="s">
        <v>1776</v>
      </c>
      <c r="L564" t="s">
        <v>991</v>
      </c>
      <c r="M564" t="s">
        <v>1195</v>
      </c>
      <c r="N564" t="s">
        <v>2069</v>
      </c>
      <c r="O564" t="s">
        <v>1064</v>
      </c>
      <c r="P564" t="s">
        <v>908</v>
      </c>
      <c r="Q564" t="s">
        <v>1307</v>
      </c>
      <c r="R564" t="s">
        <v>907</v>
      </c>
      <c r="S564" t="s">
        <v>969</v>
      </c>
      <c r="T564" t="s">
        <v>918</v>
      </c>
      <c r="U564" t="s">
        <v>2349</v>
      </c>
      <c r="V564" t="s">
        <v>1065</v>
      </c>
      <c r="W564" t="s">
        <v>922</v>
      </c>
      <c r="X564" t="s">
        <v>925</v>
      </c>
      <c r="Y564" t="s">
        <v>1064</v>
      </c>
      <c r="Z564" t="s">
        <v>1008</v>
      </c>
      <c r="AA564" t="s">
        <v>1094</v>
      </c>
      <c r="AB564" t="s">
        <v>969</v>
      </c>
      <c r="AC564" t="s">
        <v>918</v>
      </c>
      <c r="AD564" t="s">
        <v>1228</v>
      </c>
      <c r="AE564">
        <v>4</v>
      </c>
      <c r="AF564">
        <v>4.0186000000000002</v>
      </c>
    </row>
    <row r="565" spans="1:32" x14ac:dyDescent="0.25">
      <c r="A565" s="191" t="s">
        <v>2571</v>
      </c>
      <c r="B565" t="s">
        <v>2572</v>
      </c>
      <c r="C565" t="s">
        <v>995</v>
      </c>
      <c r="D565" t="s">
        <v>121</v>
      </c>
      <c r="E565" t="s">
        <v>63</v>
      </c>
      <c r="F565" t="s">
        <v>1084</v>
      </c>
      <c r="G565" t="s">
        <v>1717</v>
      </c>
      <c r="H565" t="s">
        <v>1329</v>
      </c>
      <c r="I565" t="s">
        <v>1065</v>
      </c>
      <c r="J565" t="s">
        <v>1064</v>
      </c>
      <c r="K565" t="s">
        <v>1419</v>
      </c>
      <c r="L565" t="s">
        <v>934</v>
      </c>
      <c r="M565" t="s">
        <v>991</v>
      </c>
      <c r="N565" t="s">
        <v>1719</v>
      </c>
      <c r="O565" t="s">
        <v>1094</v>
      </c>
      <c r="P565" t="s">
        <v>1008</v>
      </c>
      <c r="Q565" t="s">
        <v>1018</v>
      </c>
      <c r="R565" t="s">
        <v>1131</v>
      </c>
      <c r="S565" t="s">
        <v>1600</v>
      </c>
      <c r="T565" t="s">
        <v>1600</v>
      </c>
      <c r="U565" t="s">
        <v>927</v>
      </c>
      <c r="V565" t="s">
        <v>1094</v>
      </c>
      <c r="W565" t="s">
        <v>969</v>
      </c>
      <c r="X565" t="s">
        <v>923</v>
      </c>
      <c r="Y565" t="s">
        <v>1094</v>
      </c>
      <c r="Z565" t="s">
        <v>1094</v>
      </c>
      <c r="AA565" t="s">
        <v>1094</v>
      </c>
      <c r="AB565" t="s">
        <v>1094</v>
      </c>
      <c r="AC565" t="s">
        <v>1065</v>
      </c>
      <c r="AD565" t="s">
        <v>1064</v>
      </c>
      <c r="AE565">
        <v>1.2000000000000002</v>
      </c>
      <c r="AF565" t="e">
        <v>#VALUE!</v>
      </c>
    </row>
    <row r="566" spans="1:32" x14ac:dyDescent="0.25">
      <c r="A566" s="191" t="s">
        <v>2571</v>
      </c>
      <c r="B566" t="s">
        <v>2572</v>
      </c>
      <c r="C566" t="s">
        <v>995</v>
      </c>
      <c r="D566" t="s">
        <v>77</v>
      </c>
      <c r="E566" t="s">
        <v>63</v>
      </c>
      <c r="F566" t="s">
        <v>1175</v>
      </c>
      <c r="G566" t="s">
        <v>1717</v>
      </c>
      <c r="H566" t="s">
        <v>1196</v>
      </c>
      <c r="I566" t="s">
        <v>1048</v>
      </c>
      <c r="J566" t="s">
        <v>1116</v>
      </c>
      <c r="K566" t="s">
        <v>1609</v>
      </c>
      <c r="L566" t="s">
        <v>987</v>
      </c>
      <c r="M566" t="s">
        <v>1012</v>
      </c>
      <c r="N566" t="s">
        <v>1567</v>
      </c>
      <c r="O566" t="s">
        <v>924</v>
      </c>
      <c r="P566" t="s">
        <v>1170</v>
      </c>
      <c r="Q566" t="s">
        <v>1289</v>
      </c>
      <c r="R566" t="s">
        <v>1551</v>
      </c>
      <c r="S566" t="s">
        <v>1310</v>
      </c>
      <c r="T566" t="s">
        <v>947</v>
      </c>
      <c r="U566" t="s">
        <v>2349</v>
      </c>
      <c r="V566" t="s">
        <v>918</v>
      </c>
      <c r="W566" t="s">
        <v>1000</v>
      </c>
      <c r="X566" t="s">
        <v>1170</v>
      </c>
      <c r="Y566" t="s">
        <v>993</v>
      </c>
      <c r="Z566" t="s">
        <v>1195</v>
      </c>
      <c r="AA566" t="s">
        <v>991</v>
      </c>
      <c r="AB566" t="s">
        <v>1064</v>
      </c>
      <c r="AC566" t="s">
        <v>1029</v>
      </c>
      <c r="AD566" t="s">
        <v>1062</v>
      </c>
      <c r="AE566">
        <v>8.7000000000000011</v>
      </c>
      <c r="AF566">
        <v>8.7553000000000001</v>
      </c>
    </row>
    <row r="567" spans="1:32" x14ac:dyDescent="0.25">
      <c r="A567" s="191" t="s">
        <v>2573</v>
      </c>
      <c r="B567" t="s">
        <v>2574</v>
      </c>
      <c r="C567" t="s">
        <v>1068</v>
      </c>
      <c r="D567" t="s">
        <v>79</v>
      </c>
      <c r="E567" t="s">
        <v>93</v>
      </c>
      <c r="F567" t="s">
        <v>1459</v>
      </c>
      <c r="G567" t="s">
        <v>1083</v>
      </c>
      <c r="H567" t="s">
        <v>1418</v>
      </c>
      <c r="I567" t="s">
        <v>1195</v>
      </c>
      <c r="J567" t="s">
        <v>946</v>
      </c>
      <c r="K567" t="s">
        <v>1088</v>
      </c>
      <c r="L567" t="s">
        <v>1064</v>
      </c>
      <c r="M567" t="s">
        <v>1012</v>
      </c>
      <c r="N567" t="s">
        <v>1784</v>
      </c>
      <c r="O567" t="s">
        <v>934</v>
      </c>
      <c r="P567" t="s">
        <v>991</v>
      </c>
      <c r="Q567" t="s">
        <v>1776</v>
      </c>
      <c r="R567" t="s">
        <v>1814</v>
      </c>
      <c r="S567" t="s">
        <v>934</v>
      </c>
      <c r="T567" t="s">
        <v>1094</v>
      </c>
      <c r="U567" t="s">
        <v>1388</v>
      </c>
      <c r="V567" t="s">
        <v>969</v>
      </c>
      <c r="W567" t="s">
        <v>925</v>
      </c>
      <c r="X567" t="s">
        <v>1104</v>
      </c>
      <c r="Y567" t="s">
        <v>1064</v>
      </c>
      <c r="Z567" t="s">
        <v>1008</v>
      </c>
      <c r="AA567" t="s">
        <v>1065</v>
      </c>
      <c r="AB567" t="s">
        <v>991</v>
      </c>
      <c r="AC567" t="s">
        <v>1230</v>
      </c>
      <c r="AD567" t="s">
        <v>1228</v>
      </c>
      <c r="AE567">
        <v>3.9000000000000004</v>
      </c>
      <c r="AF567">
        <v>4.0774000000000008</v>
      </c>
    </row>
    <row r="568" spans="1:32" x14ac:dyDescent="0.25">
      <c r="A568" s="191" t="s">
        <v>2575</v>
      </c>
      <c r="B568" t="s">
        <v>2576</v>
      </c>
      <c r="C568" t="s">
        <v>902</v>
      </c>
      <c r="D568" t="s">
        <v>1149</v>
      </c>
      <c r="E568" t="s">
        <v>56</v>
      </c>
      <c r="F568" t="s">
        <v>972</v>
      </c>
      <c r="G568" t="s">
        <v>1717</v>
      </c>
      <c r="H568" t="s">
        <v>1253</v>
      </c>
      <c r="I568" t="s">
        <v>1195</v>
      </c>
      <c r="J568" t="s">
        <v>970</v>
      </c>
      <c r="K568" t="s">
        <v>1683</v>
      </c>
      <c r="L568" t="s">
        <v>1094</v>
      </c>
      <c r="M568" t="s">
        <v>923</v>
      </c>
      <c r="N568" t="s">
        <v>2152</v>
      </c>
      <c r="O568" t="s">
        <v>923</v>
      </c>
      <c r="P568" t="s">
        <v>947</v>
      </c>
      <c r="Q568" t="s">
        <v>1297</v>
      </c>
      <c r="R568" t="s">
        <v>1419</v>
      </c>
      <c r="S568" t="s">
        <v>1195</v>
      </c>
      <c r="T568" t="s">
        <v>1310</v>
      </c>
      <c r="U568" t="s">
        <v>1765</v>
      </c>
      <c r="V568" t="s">
        <v>987</v>
      </c>
      <c r="W568" t="s">
        <v>923</v>
      </c>
      <c r="X568" t="s">
        <v>968</v>
      </c>
      <c r="Y568" t="s">
        <v>968</v>
      </c>
      <c r="Z568" t="s">
        <v>987</v>
      </c>
      <c r="AA568" t="s">
        <v>1600</v>
      </c>
      <c r="AB568" t="s">
        <v>923</v>
      </c>
      <c r="AC568" t="s">
        <v>923</v>
      </c>
      <c r="AD568" t="s">
        <v>1228</v>
      </c>
      <c r="AE568">
        <v>4.2</v>
      </c>
      <c r="AF568">
        <v>4.0419</v>
      </c>
    </row>
    <row r="569" spans="1:32" x14ac:dyDescent="0.25">
      <c r="A569" s="191" t="s">
        <v>2577</v>
      </c>
      <c r="B569" t="s">
        <v>2578</v>
      </c>
      <c r="C569" t="s">
        <v>1084</v>
      </c>
      <c r="D569" t="s">
        <v>97</v>
      </c>
      <c r="E569" t="s">
        <v>47</v>
      </c>
      <c r="F569" t="s">
        <v>901</v>
      </c>
      <c r="G569" t="s">
        <v>1717</v>
      </c>
      <c r="H569" t="s">
        <v>1357</v>
      </c>
      <c r="I569" t="s">
        <v>923</v>
      </c>
      <c r="J569" t="s">
        <v>1061</v>
      </c>
      <c r="K569" t="s">
        <v>2480</v>
      </c>
      <c r="L569" t="s">
        <v>1600</v>
      </c>
      <c r="M569" t="s">
        <v>1063</v>
      </c>
      <c r="N569" t="s">
        <v>1646</v>
      </c>
      <c r="O569" t="s">
        <v>923</v>
      </c>
      <c r="P569" t="s">
        <v>956</v>
      </c>
      <c r="Q569" t="s">
        <v>1131</v>
      </c>
      <c r="R569" t="s">
        <v>2480</v>
      </c>
      <c r="S569" t="s">
        <v>956</v>
      </c>
      <c r="T569" t="s">
        <v>956</v>
      </c>
      <c r="U569" t="s">
        <v>2146</v>
      </c>
      <c r="V569" t="s">
        <v>1228</v>
      </c>
      <c r="W569" t="s">
        <v>1135</v>
      </c>
      <c r="X569" t="s">
        <v>1023</v>
      </c>
      <c r="Y569" t="s">
        <v>956</v>
      </c>
      <c r="Z569" t="s">
        <v>1600</v>
      </c>
      <c r="AA569" t="s">
        <v>1600</v>
      </c>
      <c r="AB569" t="s">
        <v>1600</v>
      </c>
      <c r="AC569" t="s">
        <v>1600</v>
      </c>
      <c r="AD569" t="s">
        <v>1228</v>
      </c>
      <c r="AE569">
        <v>4</v>
      </c>
      <c r="AF569">
        <v>4</v>
      </c>
    </row>
    <row r="570" spans="1:32" x14ac:dyDescent="0.25">
      <c r="A570" s="191" t="s">
        <v>2579</v>
      </c>
      <c r="B570" t="s">
        <v>2580</v>
      </c>
      <c r="C570" t="s">
        <v>1176</v>
      </c>
      <c r="D570" t="s">
        <v>133</v>
      </c>
      <c r="E570" t="s">
        <v>63</v>
      </c>
      <c r="F570" t="s">
        <v>1083</v>
      </c>
      <c r="G570" t="s">
        <v>1717</v>
      </c>
      <c r="H570" t="s">
        <v>1304</v>
      </c>
      <c r="I570" t="s">
        <v>1230</v>
      </c>
      <c r="J570" t="s">
        <v>1134</v>
      </c>
      <c r="K570" t="s">
        <v>2581</v>
      </c>
      <c r="L570" t="s">
        <v>987</v>
      </c>
      <c r="M570" t="s">
        <v>1104</v>
      </c>
      <c r="N570" t="s">
        <v>2414</v>
      </c>
      <c r="O570" t="s">
        <v>969</v>
      </c>
      <c r="P570" t="s">
        <v>956</v>
      </c>
      <c r="Q570" t="s">
        <v>1449</v>
      </c>
      <c r="R570" t="s">
        <v>981</v>
      </c>
      <c r="S570" t="s">
        <v>1065</v>
      </c>
      <c r="T570" t="s">
        <v>1065</v>
      </c>
      <c r="U570" t="s">
        <v>2146</v>
      </c>
      <c r="V570" t="s">
        <v>987</v>
      </c>
      <c r="W570" t="s">
        <v>987</v>
      </c>
      <c r="X570" t="s">
        <v>1310</v>
      </c>
      <c r="Y570" t="s">
        <v>1310</v>
      </c>
      <c r="Z570" t="s">
        <v>923</v>
      </c>
      <c r="AA570" t="s">
        <v>1119</v>
      </c>
      <c r="AB570" t="s">
        <v>923</v>
      </c>
      <c r="AC570" t="s">
        <v>908</v>
      </c>
      <c r="AD570" t="s">
        <v>1228</v>
      </c>
      <c r="AE570">
        <v>4.0999999999999996</v>
      </c>
      <c r="AF570">
        <v>4.0451999999999995</v>
      </c>
    </row>
    <row r="571" spans="1:32" x14ac:dyDescent="0.25">
      <c r="A571" s="191" t="s">
        <v>2368</v>
      </c>
      <c r="B571" t="s">
        <v>2369</v>
      </c>
      <c r="C571" t="s">
        <v>1032</v>
      </c>
      <c r="D571" t="s">
        <v>65</v>
      </c>
      <c r="E571" t="s">
        <v>72</v>
      </c>
      <c r="F571" t="s">
        <v>972</v>
      </c>
      <c r="G571" t="s">
        <v>1717</v>
      </c>
      <c r="H571" t="s">
        <v>1244</v>
      </c>
      <c r="I571" t="s">
        <v>993</v>
      </c>
      <c r="J571" t="s">
        <v>970</v>
      </c>
      <c r="K571" t="s">
        <v>1947</v>
      </c>
      <c r="L571" t="s">
        <v>1600</v>
      </c>
      <c r="M571" t="s">
        <v>1600</v>
      </c>
      <c r="N571" t="s">
        <v>927</v>
      </c>
      <c r="O571" t="s">
        <v>993</v>
      </c>
      <c r="P571" t="s">
        <v>970</v>
      </c>
      <c r="Q571" t="s">
        <v>1947</v>
      </c>
      <c r="R571" t="s">
        <v>1947</v>
      </c>
      <c r="S571" t="s">
        <v>923</v>
      </c>
      <c r="T571" t="s">
        <v>1195</v>
      </c>
      <c r="U571" t="s">
        <v>963</v>
      </c>
      <c r="V571" t="s">
        <v>1310</v>
      </c>
      <c r="W571" t="s">
        <v>1155</v>
      </c>
      <c r="X571" t="s">
        <v>1043</v>
      </c>
      <c r="Y571" t="s">
        <v>1065</v>
      </c>
      <c r="Z571" t="s">
        <v>1094</v>
      </c>
      <c r="AA571" t="s">
        <v>1195</v>
      </c>
      <c r="AB571" t="s">
        <v>1065</v>
      </c>
      <c r="AC571" t="s">
        <v>947</v>
      </c>
      <c r="AD571" t="s">
        <v>1063</v>
      </c>
      <c r="AE571">
        <v>6</v>
      </c>
      <c r="AF571" t="e">
        <v>#VALUE!</v>
      </c>
    </row>
    <row r="572" spans="1:32" x14ac:dyDescent="0.25">
      <c r="A572" s="191" t="s">
        <v>2584</v>
      </c>
      <c r="B572" t="s">
        <v>2585</v>
      </c>
      <c r="C572" t="s">
        <v>1384</v>
      </c>
      <c r="D572" t="s">
        <v>108</v>
      </c>
      <c r="E572" t="s">
        <v>56</v>
      </c>
      <c r="F572" t="s">
        <v>1343</v>
      </c>
      <c r="G572" t="s">
        <v>1137</v>
      </c>
      <c r="H572" t="s">
        <v>1304</v>
      </c>
      <c r="I572" t="s">
        <v>945</v>
      </c>
      <c r="J572" t="s">
        <v>970</v>
      </c>
      <c r="K572" t="s">
        <v>1406</v>
      </c>
      <c r="L572" t="s">
        <v>987</v>
      </c>
      <c r="M572" t="s">
        <v>993</v>
      </c>
      <c r="N572" t="s">
        <v>1828</v>
      </c>
      <c r="O572" t="s">
        <v>1094</v>
      </c>
      <c r="P572" t="s">
        <v>987</v>
      </c>
      <c r="Q572" t="s">
        <v>1968</v>
      </c>
      <c r="R572" t="s">
        <v>1268</v>
      </c>
      <c r="S572" t="s">
        <v>987</v>
      </c>
      <c r="T572" t="s">
        <v>918</v>
      </c>
      <c r="U572" t="s">
        <v>1597</v>
      </c>
      <c r="V572" t="s">
        <v>1094</v>
      </c>
      <c r="W572" t="s">
        <v>1029</v>
      </c>
      <c r="X572" t="s">
        <v>1049</v>
      </c>
      <c r="Y572" t="s">
        <v>1220</v>
      </c>
      <c r="Z572" t="s">
        <v>918</v>
      </c>
      <c r="AA572" t="s">
        <v>1094</v>
      </c>
      <c r="AB572" t="s">
        <v>969</v>
      </c>
      <c r="AC572" t="s">
        <v>968</v>
      </c>
      <c r="AD572" t="s">
        <v>1160</v>
      </c>
      <c r="AE572">
        <v>4</v>
      </c>
      <c r="AF572">
        <v>3.8735999999999997</v>
      </c>
    </row>
    <row r="573" spans="1:32" x14ac:dyDescent="0.25">
      <c r="A573" s="191" t="s">
        <v>2586</v>
      </c>
      <c r="B573" t="s">
        <v>2587</v>
      </c>
      <c r="C573" t="s">
        <v>995</v>
      </c>
      <c r="D573" t="s">
        <v>151</v>
      </c>
      <c r="E573" t="s">
        <v>93</v>
      </c>
      <c r="F573" t="s">
        <v>1085</v>
      </c>
      <c r="G573" t="s">
        <v>972</v>
      </c>
      <c r="H573" t="s">
        <v>953</v>
      </c>
      <c r="I573" t="s">
        <v>1195</v>
      </c>
      <c r="J573" t="s">
        <v>970</v>
      </c>
      <c r="K573" t="s">
        <v>1531</v>
      </c>
      <c r="L573" t="s">
        <v>934</v>
      </c>
      <c r="M573" t="s">
        <v>923</v>
      </c>
      <c r="N573" t="s">
        <v>2588</v>
      </c>
      <c r="O573" t="s">
        <v>1064</v>
      </c>
      <c r="P573" t="s">
        <v>924</v>
      </c>
      <c r="Q573" t="s">
        <v>1287</v>
      </c>
      <c r="R573" t="s">
        <v>1088</v>
      </c>
      <c r="S573" t="s">
        <v>918</v>
      </c>
      <c r="T573" t="s">
        <v>1310</v>
      </c>
      <c r="U573" t="s">
        <v>1949</v>
      </c>
      <c r="V573" t="s">
        <v>987</v>
      </c>
      <c r="W573" t="s">
        <v>1029</v>
      </c>
      <c r="X573" t="s">
        <v>924</v>
      </c>
      <c r="Y573" t="s">
        <v>987</v>
      </c>
      <c r="Z573" t="s">
        <v>1065</v>
      </c>
      <c r="AA573" t="s">
        <v>1119</v>
      </c>
      <c r="AB573" t="s">
        <v>1094</v>
      </c>
      <c r="AC573" t="s">
        <v>1065</v>
      </c>
      <c r="AD573" t="s">
        <v>1160</v>
      </c>
      <c r="AE573">
        <v>3.7</v>
      </c>
      <c r="AF573">
        <v>3.8437000000000001</v>
      </c>
    </row>
    <row r="574" spans="1:32" x14ac:dyDescent="0.25">
      <c r="A574" s="191" t="s">
        <v>2589</v>
      </c>
      <c r="B574" t="s">
        <v>2590</v>
      </c>
      <c r="C574" t="s">
        <v>1068</v>
      </c>
      <c r="D574" t="s">
        <v>974</v>
      </c>
      <c r="E574" t="s">
        <v>56</v>
      </c>
      <c r="F574" t="s">
        <v>950</v>
      </c>
      <c r="G574" t="s">
        <v>1717</v>
      </c>
      <c r="H574" t="s">
        <v>1368</v>
      </c>
      <c r="I574" t="s">
        <v>945</v>
      </c>
      <c r="J574" t="s">
        <v>970</v>
      </c>
      <c r="K574" t="s">
        <v>910</v>
      </c>
      <c r="L574" t="s">
        <v>918</v>
      </c>
      <c r="M574" t="s">
        <v>1012</v>
      </c>
      <c r="N574" t="s">
        <v>2199</v>
      </c>
      <c r="O574" t="s">
        <v>1094</v>
      </c>
      <c r="P574" t="s">
        <v>1008</v>
      </c>
      <c r="Q574" t="s">
        <v>1249</v>
      </c>
      <c r="R574" t="s">
        <v>1436</v>
      </c>
      <c r="S574" t="s">
        <v>991</v>
      </c>
      <c r="T574" t="s">
        <v>1065</v>
      </c>
      <c r="U574" t="s">
        <v>2541</v>
      </c>
      <c r="V574" t="s">
        <v>1119</v>
      </c>
      <c r="W574" t="s">
        <v>969</v>
      </c>
      <c r="X574" t="s">
        <v>987</v>
      </c>
      <c r="Y574" t="s">
        <v>918</v>
      </c>
      <c r="Z574" t="s">
        <v>991</v>
      </c>
      <c r="AA574" t="s">
        <v>1119</v>
      </c>
      <c r="AB574" t="s">
        <v>969</v>
      </c>
      <c r="AC574" t="s">
        <v>987</v>
      </c>
      <c r="AD574" t="s">
        <v>1155</v>
      </c>
      <c r="AE574">
        <v>3.6999999999999997</v>
      </c>
      <c r="AF574">
        <v>3.8374999999999999</v>
      </c>
    </row>
    <row r="575" spans="1:32" x14ac:dyDescent="0.25">
      <c r="A575" s="191" t="s">
        <v>2589</v>
      </c>
      <c r="B575" t="s">
        <v>2590</v>
      </c>
      <c r="C575" t="s">
        <v>1068</v>
      </c>
      <c r="D575" t="s">
        <v>45</v>
      </c>
      <c r="E575" t="s">
        <v>56</v>
      </c>
      <c r="F575" t="s">
        <v>1212</v>
      </c>
      <c r="G575" t="s">
        <v>1717</v>
      </c>
      <c r="H575" t="s">
        <v>1527</v>
      </c>
      <c r="I575" t="s">
        <v>1310</v>
      </c>
      <c r="J575" t="s">
        <v>1047</v>
      </c>
      <c r="K575" t="s">
        <v>1756</v>
      </c>
      <c r="L575" t="s">
        <v>923</v>
      </c>
      <c r="M575" t="s">
        <v>1000</v>
      </c>
      <c r="N575" t="s">
        <v>1190</v>
      </c>
      <c r="O575" t="s">
        <v>1065</v>
      </c>
      <c r="P575" t="s">
        <v>1064</v>
      </c>
      <c r="Q575" t="s">
        <v>1268</v>
      </c>
      <c r="R575" t="s">
        <v>1337</v>
      </c>
      <c r="S575" t="s">
        <v>1094</v>
      </c>
      <c r="T575" t="s">
        <v>1094</v>
      </c>
      <c r="U575" t="s">
        <v>2146</v>
      </c>
      <c r="V575" t="s">
        <v>934</v>
      </c>
      <c r="W575" t="s">
        <v>1064</v>
      </c>
      <c r="X575" t="s">
        <v>945</v>
      </c>
      <c r="Y575" t="s">
        <v>945</v>
      </c>
      <c r="Z575" t="s">
        <v>1008</v>
      </c>
      <c r="AA575" t="s">
        <v>934</v>
      </c>
      <c r="AB575" t="s">
        <v>918</v>
      </c>
      <c r="AC575" t="s">
        <v>1008</v>
      </c>
      <c r="AD575" t="s">
        <v>1103</v>
      </c>
      <c r="AE575">
        <v>4.3</v>
      </c>
      <c r="AF575">
        <v>4.3823999999999996</v>
      </c>
    </row>
    <row r="576" spans="1:32" x14ac:dyDescent="0.25">
      <c r="A576" s="191" t="s">
        <v>2589</v>
      </c>
      <c r="B576" t="s">
        <v>2590</v>
      </c>
      <c r="C576" t="s">
        <v>1068</v>
      </c>
      <c r="D576" t="s">
        <v>79</v>
      </c>
      <c r="E576" t="s">
        <v>56</v>
      </c>
      <c r="F576" t="s">
        <v>1137</v>
      </c>
      <c r="G576" t="s">
        <v>1717</v>
      </c>
      <c r="H576" t="s">
        <v>1005</v>
      </c>
      <c r="I576" t="s">
        <v>987</v>
      </c>
      <c r="J576" t="s">
        <v>922</v>
      </c>
      <c r="K576" t="s">
        <v>1131</v>
      </c>
      <c r="L576" t="s">
        <v>987</v>
      </c>
      <c r="M576" t="s">
        <v>1310</v>
      </c>
      <c r="N576" t="s">
        <v>1131</v>
      </c>
      <c r="O576" t="s">
        <v>1119</v>
      </c>
      <c r="P576" t="s">
        <v>934</v>
      </c>
      <c r="Q576" t="s">
        <v>1131</v>
      </c>
      <c r="R576" t="s">
        <v>1525</v>
      </c>
      <c r="S576" t="s">
        <v>1008</v>
      </c>
      <c r="T576" t="s">
        <v>987</v>
      </c>
      <c r="U576" t="s">
        <v>1759</v>
      </c>
      <c r="V576" t="s">
        <v>1119</v>
      </c>
      <c r="W576" t="s">
        <v>1600</v>
      </c>
      <c r="X576" t="s">
        <v>1119</v>
      </c>
      <c r="Y576" t="s">
        <v>991</v>
      </c>
      <c r="Z576" t="s">
        <v>1119</v>
      </c>
      <c r="AA576" t="s">
        <v>1600</v>
      </c>
      <c r="AB576" t="s">
        <v>1119</v>
      </c>
      <c r="AC576" t="s">
        <v>923</v>
      </c>
      <c r="AD576" t="s">
        <v>946</v>
      </c>
      <c r="AE576">
        <v>3.1000000000000005</v>
      </c>
      <c r="AF576">
        <v>3.1612</v>
      </c>
    </row>
    <row r="577" spans="1:32" x14ac:dyDescent="0.25">
      <c r="A577" s="191" t="s">
        <v>2591</v>
      </c>
      <c r="B577" t="s">
        <v>2592</v>
      </c>
      <c r="C577" t="s">
        <v>973</v>
      </c>
      <c r="D577" t="s">
        <v>48</v>
      </c>
      <c r="E577" t="s">
        <v>72</v>
      </c>
      <c r="F577" t="s">
        <v>1204</v>
      </c>
      <c r="G577" t="s">
        <v>1717</v>
      </c>
      <c r="H577" t="s">
        <v>990</v>
      </c>
      <c r="I577" t="s">
        <v>1195</v>
      </c>
      <c r="J577" t="s">
        <v>1135</v>
      </c>
      <c r="K577" t="s">
        <v>1273</v>
      </c>
      <c r="L577" t="s">
        <v>1008</v>
      </c>
      <c r="M577" t="s">
        <v>908</v>
      </c>
      <c r="N577" t="s">
        <v>1666</v>
      </c>
      <c r="O577" t="s">
        <v>1008</v>
      </c>
      <c r="P577" t="s">
        <v>923</v>
      </c>
      <c r="Q577" t="s">
        <v>2593</v>
      </c>
      <c r="R577" t="s">
        <v>1522</v>
      </c>
      <c r="S577" t="s">
        <v>991</v>
      </c>
      <c r="T577" t="s">
        <v>969</v>
      </c>
      <c r="U577" t="s">
        <v>1864</v>
      </c>
      <c r="V577" t="s">
        <v>1065</v>
      </c>
      <c r="W577" t="s">
        <v>945</v>
      </c>
      <c r="X577" t="s">
        <v>922</v>
      </c>
      <c r="Y577" t="s">
        <v>991</v>
      </c>
      <c r="Z577" t="s">
        <v>934</v>
      </c>
      <c r="AA577" t="s">
        <v>1008</v>
      </c>
      <c r="AB577" t="s">
        <v>934</v>
      </c>
      <c r="AC577" t="s">
        <v>1008</v>
      </c>
      <c r="AD577" t="s">
        <v>1155</v>
      </c>
      <c r="AE577">
        <v>3.6999999999999997</v>
      </c>
      <c r="AF577">
        <v>3.7833000000000001</v>
      </c>
    </row>
    <row r="578" spans="1:32" x14ac:dyDescent="0.25">
      <c r="A578" s="191" t="s">
        <v>2594</v>
      </c>
      <c r="B578" t="s">
        <v>2595</v>
      </c>
      <c r="C578" t="s">
        <v>995</v>
      </c>
      <c r="D578" t="s">
        <v>121</v>
      </c>
      <c r="E578" t="s">
        <v>56</v>
      </c>
      <c r="F578" t="s">
        <v>1068</v>
      </c>
      <c r="G578" t="s">
        <v>1717</v>
      </c>
      <c r="H578" t="s">
        <v>1253</v>
      </c>
      <c r="I578" t="s">
        <v>1195</v>
      </c>
      <c r="J578" t="s">
        <v>979</v>
      </c>
      <c r="K578" t="s">
        <v>1441</v>
      </c>
      <c r="L578" t="s">
        <v>1065</v>
      </c>
      <c r="M578" t="s">
        <v>922</v>
      </c>
      <c r="N578" t="s">
        <v>1259</v>
      </c>
      <c r="O578" t="s">
        <v>987</v>
      </c>
      <c r="P578" t="s">
        <v>968</v>
      </c>
      <c r="Q578" t="s">
        <v>1577</v>
      </c>
      <c r="R578" t="s">
        <v>1840</v>
      </c>
      <c r="S578" t="s">
        <v>1008</v>
      </c>
      <c r="T578" t="s">
        <v>945</v>
      </c>
      <c r="U578" t="s">
        <v>1813</v>
      </c>
      <c r="V578" t="s">
        <v>1065</v>
      </c>
      <c r="W578" t="s">
        <v>1029</v>
      </c>
      <c r="X578" t="s">
        <v>908</v>
      </c>
      <c r="Y578" t="s">
        <v>1064</v>
      </c>
      <c r="Z578" t="s">
        <v>969</v>
      </c>
      <c r="AA578" t="s">
        <v>1119</v>
      </c>
      <c r="AB578" t="s">
        <v>1065</v>
      </c>
      <c r="AC578" t="s">
        <v>1064</v>
      </c>
      <c r="AD578" t="s">
        <v>1155</v>
      </c>
      <c r="AE578">
        <v>3.8</v>
      </c>
      <c r="AF578">
        <v>3.7940999999999998</v>
      </c>
    </row>
    <row r="579" spans="1:32" x14ac:dyDescent="0.25">
      <c r="A579" s="194" t="s">
        <v>2596</v>
      </c>
      <c r="B579" t="s">
        <v>2597</v>
      </c>
      <c r="C579" t="s">
        <v>1245</v>
      </c>
      <c r="D579" t="s">
        <v>48</v>
      </c>
      <c r="E579" t="s">
        <v>72</v>
      </c>
      <c r="F579" t="s">
        <v>1376</v>
      </c>
      <c r="G579" t="s">
        <v>901</v>
      </c>
      <c r="H579" t="s">
        <v>982</v>
      </c>
      <c r="I579" t="s">
        <v>1310</v>
      </c>
      <c r="J579" t="s">
        <v>1000</v>
      </c>
      <c r="K579" t="s">
        <v>1434</v>
      </c>
      <c r="L579" t="s">
        <v>969</v>
      </c>
      <c r="M579" t="s">
        <v>1049</v>
      </c>
      <c r="N579" t="s">
        <v>1351</v>
      </c>
      <c r="O579" t="s">
        <v>987</v>
      </c>
      <c r="P579" t="s">
        <v>1310</v>
      </c>
      <c r="Q579" t="s">
        <v>1077</v>
      </c>
      <c r="R579" t="s">
        <v>1551</v>
      </c>
      <c r="S579" t="s">
        <v>1094</v>
      </c>
      <c r="T579" t="s">
        <v>991</v>
      </c>
      <c r="U579" t="s">
        <v>1201</v>
      </c>
      <c r="V579" t="s">
        <v>1065</v>
      </c>
      <c r="W579" t="s">
        <v>922</v>
      </c>
      <c r="X579" t="s">
        <v>925</v>
      </c>
      <c r="Y579" t="s">
        <v>987</v>
      </c>
      <c r="Z579" t="s">
        <v>1065</v>
      </c>
      <c r="AA579" t="s">
        <v>934</v>
      </c>
      <c r="AB579" t="s">
        <v>1065</v>
      </c>
      <c r="AC579" t="s">
        <v>918</v>
      </c>
      <c r="AD579" t="s">
        <v>1155</v>
      </c>
      <c r="AE579">
        <v>3.8999999999999995</v>
      </c>
      <c r="AF579">
        <v>3.8439999999999999</v>
      </c>
    </row>
    <row r="580" spans="1:32" x14ac:dyDescent="0.25">
      <c r="A580" s="191" t="s">
        <v>2598</v>
      </c>
      <c r="B580" t="s">
        <v>2599</v>
      </c>
      <c r="C580" t="s">
        <v>1343</v>
      </c>
      <c r="D580" t="s">
        <v>974</v>
      </c>
      <c r="E580" t="s">
        <v>93</v>
      </c>
      <c r="F580" t="s">
        <v>1175</v>
      </c>
      <c r="G580" t="s">
        <v>928</v>
      </c>
      <c r="H580" t="s">
        <v>1253</v>
      </c>
      <c r="I580" t="s">
        <v>1230</v>
      </c>
      <c r="J580" t="s">
        <v>957</v>
      </c>
      <c r="K580" t="s">
        <v>2341</v>
      </c>
      <c r="L580" t="s">
        <v>969</v>
      </c>
      <c r="M580" t="s">
        <v>924</v>
      </c>
      <c r="N580" t="s">
        <v>2152</v>
      </c>
      <c r="O580" t="s">
        <v>987</v>
      </c>
      <c r="P580" t="s">
        <v>947</v>
      </c>
      <c r="Q580" t="s">
        <v>1886</v>
      </c>
      <c r="R580" t="s">
        <v>1870</v>
      </c>
      <c r="S580" t="s">
        <v>1094</v>
      </c>
      <c r="T580" t="s">
        <v>991</v>
      </c>
      <c r="U580" t="s">
        <v>1765</v>
      </c>
      <c r="V580" t="s">
        <v>934</v>
      </c>
      <c r="W580" t="s">
        <v>1195</v>
      </c>
      <c r="X580" t="s">
        <v>1310</v>
      </c>
      <c r="Y580" t="s">
        <v>1230</v>
      </c>
      <c r="Z580" t="s">
        <v>1119</v>
      </c>
      <c r="AA580" t="s">
        <v>934</v>
      </c>
      <c r="AB580" t="s">
        <v>1094</v>
      </c>
      <c r="AC580" t="s">
        <v>1064</v>
      </c>
      <c r="AD580" t="s">
        <v>1030</v>
      </c>
      <c r="AE580">
        <v>3.6999999999999993</v>
      </c>
      <c r="AF580">
        <v>3.7570000000000001</v>
      </c>
    </row>
    <row r="581" spans="1:32" x14ac:dyDescent="0.25">
      <c r="A581" s="191" t="s">
        <v>2598</v>
      </c>
      <c r="B581" t="s">
        <v>2599</v>
      </c>
      <c r="C581" t="s">
        <v>1343</v>
      </c>
      <c r="D581" t="s">
        <v>151</v>
      </c>
      <c r="E581" t="s">
        <v>93</v>
      </c>
      <c r="F581" t="s">
        <v>1067</v>
      </c>
      <c r="G581" t="s">
        <v>1717</v>
      </c>
      <c r="H581" t="s">
        <v>1126</v>
      </c>
      <c r="I581" t="s">
        <v>1008</v>
      </c>
      <c r="J581" t="s">
        <v>946</v>
      </c>
      <c r="K581" t="s">
        <v>2600</v>
      </c>
      <c r="L581" t="s">
        <v>1094</v>
      </c>
      <c r="M581" t="s">
        <v>1049</v>
      </c>
      <c r="N581" t="s">
        <v>2601</v>
      </c>
      <c r="O581" t="s">
        <v>991</v>
      </c>
      <c r="P581" t="s">
        <v>1195</v>
      </c>
      <c r="Q581" t="s">
        <v>1666</v>
      </c>
      <c r="R581" t="s">
        <v>2414</v>
      </c>
      <c r="S581" t="s">
        <v>1600</v>
      </c>
      <c r="T581" t="s">
        <v>1600</v>
      </c>
      <c r="U581" t="s">
        <v>927</v>
      </c>
      <c r="V581" t="s">
        <v>1600</v>
      </c>
      <c r="W581" t="s">
        <v>1064</v>
      </c>
      <c r="X581" t="s">
        <v>1064</v>
      </c>
      <c r="Y581" t="s">
        <v>969</v>
      </c>
      <c r="Z581" t="s">
        <v>1119</v>
      </c>
      <c r="AA581" t="s">
        <v>1119</v>
      </c>
      <c r="AB581" t="s">
        <v>1094</v>
      </c>
      <c r="AC581" t="s">
        <v>1094</v>
      </c>
      <c r="AD581" t="s">
        <v>922</v>
      </c>
      <c r="AE581">
        <v>1.6999999999999997</v>
      </c>
      <c r="AF581" t="e">
        <v>#VALUE!</v>
      </c>
    </row>
    <row r="582" spans="1:32" x14ac:dyDescent="0.25">
      <c r="A582" s="191" t="s">
        <v>2598</v>
      </c>
      <c r="B582" t="s">
        <v>2599</v>
      </c>
      <c r="C582" t="s">
        <v>1343</v>
      </c>
      <c r="D582" t="s">
        <v>1014</v>
      </c>
      <c r="E582" t="s">
        <v>93</v>
      </c>
      <c r="F582" t="s">
        <v>1083</v>
      </c>
      <c r="G582" t="s">
        <v>928</v>
      </c>
      <c r="H582" t="s">
        <v>1433</v>
      </c>
      <c r="I582" t="s">
        <v>956</v>
      </c>
      <c r="J582" t="s">
        <v>1063</v>
      </c>
      <c r="K582" t="s">
        <v>1666</v>
      </c>
      <c r="L582" t="s">
        <v>918</v>
      </c>
      <c r="M582" t="s">
        <v>964</v>
      </c>
      <c r="N582" t="s">
        <v>2259</v>
      </c>
      <c r="O582" t="s">
        <v>1064</v>
      </c>
      <c r="P582" t="s">
        <v>946</v>
      </c>
      <c r="Q582" t="s">
        <v>1556</v>
      </c>
      <c r="R582" t="s">
        <v>1538</v>
      </c>
      <c r="S582" t="s">
        <v>969</v>
      </c>
      <c r="T582" t="s">
        <v>987</v>
      </c>
      <c r="U582" t="s">
        <v>1765</v>
      </c>
      <c r="V582" t="s">
        <v>991</v>
      </c>
      <c r="W582" t="s">
        <v>1310</v>
      </c>
      <c r="X582" t="s">
        <v>1049</v>
      </c>
      <c r="Y582" t="s">
        <v>908</v>
      </c>
      <c r="Z582" t="s">
        <v>1119</v>
      </c>
      <c r="AA582" t="s">
        <v>1094</v>
      </c>
      <c r="AB582" t="s">
        <v>991</v>
      </c>
      <c r="AC582" t="s">
        <v>968</v>
      </c>
      <c r="AD582" t="s">
        <v>1291</v>
      </c>
      <c r="AE582">
        <v>5.5</v>
      </c>
      <c r="AF582">
        <v>5.5431999999999997</v>
      </c>
    </row>
    <row r="583" spans="1:32" x14ac:dyDescent="0.25">
      <c r="A583" s="191" t="s">
        <v>2602</v>
      </c>
      <c r="B583" t="s">
        <v>480</v>
      </c>
      <c r="C583" t="s">
        <v>1245</v>
      </c>
      <c r="D583" t="s">
        <v>85</v>
      </c>
      <c r="E583" t="s">
        <v>47</v>
      </c>
      <c r="F583" t="s">
        <v>1106</v>
      </c>
      <c r="G583" t="s">
        <v>1717</v>
      </c>
      <c r="H583" t="s">
        <v>1028</v>
      </c>
      <c r="I583" t="s">
        <v>1195</v>
      </c>
      <c r="J583" t="s">
        <v>1155</v>
      </c>
      <c r="K583" t="s">
        <v>1756</v>
      </c>
      <c r="L583" t="s">
        <v>1064</v>
      </c>
      <c r="M583" t="s">
        <v>1135</v>
      </c>
      <c r="N583" t="s">
        <v>1798</v>
      </c>
      <c r="O583" t="s">
        <v>934</v>
      </c>
      <c r="P583" t="s">
        <v>987</v>
      </c>
      <c r="Q583" t="s">
        <v>2152</v>
      </c>
      <c r="R583" t="s">
        <v>1845</v>
      </c>
      <c r="S583" t="s">
        <v>1600</v>
      </c>
      <c r="T583" t="s">
        <v>1600</v>
      </c>
      <c r="U583" t="s">
        <v>927</v>
      </c>
      <c r="V583" t="s">
        <v>1600</v>
      </c>
      <c r="W583" t="s">
        <v>1008</v>
      </c>
      <c r="X583" t="s">
        <v>1008</v>
      </c>
      <c r="Y583" t="s">
        <v>987</v>
      </c>
      <c r="Z583" t="s">
        <v>1119</v>
      </c>
      <c r="AA583" t="s">
        <v>1119</v>
      </c>
      <c r="AB583" t="s">
        <v>934</v>
      </c>
      <c r="AC583" t="s">
        <v>991</v>
      </c>
      <c r="AD583" t="s">
        <v>1030</v>
      </c>
      <c r="AE583">
        <v>3.7</v>
      </c>
      <c r="AF583" t="e">
        <v>#VALUE!</v>
      </c>
    </row>
    <row r="584" spans="1:32" x14ac:dyDescent="0.25">
      <c r="A584" s="194" t="s">
        <v>2603</v>
      </c>
      <c r="B584" t="s">
        <v>2604</v>
      </c>
      <c r="C584" t="s">
        <v>1068</v>
      </c>
      <c r="D584" t="s">
        <v>148</v>
      </c>
      <c r="E584" t="s">
        <v>72</v>
      </c>
      <c r="F584" t="s">
        <v>1410</v>
      </c>
      <c r="G584" t="s">
        <v>1031</v>
      </c>
      <c r="H584" t="s">
        <v>1815</v>
      </c>
      <c r="I584" t="s">
        <v>1029</v>
      </c>
      <c r="J584" t="s">
        <v>993</v>
      </c>
      <c r="K584" t="s">
        <v>2028</v>
      </c>
      <c r="L584" t="s">
        <v>1600</v>
      </c>
      <c r="M584" t="s">
        <v>1600</v>
      </c>
      <c r="N584" t="s">
        <v>927</v>
      </c>
      <c r="O584" t="s">
        <v>1029</v>
      </c>
      <c r="P584" t="s">
        <v>993</v>
      </c>
      <c r="Q584" t="s">
        <v>2028</v>
      </c>
      <c r="R584" t="s">
        <v>2028</v>
      </c>
      <c r="S584" t="s">
        <v>1065</v>
      </c>
      <c r="T584" t="s">
        <v>1064</v>
      </c>
      <c r="U584" t="s">
        <v>1863</v>
      </c>
      <c r="V584" t="s">
        <v>1310</v>
      </c>
      <c r="W584" t="s">
        <v>992</v>
      </c>
      <c r="X584" t="s">
        <v>1005</v>
      </c>
      <c r="Y584" t="s">
        <v>918</v>
      </c>
      <c r="Z584" t="s">
        <v>1094</v>
      </c>
      <c r="AA584" t="s">
        <v>1065</v>
      </c>
      <c r="AB584" t="s">
        <v>1008</v>
      </c>
      <c r="AC584" t="s">
        <v>1195</v>
      </c>
      <c r="AD584" t="s">
        <v>1030</v>
      </c>
      <c r="AE584">
        <v>3.7</v>
      </c>
      <c r="AF584" t="e">
        <v>#VALUE!</v>
      </c>
    </row>
    <row r="585" spans="1:32" x14ac:dyDescent="0.25">
      <c r="A585" s="191" t="s">
        <v>2605</v>
      </c>
      <c r="B585" t="s">
        <v>487</v>
      </c>
      <c r="C585" t="s">
        <v>1084</v>
      </c>
      <c r="D585" t="s">
        <v>85</v>
      </c>
      <c r="E585" t="s">
        <v>56</v>
      </c>
      <c r="F585" t="s">
        <v>1177</v>
      </c>
      <c r="G585" t="s">
        <v>901</v>
      </c>
      <c r="H585" t="s">
        <v>1040</v>
      </c>
      <c r="I585" t="s">
        <v>1230</v>
      </c>
      <c r="J585" t="s">
        <v>1220</v>
      </c>
      <c r="K585" t="s">
        <v>1308</v>
      </c>
      <c r="L585" t="s">
        <v>991</v>
      </c>
      <c r="M585" t="s">
        <v>918</v>
      </c>
      <c r="N585" t="s">
        <v>1018</v>
      </c>
      <c r="O585" t="s">
        <v>923</v>
      </c>
      <c r="P585" t="s">
        <v>968</v>
      </c>
      <c r="Q585" t="s">
        <v>1656</v>
      </c>
      <c r="R585" t="s">
        <v>2117</v>
      </c>
      <c r="S585" t="s">
        <v>1065</v>
      </c>
      <c r="T585" t="s">
        <v>969</v>
      </c>
      <c r="U585" t="s">
        <v>2200</v>
      </c>
      <c r="V585" t="s">
        <v>991</v>
      </c>
      <c r="W585" t="s">
        <v>918</v>
      </c>
      <c r="X585" t="s">
        <v>1195</v>
      </c>
      <c r="Y585" t="s">
        <v>1230</v>
      </c>
      <c r="Z585" t="s">
        <v>1094</v>
      </c>
      <c r="AA585" t="s">
        <v>1094</v>
      </c>
      <c r="AB585" t="s">
        <v>1008</v>
      </c>
      <c r="AC585" t="s">
        <v>1065</v>
      </c>
      <c r="AD585" t="s">
        <v>1030</v>
      </c>
      <c r="AE585">
        <v>3.7</v>
      </c>
      <c r="AF585">
        <v>3.6084000000000005</v>
      </c>
    </row>
    <row r="586" spans="1:32" x14ac:dyDescent="0.25">
      <c r="A586" s="191" t="s">
        <v>2421</v>
      </c>
      <c r="B586" t="s">
        <v>2422</v>
      </c>
      <c r="C586" t="s">
        <v>1015</v>
      </c>
      <c r="D586" t="s">
        <v>65</v>
      </c>
      <c r="E586" t="s">
        <v>56</v>
      </c>
      <c r="F586" t="s">
        <v>1070</v>
      </c>
      <c r="G586" t="s">
        <v>949</v>
      </c>
      <c r="H586" t="s">
        <v>1244</v>
      </c>
      <c r="I586" t="s">
        <v>1049</v>
      </c>
      <c r="J586" t="s">
        <v>1170</v>
      </c>
      <c r="K586" t="s">
        <v>1088</v>
      </c>
      <c r="L586" t="s">
        <v>945</v>
      </c>
      <c r="M586" t="s">
        <v>964</v>
      </c>
      <c r="N586" t="s">
        <v>1686</v>
      </c>
      <c r="O586" t="s">
        <v>1008</v>
      </c>
      <c r="P586" t="s">
        <v>1230</v>
      </c>
      <c r="Q586" t="s">
        <v>1208</v>
      </c>
      <c r="R586" t="s">
        <v>913</v>
      </c>
      <c r="S586" t="s">
        <v>1065</v>
      </c>
      <c r="T586" t="s">
        <v>1008</v>
      </c>
      <c r="U586" t="s">
        <v>1243</v>
      </c>
      <c r="V586" t="s">
        <v>934</v>
      </c>
      <c r="W586" t="s">
        <v>923</v>
      </c>
      <c r="X586" t="s">
        <v>1195</v>
      </c>
      <c r="Y586" t="s">
        <v>1195</v>
      </c>
      <c r="Z586" t="s">
        <v>1094</v>
      </c>
      <c r="AA586" t="s">
        <v>934</v>
      </c>
      <c r="AB586" t="s">
        <v>969</v>
      </c>
      <c r="AC586" t="s">
        <v>923</v>
      </c>
      <c r="AD586" t="s">
        <v>1291</v>
      </c>
      <c r="AE586">
        <v>5.5</v>
      </c>
      <c r="AF586">
        <v>5.4904999999999999</v>
      </c>
    </row>
    <row r="587" spans="1:32" x14ac:dyDescent="0.25">
      <c r="A587" s="191" t="s">
        <v>2608</v>
      </c>
      <c r="B587" t="s">
        <v>2609</v>
      </c>
      <c r="C587" t="s">
        <v>1245</v>
      </c>
      <c r="D587" t="s">
        <v>70</v>
      </c>
      <c r="E587" t="s">
        <v>63</v>
      </c>
      <c r="F587" t="s">
        <v>1165</v>
      </c>
      <c r="G587" t="s">
        <v>1717</v>
      </c>
      <c r="H587" t="s">
        <v>931</v>
      </c>
      <c r="I587" t="s">
        <v>1230</v>
      </c>
      <c r="J587" t="s">
        <v>1048</v>
      </c>
      <c r="K587" t="s">
        <v>1718</v>
      </c>
      <c r="L587" t="s">
        <v>1094</v>
      </c>
      <c r="M587" t="s">
        <v>923</v>
      </c>
      <c r="N587" t="s">
        <v>1650</v>
      </c>
      <c r="O587" t="s">
        <v>1064</v>
      </c>
      <c r="P587" t="s">
        <v>925</v>
      </c>
      <c r="Q587" t="s">
        <v>1131</v>
      </c>
      <c r="R587" t="s">
        <v>1300</v>
      </c>
      <c r="S587" t="s">
        <v>1008</v>
      </c>
      <c r="T587" t="s">
        <v>1064</v>
      </c>
      <c r="U587" t="s">
        <v>2074</v>
      </c>
      <c r="V587" t="s">
        <v>1094</v>
      </c>
      <c r="W587" t="s">
        <v>987</v>
      </c>
      <c r="X587" t="s">
        <v>1064</v>
      </c>
      <c r="Y587" t="s">
        <v>956</v>
      </c>
      <c r="Z587" t="s">
        <v>969</v>
      </c>
      <c r="AA587" t="s">
        <v>1119</v>
      </c>
      <c r="AB587" t="s">
        <v>918</v>
      </c>
      <c r="AC587" t="s">
        <v>987</v>
      </c>
      <c r="AD587" t="s">
        <v>1030</v>
      </c>
      <c r="AE587">
        <v>3.8</v>
      </c>
      <c r="AF587">
        <v>3.7643000000000004</v>
      </c>
    </row>
    <row r="588" spans="1:32" x14ac:dyDescent="0.25">
      <c r="A588" s="191" t="s">
        <v>2610</v>
      </c>
      <c r="B588" t="s">
        <v>2611</v>
      </c>
      <c r="C588" t="s">
        <v>995</v>
      </c>
      <c r="D588" t="s">
        <v>974</v>
      </c>
      <c r="E588" t="s">
        <v>93</v>
      </c>
      <c r="F588" t="s">
        <v>1238</v>
      </c>
      <c r="G588" t="s">
        <v>1717</v>
      </c>
      <c r="H588" t="s">
        <v>1236</v>
      </c>
      <c r="I588" t="s">
        <v>1195</v>
      </c>
      <c r="J588" t="s">
        <v>1135</v>
      </c>
      <c r="K588" t="s">
        <v>2040</v>
      </c>
      <c r="L588" t="s">
        <v>1094</v>
      </c>
      <c r="M588" t="s">
        <v>1064</v>
      </c>
      <c r="N588" t="s">
        <v>1785</v>
      </c>
      <c r="O588" t="s">
        <v>923</v>
      </c>
      <c r="P588" t="s">
        <v>1049</v>
      </c>
      <c r="Q588" t="s">
        <v>1131</v>
      </c>
      <c r="R588" t="s">
        <v>1426</v>
      </c>
      <c r="S588" t="s">
        <v>987</v>
      </c>
      <c r="T588" t="s">
        <v>1064</v>
      </c>
      <c r="U588" t="s">
        <v>2121</v>
      </c>
      <c r="V588" t="s">
        <v>923</v>
      </c>
      <c r="W588" t="s">
        <v>1230</v>
      </c>
      <c r="X588" t="s">
        <v>924</v>
      </c>
      <c r="Y588" t="s">
        <v>1094</v>
      </c>
      <c r="Z588" t="s">
        <v>991</v>
      </c>
      <c r="AA588" t="s">
        <v>1065</v>
      </c>
      <c r="AB588" t="s">
        <v>1065</v>
      </c>
      <c r="AC588" t="s">
        <v>918</v>
      </c>
      <c r="AD588" t="s">
        <v>992</v>
      </c>
      <c r="AE588">
        <v>3.7</v>
      </c>
      <c r="AF588">
        <v>3.5939999999999999</v>
      </c>
    </row>
    <row r="589" spans="1:32" x14ac:dyDescent="0.25">
      <c r="A589" s="191" t="s">
        <v>2610</v>
      </c>
      <c r="B589" t="s">
        <v>2611</v>
      </c>
      <c r="C589" t="s">
        <v>995</v>
      </c>
      <c r="D589" t="s">
        <v>85</v>
      </c>
      <c r="E589" t="s">
        <v>93</v>
      </c>
      <c r="F589" t="s">
        <v>1096</v>
      </c>
      <c r="G589" t="s">
        <v>1717</v>
      </c>
      <c r="H589" t="s">
        <v>957</v>
      </c>
      <c r="I589" t="s">
        <v>923</v>
      </c>
      <c r="J589" t="s">
        <v>922</v>
      </c>
      <c r="K589" t="s">
        <v>1836</v>
      </c>
      <c r="L589" t="s">
        <v>1094</v>
      </c>
      <c r="M589" t="s">
        <v>1008</v>
      </c>
      <c r="N589" t="s">
        <v>1131</v>
      </c>
      <c r="O589" t="s">
        <v>1008</v>
      </c>
      <c r="P589" t="s">
        <v>923</v>
      </c>
      <c r="Q589" t="s">
        <v>1696</v>
      </c>
      <c r="R589" t="s">
        <v>2333</v>
      </c>
      <c r="S589" t="s">
        <v>987</v>
      </c>
      <c r="T589" t="s">
        <v>918</v>
      </c>
      <c r="U589" t="s">
        <v>1270</v>
      </c>
      <c r="V589" t="s">
        <v>1094</v>
      </c>
      <c r="W589" t="s">
        <v>1094</v>
      </c>
      <c r="X589" t="s">
        <v>1008</v>
      </c>
      <c r="Y589" t="s">
        <v>1119</v>
      </c>
      <c r="Z589" t="s">
        <v>934</v>
      </c>
      <c r="AA589" t="s">
        <v>1094</v>
      </c>
      <c r="AB589" t="s">
        <v>1008</v>
      </c>
      <c r="AC589" t="s">
        <v>1008</v>
      </c>
      <c r="AD589" t="s">
        <v>946</v>
      </c>
      <c r="AE589">
        <v>3.0999999999999996</v>
      </c>
      <c r="AF589">
        <v>3.1715</v>
      </c>
    </row>
    <row r="590" spans="1:32" x14ac:dyDescent="0.25">
      <c r="A590" s="191" t="s">
        <v>2610</v>
      </c>
      <c r="B590" t="s">
        <v>2611</v>
      </c>
      <c r="C590" t="s">
        <v>995</v>
      </c>
      <c r="D590" t="s">
        <v>77</v>
      </c>
      <c r="E590" t="s">
        <v>93</v>
      </c>
      <c r="F590" t="s">
        <v>1121</v>
      </c>
      <c r="G590" t="s">
        <v>1717</v>
      </c>
      <c r="H590" t="s">
        <v>1304</v>
      </c>
      <c r="I590" t="s">
        <v>1310</v>
      </c>
      <c r="J590" t="s">
        <v>1228</v>
      </c>
      <c r="K590" t="s">
        <v>1870</v>
      </c>
      <c r="L590" t="s">
        <v>1094</v>
      </c>
      <c r="M590" t="s">
        <v>1230</v>
      </c>
      <c r="N590" t="s">
        <v>2251</v>
      </c>
      <c r="O590" t="s">
        <v>945</v>
      </c>
      <c r="P590" t="s">
        <v>1012</v>
      </c>
      <c r="Q590" t="s">
        <v>1168</v>
      </c>
      <c r="R590" t="s">
        <v>1686</v>
      </c>
      <c r="S590" t="s">
        <v>1008</v>
      </c>
      <c r="T590" t="s">
        <v>1195</v>
      </c>
      <c r="U590" t="s">
        <v>913</v>
      </c>
      <c r="V590" t="s">
        <v>1310</v>
      </c>
      <c r="W590" t="s">
        <v>947</v>
      </c>
      <c r="X590" t="s">
        <v>1155</v>
      </c>
      <c r="Y590" t="s">
        <v>1065</v>
      </c>
      <c r="Z590" t="s">
        <v>1065</v>
      </c>
      <c r="AA590" t="s">
        <v>1065</v>
      </c>
      <c r="AB590" t="s">
        <v>1094</v>
      </c>
      <c r="AC590" t="s">
        <v>923</v>
      </c>
      <c r="AD590" t="s">
        <v>1160</v>
      </c>
      <c r="AE590">
        <v>4</v>
      </c>
      <c r="AF590">
        <v>3.9119000000000002</v>
      </c>
    </row>
    <row r="591" spans="1:32" x14ac:dyDescent="0.25">
      <c r="A591" s="191" t="s">
        <v>2612</v>
      </c>
      <c r="B591" t="s">
        <v>2613</v>
      </c>
      <c r="C591" t="s">
        <v>1084</v>
      </c>
      <c r="D591" t="s">
        <v>113</v>
      </c>
      <c r="E591" t="s">
        <v>63</v>
      </c>
      <c r="F591" t="s">
        <v>1176</v>
      </c>
      <c r="G591" t="s">
        <v>928</v>
      </c>
      <c r="H591" t="s">
        <v>1113</v>
      </c>
      <c r="I591" t="s">
        <v>1195</v>
      </c>
      <c r="J591" t="s">
        <v>979</v>
      </c>
      <c r="K591" t="s">
        <v>1425</v>
      </c>
      <c r="L591" t="s">
        <v>987</v>
      </c>
      <c r="M591" t="s">
        <v>1012</v>
      </c>
      <c r="N591" t="s">
        <v>2305</v>
      </c>
      <c r="O591" t="s">
        <v>991</v>
      </c>
      <c r="P591" t="s">
        <v>918</v>
      </c>
      <c r="Q591" t="s">
        <v>999</v>
      </c>
      <c r="R591" t="s">
        <v>1205</v>
      </c>
      <c r="S591" t="s">
        <v>1094</v>
      </c>
      <c r="T591" t="s">
        <v>991</v>
      </c>
      <c r="U591" t="s">
        <v>2049</v>
      </c>
      <c r="V591" t="s">
        <v>969</v>
      </c>
      <c r="W591" t="s">
        <v>1310</v>
      </c>
      <c r="X591" t="s">
        <v>908</v>
      </c>
      <c r="Y591" t="s">
        <v>1064</v>
      </c>
      <c r="Z591" t="s">
        <v>1065</v>
      </c>
      <c r="AA591" t="s">
        <v>1119</v>
      </c>
      <c r="AB591" t="s">
        <v>991</v>
      </c>
      <c r="AC591" t="s">
        <v>1008</v>
      </c>
      <c r="AD591" t="s">
        <v>992</v>
      </c>
      <c r="AE591">
        <v>3.7</v>
      </c>
      <c r="AF591">
        <v>3.6078000000000001</v>
      </c>
    </row>
    <row r="592" spans="1:32" x14ac:dyDescent="0.25">
      <c r="A592" s="191" t="s">
        <v>2423</v>
      </c>
      <c r="B592" t="s">
        <v>2424</v>
      </c>
      <c r="C592" t="s">
        <v>1384</v>
      </c>
      <c r="D592" t="s">
        <v>65</v>
      </c>
      <c r="E592" t="s">
        <v>93</v>
      </c>
      <c r="F592" t="s">
        <v>1204</v>
      </c>
      <c r="G592" t="s">
        <v>949</v>
      </c>
      <c r="H592" t="s">
        <v>1113</v>
      </c>
      <c r="I592" t="s">
        <v>1049</v>
      </c>
      <c r="J592" t="s">
        <v>1155</v>
      </c>
      <c r="K592" t="s">
        <v>1340</v>
      </c>
      <c r="L592" t="s">
        <v>918</v>
      </c>
      <c r="M592" t="s">
        <v>993</v>
      </c>
      <c r="N592" t="s">
        <v>1798</v>
      </c>
      <c r="O592" t="s">
        <v>923</v>
      </c>
      <c r="P592" t="s">
        <v>1195</v>
      </c>
      <c r="Q592" t="s">
        <v>1972</v>
      </c>
      <c r="R592" t="s">
        <v>2103</v>
      </c>
      <c r="S592" t="s">
        <v>1008</v>
      </c>
      <c r="T592" t="s">
        <v>987</v>
      </c>
      <c r="U592" t="s">
        <v>2425</v>
      </c>
      <c r="V592" t="s">
        <v>1094</v>
      </c>
      <c r="W592" t="s">
        <v>1310</v>
      </c>
      <c r="X592" t="s">
        <v>968</v>
      </c>
      <c r="Y592" t="s">
        <v>969</v>
      </c>
      <c r="Z592" t="s">
        <v>934</v>
      </c>
      <c r="AA592" t="s">
        <v>1119</v>
      </c>
      <c r="AB592" t="s">
        <v>1094</v>
      </c>
      <c r="AC592" t="s">
        <v>923</v>
      </c>
      <c r="AD592" t="s">
        <v>1329</v>
      </c>
      <c r="AE592">
        <v>5.4</v>
      </c>
      <c r="AF592">
        <v>5.3800999999999997</v>
      </c>
    </row>
    <row r="593" spans="1:32" x14ac:dyDescent="0.25">
      <c r="A593" s="191" t="s">
        <v>2616</v>
      </c>
      <c r="B593" t="s">
        <v>481</v>
      </c>
      <c r="C593" t="s">
        <v>995</v>
      </c>
      <c r="D593" t="s">
        <v>85</v>
      </c>
      <c r="E593" t="s">
        <v>63</v>
      </c>
      <c r="F593" t="s">
        <v>1150</v>
      </c>
      <c r="G593" t="s">
        <v>949</v>
      </c>
      <c r="H593" t="s">
        <v>980</v>
      </c>
      <c r="I593" t="s">
        <v>1230</v>
      </c>
      <c r="J593" t="s">
        <v>1048</v>
      </c>
      <c r="K593" t="s">
        <v>1075</v>
      </c>
      <c r="L593" t="s">
        <v>991</v>
      </c>
      <c r="M593" t="s">
        <v>945</v>
      </c>
      <c r="N593" t="s">
        <v>1726</v>
      </c>
      <c r="O593" t="s">
        <v>918</v>
      </c>
      <c r="P593" t="s">
        <v>1049</v>
      </c>
      <c r="Q593" t="s">
        <v>1200</v>
      </c>
      <c r="R593" t="s">
        <v>1587</v>
      </c>
      <c r="S593" t="s">
        <v>991</v>
      </c>
      <c r="T593" t="s">
        <v>1065</v>
      </c>
      <c r="U593" t="s">
        <v>1616</v>
      </c>
      <c r="V593" t="s">
        <v>987</v>
      </c>
      <c r="W593" t="s">
        <v>1195</v>
      </c>
      <c r="X593" t="s">
        <v>956</v>
      </c>
      <c r="Y593" t="s">
        <v>918</v>
      </c>
      <c r="Z593" t="s">
        <v>1094</v>
      </c>
      <c r="AA593" t="s">
        <v>1119</v>
      </c>
      <c r="AB593" t="s">
        <v>969</v>
      </c>
      <c r="AC593" t="s">
        <v>1064</v>
      </c>
      <c r="AD593" t="s">
        <v>992</v>
      </c>
      <c r="AE593">
        <v>3.6</v>
      </c>
      <c r="AF593">
        <v>3.5739999999999998</v>
      </c>
    </row>
    <row r="594" spans="1:32" x14ac:dyDescent="0.25">
      <c r="A594" s="191" t="s">
        <v>2617</v>
      </c>
      <c r="B594" t="s">
        <v>2618</v>
      </c>
      <c r="C594" t="s">
        <v>929</v>
      </c>
      <c r="D594" t="s">
        <v>974</v>
      </c>
      <c r="E594" t="s">
        <v>56</v>
      </c>
      <c r="F594" t="s">
        <v>1084</v>
      </c>
      <c r="G594" t="s">
        <v>1096</v>
      </c>
      <c r="H594" t="s">
        <v>1153</v>
      </c>
      <c r="I594" t="s">
        <v>922</v>
      </c>
      <c r="J594" t="s">
        <v>1005</v>
      </c>
      <c r="K594" t="s">
        <v>1359</v>
      </c>
      <c r="L594" t="s">
        <v>1600</v>
      </c>
      <c r="M594" t="s">
        <v>1094</v>
      </c>
      <c r="N594" t="s">
        <v>2388</v>
      </c>
      <c r="O594" t="s">
        <v>1029</v>
      </c>
      <c r="P594" t="s">
        <v>1134</v>
      </c>
      <c r="Q594" t="s">
        <v>2329</v>
      </c>
      <c r="R594" t="s">
        <v>1142</v>
      </c>
      <c r="S594" t="s">
        <v>934</v>
      </c>
      <c r="T594" t="s">
        <v>1094</v>
      </c>
      <c r="U594" t="s">
        <v>913</v>
      </c>
      <c r="V594" t="s">
        <v>969</v>
      </c>
      <c r="W594" t="s">
        <v>1220</v>
      </c>
      <c r="X594" t="s">
        <v>970</v>
      </c>
      <c r="Y594" t="s">
        <v>1116</v>
      </c>
      <c r="Z594" t="s">
        <v>923</v>
      </c>
      <c r="AA594" t="s">
        <v>1065</v>
      </c>
      <c r="AB594" t="s">
        <v>993</v>
      </c>
      <c r="AC594" t="s">
        <v>1310</v>
      </c>
      <c r="AD594" t="s">
        <v>979</v>
      </c>
      <c r="AE594">
        <v>3.6</v>
      </c>
      <c r="AF594">
        <v>3.5472000000000001</v>
      </c>
    </row>
    <row r="595" spans="1:32" x14ac:dyDescent="0.25">
      <c r="A595" s="191" t="s">
        <v>2617</v>
      </c>
      <c r="B595" t="s">
        <v>2618</v>
      </c>
      <c r="C595" t="s">
        <v>929</v>
      </c>
      <c r="D595" t="s">
        <v>83</v>
      </c>
      <c r="E595" t="s">
        <v>56</v>
      </c>
      <c r="F595" t="s">
        <v>1222</v>
      </c>
      <c r="G595" t="s">
        <v>1067</v>
      </c>
      <c r="H595" t="s">
        <v>1383</v>
      </c>
      <c r="I595" t="s">
        <v>908</v>
      </c>
      <c r="J595" t="s">
        <v>1092</v>
      </c>
      <c r="K595" t="s">
        <v>2023</v>
      </c>
      <c r="L595" t="s">
        <v>1119</v>
      </c>
      <c r="M595" t="s">
        <v>1094</v>
      </c>
      <c r="N595" t="s">
        <v>2388</v>
      </c>
      <c r="O595" t="s">
        <v>956</v>
      </c>
      <c r="P595" t="s">
        <v>1043</v>
      </c>
      <c r="Q595" t="s">
        <v>1019</v>
      </c>
      <c r="R595" t="s">
        <v>1909</v>
      </c>
      <c r="S595" t="s">
        <v>934</v>
      </c>
      <c r="T595" t="s">
        <v>991</v>
      </c>
      <c r="U595" t="s">
        <v>913</v>
      </c>
      <c r="V595" t="s">
        <v>987</v>
      </c>
      <c r="W595" t="s">
        <v>964</v>
      </c>
      <c r="X595" t="s">
        <v>1030</v>
      </c>
      <c r="Y595" t="s">
        <v>1027</v>
      </c>
      <c r="Z595" t="s">
        <v>923</v>
      </c>
      <c r="AA595" t="s">
        <v>991</v>
      </c>
      <c r="AB595" t="s">
        <v>964</v>
      </c>
      <c r="AC595" t="s">
        <v>1195</v>
      </c>
      <c r="AD595" t="s">
        <v>1103</v>
      </c>
      <c r="AE595">
        <v>4.5</v>
      </c>
      <c r="AF595">
        <v>4.3960999999999997</v>
      </c>
    </row>
    <row r="596" spans="1:32" x14ac:dyDescent="0.25">
      <c r="A596" s="191" t="s">
        <v>2617</v>
      </c>
      <c r="B596" t="s">
        <v>2618</v>
      </c>
      <c r="C596" t="s">
        <v>929</v>
      </c>
      <c r="D596" t="s">
        <v>1149</v>
      </c>
      <c r="E596" t="s">
        <v>56</v>
      </c>
      <c r="F596" t="s">
        <v>1051</v>
      </c>
      <c r="G596" t="s">
        <v>928</v>
      </c>
      <c r="H596" t="s">
        <v>977</v>
      </c>
      <c r="I596" t="s">
        <v>1065</v>
      </c>
      <c r="J596" t="s">
        <v>979</v>
      </c>
      <c r="K596" t="s">
        <v>2486</v>
      </c>
      <c r="L596" t="s">
        <v>1600</v>
      </c>
      <c r="M596" t="s">
        <v>1600</v>
      </c>
      <c r="N596" t="s">
        <v>927</v>
      </c>
      <c r="O596" t="s">
        <v>1065</v>
      </c>
      <c r="P596" t="s">
        <v>979</v>
      </c>
      <c r="Q596" t="s">
        <v>2486</v>
      </c>
      <c r="R596" t="s">
        <v>2486</v>
      </c>
      <c r="S596" t="s">
        <v>1600</v>
      </c>
      <c r="T596" t="s">
        <v>1600</v>
      </c>
      <c r="U596" t="s">
        <v>927</v>
      </c>
      <c r="V596" t="s">
        <v>934</v>
      </c>
      <c r="W596" t="s">
        <v>956</v>
      </c>
      <c r="X596" t="s">
        <v>925</v>
      </c>
      <c r="Y596" t="s">
        <v>970</v>
      </c>
      <c r="Z596" t="s">
        <v>923</v>
      </c>
      <c r="AA596" t="s">
        <v>1065</v>
      </c>
      <c r="AB596" t="s">
        <v>945</v>
      </c>
      <c r="AC596" t="s">
        <v>956</v>
      </c>
      <c r="AD596" t="s">
        <v>923</v>
      </c>
      <c r="AE596">
        <v>1</v>
      </c>
      <c r="AF596" t="e">
        <v>#VALUE!</v>
      </c>
    </row>
    <row r="597" spans="1:32" x14ac:dyDescent="0.25">
      <c r="A597" s="191" t="s">
        <v>2619</v>
      </c>
      <c r="B597" t="s">
        <v>2620</v>
      </c>
      <c r="C597" t="s">
        <v>902</v>
      </c>
      <c r="D597" t="s">
        <v>102</v>
      </c>
      <c r="E597" t="s">
        <v>72</v>
      </c>
      <c r="F597" t="s">
        <v>1390</v>
      </c>
      <c r="G597" t="s">
        <v>1717</v>
      </c>
      <c r="H597" t="s">
        <v>1092</v>
      </c>
      <c r="I597" t="s">
        <v>1195</v>
      </c>
      <c r="J597" t="s">
        <v>1220</v>
      </c>
      <c r="K597" t="s">
        <v>1451</v>
      </c>
      <c r="L597" t="s">
        <v>1094</v>
      </c>
      <c r="M597" t="s">
        <v>918</v>
      </c>
      <c r="N597" t="s">
        <v>2309</v>
      </c>
      <c r="O597" t="s">
        <v>1064</v>
      </c>
      <c r="P597" t="s">
        <v>968</v>
      </c>
      <c r="Q597" t="s">
        <v>1325</v>
      </c>
      <c r="R597" t="s">
        <v>1396</v>
      </c>
      <c r="S597" t="s">
        <v>969</v>
      </c>
      <c r="T597" t="s">
        <v>918</v>
      </c>
      <c r="U597" t="s">
        <v>2082</v>
      </c>
      <c r="V597" t="s">
        <v>987</v>
      </c>
      <c r="W597" t="s">
        <v>969</v>
      </c>
      <c r="X597" t="s">
        <v>1230</v>
      </c>
      <c r="Y597" t="s">
        <v>1094</v>
      </c>
      <c r="Z597" t="s">
        <v>934</v>
      </c>
      <c r="AA597" t="s">
        <v>1119</v>
      </c>
      <c r="AB597" t="s">
        <v>1094</v>
      </c>
      <c r="AC597" t="s">
        <v>1008</v>
      </c>
      <c r="AD597" t="s">
        <v>979</v>
      </c>
      <c r="AE597">
        <v>3.5</v>
      </c>
      <c r="AF597">
        <v>3.5604000000000005</v>
      </c>
    </row>
    <row r="598" spans="1:32" x14ac:dyDescent="0.25">
      <c r="A598" s="191" t="s">
        <v>2621</v>
      </c>
      <c r="B598" t="s">
        <v>336</v>
      </c>
      <c r="C598" t="s">
        <v>1355</v>
      </c>
      <c r="D598" t="s">
        <v>142</v>
      </c>
      <c r="E598" t="s">
        <v>56</v>
      </c>
      <c r="F598" t="s">
        <v>975</v>
      </c>
      <c r="G598" t="s">
        <v>1202</v>
      </c>
      <c r="H598" t="s">
        <v>1241</v>
      </c>
      <c r="I598" t="s">
        <v>945</v>
      </c>
      <c r="J598" t="s">
        <v>946</v>
      </c>
      <c r="K598" t="s">
        <v>1424</v>
      </c>
      <c r="L598" t="s">
        <v>987</v>
      </c>
      <c r="M598" t="s">
        <v>908</v>
      </c>
      <c r="N598" t="s">
        <v>1870</v>
      </c>
      <c r="O598" t="s">
        <v>1065</v>
      </c>
      <c r="P598" t="s">
        <v>918</v>
      </c>
      <c r="Q598" t="s">
        <v>1629</v>
      </c>
      <c r="R598" t="s">
        <v>1352</v>
      </c>
      <c r="S598" t="s">
        <v>1094</v>
      </c>
      <c r="T598" t="s">
        <v>991</v>
      </c>
      <c r="U598" t="s">
        <v>1864</v>
      </c>
      <c r="V598" t="s">
        <v>1094</v>
      </c>
      <c r="W598" t="s">
        <v>1064</v>
      </c>
      <c r="X598" t="s">
        <v>1310</v>
      </c>
      <c r="Y598" t="s">
        <v>1230</v>
      </c>
      <c r="Z598" t="s">
        <v>1065</v>
      </c>
      <c r="AA598" t="s">
        <v>1119</v>
      </c>
      <c r="AB598" t="s">
        <v>991</v>
      </c>
      <c r="AC598" t="s">
        <v>923</v>
      </c>
      <c r="AD598" t="s">
        <v>979</v>
      </c>
      <c r="AE598">
        <v>3.5</v>
      </c>
      <c r="AF598">
        <v>3.5823999999999994</v>
      </c>
    </row>
    <row r="599" spans="1:32" x14ac:dyDescent="0.25">
      <c r="A599" s="191" t="s">
        <v>2622</v>
      </c>
      <c r="B599" t="s">
        <v>2623</v>
      </c>
      <c r="C599" t="s">
        <v>1355</v>
      </c>
      <c r="D599" t="s">
        <v>121</v>
      </c>
      <c r="E599" t="s">
        <v>47</v>
      </c>
      <c r="F599" t="s">
        <v>1187</v>
      </c>
      <c r="G599" t="s">
        <v>949</v>
      </c>
      <c r="H599" t="s">
        <v>1027</v>
      </c>
      <c r="I599" t="s">
        <v>945</v>
      </c>
      <c r="J599" t="s">
        <v>1104</v>
      </c>
      <c r="K599" t="s">
        <v>1908</v>
      </c>
      <c r="L599" t="s">
        <v>923</v>
      </c>
      <c r="M599" t="s">
        <v>924</v>
      </c>
      <c r="N599" t="s">
        <v>1659</v>
      </c>
      <c r="O599" t="s">
        <v>1119</v>
      </c>
      <c r="P599" t="s">
        <v>991</v>
      </c>
      <c r="Q599" t="s">
        <v>910</v>
      </c>
      <c r="R599" t="s">
        <v>2169</v>
      </c>
      <c r="S599" t="s">
        <v>1119</v>
      </c>
      <c r="T599" t="s">
        <v>1119</v>
      </c>
      <c r="U599" t="s">
        <v>1836</v>
      </c>
      <c r="V599" t="s">
        <v>1119</v>
      </c>
      <c r="W599" t="s">
        <v>1065</v>
      </c>
      <c r="X599" t="s">
        <v>1065</v>
      </c>
      <c r="Y599" t="s">
        <v>934</v>
      </c>
      <c r="Z599" t="s">
        <v>1119</v>
      </c>
      <c r="AA599" t="s">
        <v>1600</v>
      </c>
      <c r="AB599" t="s">
        <v>1119</v>
      </c>
      <c r="AC599" t="s">
        <v>1008</v>
      </c>
      <c r="AD599" t="s">
        <v>979</v>
      </c>
      <c r="AE599">
        <v>3.5</v>
      </c>
      <c r="AF599">
        <v>3.4991999999999996</v>
      </c>
    </row>
    <row r="600" spans="1:32" x14ac:dyDescent="0.25">
      <c r="A600" s="191" t="s">
        <v>2624</v>
      </c>
      <c r="B600" t="s">
        <v>2625</v>
      </c>
      <c r="C600" t="s">
        <v>929</v>
      </c>
      <c r="D600" t="s">
        <v>148</v>
      </c>
      <c r="E600" t="s">
        <v>72</v>
      </c>
      <c r="F600" t="s">
        <v>1202</v>
      </c>
      <c r="G600" t="s">
        <v>972</v>
      </c>
      <c r="H600" t="s">
        <v>1508</v>
      </c>
      <c r="I600" t="s">
        <v>1195</v>
      </c>
      <c r="J600" t="s">
        <v>992</v>
      </c>
      <c r="K600" t="s">
        <v>1620</v>
      </c>
      <c r="L600" t="s">
        <v>991</v>
      </c>
      <c r="M600" t="s">
        <v>1029</v>
      </c>
      <c r="N600" t="s">
        <v>2626</v>
      </c>
      <c r="O600" t="s">
        <v>918</v>
      </c>
      <c r="P600" t="s">
        <v>956</v>
      </c>
      <c r="Q600" t="s">
        <v>1018</v>
      </c>
      <c r="R600" t="s">
        <v>1863</v>
      </c>
      <c r="S600" t="s">
        <v>991</v>
      </c>
      <c r="T600" t="s">
        <v>969</v>
      </c>
      <c r="U600" t="s">
        <v>2333</v>
      </c>
      <c r="V600" t="s">
        <v>918</v>
      </c>
      <c r="W600" t="s">
        <v>947</v>
      </c>
      <c r="X600" t="s">
        <v>946</v>
      </c>
      <c r="Y600" t="s">
        <v>1230</v>
      </c>
      <c r="Z600" t="s">
        <v>991</v>
      </c>
      <c r="AA600" t="s">
        <v>1119</v>
      </c>
      <c r="AB600" t="s">
        <v>918</v>
      </c>
      <c r="AC600" t="s">
        <v>945</v>
      </c>
      <c r="AD600" t="s">
        <v>979</v>
      </c>
      <c r="AE600">
        <v>3.4</v>
      </c>
      <c r="AF600">
        <v>3.4632000000000001</v>
      </c>
    </row>
    <row r="601" spans="1:32" x14ac:dyDescent="0.25">
      <c r="A601" s="191" t="s">
        <v>2627</v>
      </c>
      <c r="B601" t="s">
        <v>2628</v>
      </c>
      <c r="C601" t="s">
        <v>973</v>
      </c>
      <c r="D601" t="s">
        <v>105</v>
      </c>
      <c r="E601" t="s">
        <v>56</v>
      </c>
      <c r="F601" t="s">
        <v>1031</v>
      </c>
      <c r="G601" t="s">
        <v>901</v>
      </c>
      <c r="H601" t="s">
        <v>1113</v>
      </c>
      <c r="I601" t="s">
        <v>945</v>
      </c>
      <c r="J601" t="s">
        <v>924</v>
      </c>
      <c r="K601" t="s">
        <v>1131</v>
      </c>
      <c r="L601" t="s">
        <v>934</v>
      </c>
      <c r="M601" t="s">
        <v>923</v>
      </c>
      <c r="N601" t="s">
        <v>2251</v>
      </c>
      <c r="O601" t="s">
        <v>923</v>
      </c>
      <c r="P601" t="s">
        <v>1230</v>
      </c>
      <c r="Q601" t="s">
        <v>1999</v>
      </c>
      <c r="R601" t="s">
        <v>1143</v>
      </c>
      <c r="S601" t="s">
        <v>987</v>
      </c>
      <c r="T601" t="s">
        <v>945</v>
      </c>
      <c r="U601" t="s">
        <v>1696</v>
      </c>
      <c r="V601" t="s">
        <v>934</v>
      </c>
      <c r="W601" t="s">
        <v>987</v>
      </c>
      <c r="X601" t="s">
        <v>923</v>
      </c>
      <c r="Y601" t="s">
        <v>956</v>
      </c>
      <c r="Z601" t="s">
        <v>987</v>
      </c>
      <c r="AA601" t="s">
        <v>991</v>
      </c>
      <c r="AB601" t="s">
        <v>1029</v>
      </c>
      <c r="AC601" t="s">
        <v>991</v>
      </c>
      <c r="AD601" t="s">
        <v>1000</v>
      </c>
      <c r="AE601">
        <v>3.4000000000000004</v>
      </c>
      <c r="AF601">
        <v>3.3995999999999995</v>
      </c>
    </row>
    <row r="602" spans="1:32" x14ac:dyDescent="0.25">
      <c r="A602" s="191" t="s">
        <v>2629</v>
      </c>
      <c r="B602" t="s">
        <v>2630</v>
      </c>
      <c r="C602" t="s">
        <v>902</v>
      </c>
      <c r="D602" t="s">
        <v>163</v>
      </c>
      <c r="E602" t="s">
        <v>72</v>
      </c>
      <c r="F602" t="s">
        <v>1212</v>
      </c>
      <c r="G602" t="s">
        <v>928</v>
      </c>
      <c r="H602" t="s">
        <v>1152</v>
      </c>
      <c r="I602" t="s">
        <v>1310</v>
      </c>
      <c r="J602" t="s">
        <v>964</v>
      </c>
      <c r="K602" t="s">
        <v>1275</v>
      </c>
      <c r="L602" t="s">
        <v>1600</v>
      </c>
      <c r="M602" t="s">
        <v>1600</v>
      </c>
      <c r="N602" t="s">
        <v>927</v>
      </c>
      <c r="O602" t="s">
        <v>1310</v>
      </c>
      <c r="P602" t="s">
        <v>964</v>
      </c>
      <c r="Q602" t="s">
        <v>1275</v>
      </c>
      <c r="R602" t="s">
        <v>1275</v>
      </c>
      <c r="S602" t="s">
        <v>991</v>
      </c>
      <c r="T602" t="s">
        <v>1065</v>
      </c>
      <c r="U602" t="s">
        <v>2049</v>
      </c>
      <c r="V602" t="s">
        <v>945</v>
      </c>
      <c r="W602" t="s">
        <v>968</v>
      </c>
      <c r="X602" t="s">
        <v>1135</v>
      </c>
      <c r="Y602" t="s">
        <v>1064</v>
      </c>
      <c r="Z602" t="s">
        <v>934</v>
      </c>
      <c r="AA602" t="s">
        <v>1065</v>
      </c>
      <c r="AB602" t="s">
        <v>987</v>
      </c>
      <c r="AC602" t="s">
        <v>1029</v>
      </c>
      <c r="AD602" t="s">
        <v>1000</v>
      </c>
      <c r="AE602">
        <v>3.4</v>
      </c>
      <c r="AF602" t="e">
        <v>#VALUE!</v>
      </c>
    </row>
    <row r="603" spans="1:32" x14ac:dyDescent="0.25">
      <c r="A603" s="191" t="s">
        <v>2631</v>
      </c>
      <c r="B603" t="s">
        <v>2632</v>
      </c>
      <c r="C603" t="s">
        <v>1032</v>
      </c>
      <c r="D603" t="s">
        <v>105</v>
      </c>
      <c r="E603" t="s">
        <v>63</v>
      </c>
      <c r="F603" t="s">
        <v>930</v>
      </c>
      <c r="G603" t="s">
        <v>1414</v>
      </c>
      <c r="H603" t="s">
        <v>1685</v>
      </c>
      <c r="I603" t="s">
        <v>1230</v>
      </c>
      <c r="J603" t="s">
        <v>964</v>
      </c>
      <c r="K603" t="s">
        <v>1358</v>
      </c>
      <c r="L603" t="s">
        <v>991</v>
      </c>
      <c r="M603" t="s">
        <v>1064</v>
      </c>
      <c r="N603" t="s">
        <v>1039</v>
      </c>
      <c r="O603" t="s">
        <v>923</v>
      </c>
      <c r="P603" t="s">
        <v>968</v>
      </c>
      <c r="Q603" t="s">
        <v>1352</v>
      </c>
      <c r="R603" t="s">
        <v>1184</v>
      </c>
      <c r="S603" t="s">
        <v>934</v>
      </c>
      <c r="T603" t="s">
        <v>991</v>
      </c>
      <c r="U603" t="s">
        <v>1131</v>
      </c>
      <c r="V603" t="s">
        <v>923</v>
      </c>
      <c r="W603" t="s">
        <v>922</v>
      </c>
      <c r="X603" t="s">
        <v>1220</v>
      </c>
      <c r="Y603" t="s">
        <v>945</v>
      </c>
      <c r="Z603" t="s">
        <v>1065</v>
      </c>
      <c r="AA603" t="s">
        <v>934</v>
      </c>
      <c r="AB603" t="s">
        <v>918</v>
      </c>
      <c r="AC603" t="s">
        <v>922</v>
      </c>
      <c r="AD603" t="s">
        <v>1000</v>
      </c>
      <c r="AE603">
        <v>3.4000000000000004</v>
      </c>
      <c r="AF603">
        <v>3.4079000000000002</v>
      </c>
    </row>
    <row r="604" spans="1:32" x14ac:dyDescent="0.25">
      <c r="A604" s="194" t="s">
        <v>2633</v>
      </c>
      <c r="B604" t="s">
        <v>2634</v>
      </c>
      <c r="C604" t="s">
        <v>1084</v>
      </c>
      <c r="D604" t="s">
        <v>121</v>
      </c>
      <c r="E604" t="s">
        <v>93</v>
      </c>
      <c r="F604" t="s">
        <v>1233</v>
      </c>
      <c r="G604" t="s">
        <v>1717</v>
      </c>
      <c r="H604" t="s">
        <v>1009</v>
      </c>
      <c r="I604" t="s">
        <v>1230</v>
      </c>
      <c r="J604" t="s">
        <v>908</v>
      </c>
      <c r="K604" t="s">
        <v>2245</v>
      </c>
      <c r="L604" t="s">
        <v>1119</v>
      </c>
      <c r="M604" t="s">
        <v>934</v>
      </c>
      <c r="N604" t="s">
        <v>910</v>
      </c>
      <c r="O604" t="s">
        <v>1195</v>
      </c>
      <c r="P604" t="s">
        <v>1049</v>
      </c>
      <c r="Q604" t="s">
        <v>2438</v>
      </c>
      <c r="R604" t="s">
        <v>1848</v>
      </c>
      <c r="S604" t="s">
        <v>969</v>
      </c>
      <c r="T604" t="s">
        <v>918</v>
      </c>
      <c r="U604" t="s">
        <v>2170</v>
      </c>
      <c r="V604" t="s">
        <v>969</v>
      </c>
      <c r="W604" t="s">
        <v>918</v>
      </c>
      <c r="X604" t="s">
        <v>1230</v>
      </c>
      <c r="Y604" t="s">
        <v>1094</v>
      </c>
      <c r="Z604" t="s">
        <v>1119</v>
      </c>
      <c r="AA604" t="s">
        <v>1094</v>
      </c>
      <c r="AB604" t="s">
        <v>991</v>
      </c>
      <c r="AC604" t="s">
        <v>987</v>
      </c>
      <c r="AD604" t="s">
        <v>1000</v>
      </c>
      <c r="AE604">
        <v>3.4999999999999996</v>
      </c>
      <c r="AF604">
        <v>3.3841000000000006</v>
      </c>
    </row>
    <row r="605" spans="1:32" x14ac:dyDescent="0.25">
      <c r="A605" s="191" t="s">
        <v>2476</v>
      </c>
      <c r="B605" t="s">
        <v>2477</v>
      </c>
      <c r="C605" t="s">
        <v>950</v>
      </c>
      <c r="D605" t="s">
        <v>65</v>
      </c>
      <c r="E605" t="s">
        <v>72</v>
      </c>
      <c r="F605" t="s">
        <v>1187</v>
      </c>
      <c r="G605" t="s">
        <v>949</v>
      </c>
      <c r="H605" t="s">
        <v>944</v>
      </c>
      <c r="I605" t="s">
        <v>1049</v>
      </c>
      <c r="J605" t="s">
        <v>992</v>
      </c>
      <c r="K605" t="s">
        <v>1381</v>
      </c>
      <c r="L605" t="s">
        <v>1094</v>
      </c>
      <c r="M605" t="s">
        <v>969</v>
      </c>
      <c r="N605" t="s">
        <v>1419</v>
      </c>
      <c r="O605" t="s">
        <v>922</v>
      </c>
      <c r="P605" t="s">
        <v>1135</v>
      </c>
      <c r="Q605" t="s">
        <v>1401</v>
      </c>
      <c r="R605" t="s">
        <v>914</v>
      </c>
      <c r="S605" t="s">
        <v>969</v>
      </c>
      <c r="T605" t="s">
        <v>923</v>
      </c>
      <c r="U605" t="s">
        <v>1880</v>
      </c>
      <c r="V605" t="s">
        <v>1195</v>
      </c>
      <c r="W605" t="s">
        <v>1049</v>
      </c>
      <c r="X605" t="s">
        <v>970</v>
      </c>
      <c r="Y605" t="s">
        <v>918</v>
      </c>
      <c r="Z605" t="s">
        <v>1094</v>
      </c>
      <c r="AA605" t="s">
        <v>934</v>
      </c>
      <c r="AB605" t="s">
        <v>1065</v>
      </c>
      <c r="AC605" t="s">
        <v>945</v>
      </c>
      <c r="AD605" t="s">
        <v>1134</v>
      </c>
      <c r="AE605">
        <v>4.6999999999999993</v>
      </c>
      <c r="AF605">
        <v>4.7724000000000002</v>
      </c>
    </row>
    <row r="606" spans="1:32" x14ac:dyDescent="0.25">
      <c r="A606" s="191" t="s">
        <v>2637</v>
      </c>
      <c r="B606" t="s">
        <v>2638</v>
      </c>
      <c r="C606" t="s">
        <v>1204</v>
      </c>
      <c r="D606" t="s">
        <v>1069</v>
      </c>
      <c r="E606" t="s">
        <v>63</v>
      </c>
      <c r="F606" t="s">
        <v>973</v>
      </c>
      <c r="G606" t="s">
        <v>1717</v>
      </c>
      <c r="H606" t="s">
        <v>1079</v>
      </c>
      <c r="I606" t="s">
        <v>1064</v>
      </c>
      <c r="J606" t="s">
        <v>1135</v>
      </c>
      <c r="K606" t="s">
        <v>1379</v>
      </c>
      <c r="L606" t="s">
        <v>991</v>
      </c>
      <c r="M606" t="s">
        <v>1310</v>
      </c>
      <c r="N606" t="s">
        <v>2361</v>
      </c>
      <c r="O606" t="s">
        <v>1008</v>
      </c>
      <c r="P606" t="s">
        <v>1310</v>
      </c>
      <c r="Q606" t="s">
        <v>1976</v>
      </c>
      <c r="R606" t="s">
        <v>1474</v>
      </c>
      <c r="S606" t="s">
        <v>987</v>
      </c>
      <c r="T606" t="s">
        <v>987</v>
      </c>
      <c r="U606" t="s">
        <v>2639</v>
      </c>
      <c r="V606" t="s">
        <v>1119</v>
      </c>
      <c r="W606" t="s">
        <v>1008</v>
      </c>
      <c r="X606" t="s">
        <v>987</v>
      </c>
      <c r="Y606" t="s">
        <v>991</v>
      </c>
      <c r="Z606" t="s">
        <v>934</v>
      </c>
      <c r="AA606" t="s">
        <v>1600</v>
      </c>
      <c r="AB606" t="s">
        <v>991</v>
      </c>
      <c r="AC606" t="s">
        <v>934</v>
      </c>
      <c r="AD606" t="s">
        <v>970</v>
      </c>
      <c r="AE606">
        <v>3.4000000000000004</v>
      </c>
      <c r="AF606">
        <v>3.3130999999999999</v>
      </c>
    </row>
    <row r="607" spans="1:32" x14ac:dyDescent="0.25">
      <c r="A607" s="191" t="s">
        <v>2483</v>
      </c>
      <c r="B607" t="s">
        <v>2484</v>
      </c>
      <c r="C607" t="s">
        <v>1032</v>
      </c>
      <c r="D607" t="s">
        <v>65</v>
      </c>
      <c r="E607" t="s">
        <v>93</v>
      </c>
      <c r="F607" t="s">
        <v>949</v>
      </c>
      <c r="G607" t="s">
        <v>1717</v>
      </c>
      <c r="H607" t="s">
        <v>1207</v>
      </c>
      <c r="I607" t="s">
        <v>922</v>
      </c>
      <c r="J607" t="s">
        <v>1170</v>
      </c>
      <c r="K607" t="s">
        <v>1683</v>
      </c>
      <c r="L607" t="s">
        <v>1094</v>
      </c>
      <c r="M607" t="s">
        <v>947</v>
      </c>
      <c r="N607" t="s">
        <v>2486</v>
      </c>
      <c r="O607" t="s">
        <v>1195</v>
      </c>
      <c r="P607" t="s">
        <v>956</v>
      </c>
      <c r="Q607" t="s">
        <v>1696</v>
      </c>
      <c r="R607" t="s">
        <v>1419</v>
      </c>
      <c r="S607" t="s">
        <v>1008</v>
      </c>
      <c r="T607" t="s">
        <v>1195</v>
      </c>
      <c r="U607" t="s">
        <v>1131</v>
      </c>
      <c r="V607" t="s">
        <v>1600</v>
      </c>
      <c r="W607" t="s">
        <v>922</v>
      </c>
      <c r="X607" t="s">
        <v>922</v>
      </c>
      <c r="Y607" t="s">
        <v>1008</v>
      </c>
      <c r="Z607" t="s">
        <v>1600</v>
      </c>
      <c r="AA607" t="s">
        <v>1094</v>
      </c>
      <c r="AB607" t="s">
        <v>1094</v>
      </c>
      <c r="AC607" t="s">
        <v>1094</v>
      </c>
      <c r="AD607" t="s">
        <v>1170</v>
      </c>
      <c r="AE607">
        <v>4.3999999999999995</v>
      </c>
      <c r="AF607">
        <v>4.3047000000000004</v>
      </c>
    </row>
    <row r="608" spans="1:32" x14ac:dyDescent="0.25">
      <c r="A608" s="191" t="s">
        <v>2642</v>
      </c>
      <c r="B608" t="s">
        <v>2643</v>
      </c>
      <c r="C608" t="s">
        <v>1084</v>
      </c>
      <c r="D608" t="s">
        <v>45</v>
      </c>
      <c r="E608" t="s">
        <v>63</v>
      </c>
      <c r="F608" t="s">
        <v>1106</v>
      </c>
      <c r="G608" t="s">
        <v>1717</v>
      </c>
      <c r="H608" t="s">
        <v>1518</v>
      </c>
      <c r="I608" t="s">
        <v>1064</v>
      </c>
      <c r="J608" t="s">
        <v>979</v>
      </c>
      <c r="K608" t="s">
        <v>1628</v>
      </c>
      <c r="L608" t="s">
        <v>1008</v>
      </c>
      <c r="M608" t="s">
        <v>993</v>
      </c>
      <c r="N608" t="s">
        <v>2644</v>
      </c>
      <c r="O608" t="s">
        <v>991</v>
      </c>
      <c r="P608" t="s">
        <v>923</v>
      </c>
      <c r="Q608" t="s">
        <v>1719</v>
      </c>
      <c r="R608" t="s">
        <v>1968</v>
      </c>
      <c r="S608" t="s">
        <v>1094</v>
      </c>
      <c r="T608" t="s">
        <v>969</v>
      </c>
      <c r="U608" t="s">
        <v>1131</v>
      </c>
      <c r="V608" t="s">
        <v>918</v>
      </c>
      <c r="W608" t="s">
        <v>945</v>
      </c>
      <c r="X608" t="s">
        <v>908</v>
      </c>
      <c r="Y608" t="s">
        <v>987</v>
      </c>
      <c r="Z608" t="s">
        <v>923</v>
      </c>
      <c r="AA608" t="s">
        <v>1119</v>
      </c>
      <c r="AB608" t="s">
        <v>1094</v>
      </c>
      <c r="AC608" t="s">
        <v>968</v>
      </c>
      <c r="AD608" t="s">
        <v>1048</v>
      </c>
      <c r="AE608">
        <v>3.1999999999999997</v>
      </c>
      <c r="AF608">
        <v>3.2</v>
      </c>
    </row>
    <row r="609" spans="1:32" x14ac:dyDescent="0.25">
      <c r="A609" s="191" t="s">
        <v>2645</v>
      </c>
      <c r="B609" t="s">
        <v>2646</v>
      </c>
      <c r="C609" t="s">
        <v>1084</v>
      </c>
      <c r="D609" t="s">
        <v>148</v>
      </c>
      <c r="E609" t="s">
        <v>93</v>
      </c>
      <c r="F609" t="s">
        <v>1489</v>
      </c>
      <c r="G609" t="s">
        <v>972</v>
      </c>
      <c r="H609" t="s">
        <v>1655</v>
      </c>
      <c r="I609" t="s">
        <v>945</v>
      </c>
      <c r="J609" t="s">
        <v>993</v>
      </c>
      <c r="K609" t="s">
        <v>1476</v>
      </c>
      <c r="L609" t="s">
        <v>1094</v>
      </c>
      <c r="M609" t="s">
        <v>918</v>
      </c>
      <c r="N609" t="s">
        <v>2069</v>
      </c>
      <c r="O609" t="s">
        <v>918</v>
      </c>
      <c r="P609" t="s">
        <v>1029</v>
      </c>
      <c r="Q609" t="s">
        <v>1542</v>
      </c>
      <c r="R609" t="s">
        <v>1522</v>
      </c>
      <c r="S609" t="s">
        <v>1065</v>
      </c>
      <c r="T609" t="s">
        <v>987</v>
      </c>
      <c r="U609" t="s">
        <v>2027</v>
      </c>
      <c r="V609" t="s">
        <v>969</v>
      </c>
      <c r="W609" t="s">
        <v>923</v>
      </c>
      <c r="X609" t="s">
        <v>1029</v>
      </c>
      <c r="Y609" t="s">
        <v>991</v>
      </c>
      <c r="Z609" t="s">
        <v>991</v>
      </c>
      <c r="AA609" t="s">
        <v>1008</v>
      </c>
      <c r="AB609" t="s">
        <v>934</v>
      </c>
      <c r="AC609" t="s">
        <v>1064</v>
      </c>
      <c r="AD609" t="s">
        <v>1048</v>
      </c>
      <c r="AE609">
        <v>3.1999999999999997</v>
      </c>
      <c r="AF609">
        <v>3.2812999999999999</v>
      </c>
    </row>
    <row r="610" spans="1:32" x14ac:dyDescent="0.25">
      <c r="A610" s="191" t="s">
        <v>2647</v>
      </c>
      <c r="B610" t="s">
        <v>2648</v>
      </c>
      <c r="C610" t="s">
        <v>973</v>
      </c>
      <c r="D610" t="s">
        <v>1014</v>
      </c>
      <c r="E610" t="s">
        <v>47</v>
      </c>
      <c r="F610" t="s">
        <v>1355</v>
      </c>
      <c r="G610" t="s">
        <v>1083</v>
      </c>
      <c r="H610" t="s">
        <v>1179</v>
      </c>
      <c r="I610" t="s">
        <v>945</v>
      </c>
      <c r="J610" t="s">
        <v>1104</v>
      </c>
      <c r="K610" t="s">
        <v>2242</v>
      </c>
      <c r="L610" t="s">
        <v>991</v>
      </c>
      <c r="M610" t="s">
        <v>1230</v>
      </c>
      <c r="N610" t="s">
        <v>1858</v>
      </c>
      <c r="O610" t="s">
        <v>987</v>
      </c>
      <c r="P610" t="s">
        <v>1230</v>
      </c>
      <c r="Q610" t="s">
        <v>1615</v>
      </c>
      <c r="R610" t="s">
        <v>1205</v>
      </c>
      <c r="S610" t="s">
        <v>1065</v>
      </c>
      <c r="T610" t="s">
        <v>987</v>
      </c>
      <c r="U610" t="s">
        <v>2169</v>
      </c>
      <c r="V610" t="s">
        <v>1065</v>
      </c>
      <c r="W610" t="s">
        <v>1310</v>
      </c>
      <c r="X610" t="s">
        <v>956</v>
      </c>
      <c r="Y610" t="s">
        <v>1008</v>
      </c>
      <c r="Z610" t="s">
        <v>923</v>
      </c>
      <c r="AA610" t="s">
        <v>1094</v>
      </c>
      <c r="AB610" t="s">
        <v>991</v>
      </c>
      <c r="AC610" t="s">
        <v>1195</v>
      </c>
      <c r="AD610" t="s">
        <v>1048</v>
      </c>
      <c r="AE610">
        <v>3.3</v>
      </c>
      <c r="AF610">
        <v>3.1450000000000005</v>
      </c>
    </row>
    <row r="611" spans="1:32" x14ac:dyDescent="0.25">
      <c r="A611" s="191" t="s">
        <v>2649</v>
      </c>
      <c r="B611" t="s">
        <v>410</v>
      </c>
      <c r="C611" t="s">
        <v>1204</v>
      </c>
      <c r="D611" t="s">
        <v>974</v>
      </c>
      <c r="E611" t="s">
        <v>56</v>
      </c>
      <c r="F611" t="s">
        <v>1233</v>
      </c>
      <c r="G611" t="s">
        <v>1067</v>
      </c>
      <c r="H611" t="s">
        <v>1574</v>
      </c>
      <c r="I611" t="s">
        <v>1064</v>
      </c>
      <c r="J611" t="s">
        <v>970</v>
      </c>
      <c r="K611" t="s">
        <v>1515</v>
      </c>
      <c r="L611" t="s">
        <v>1065</v>
      </c>
      <c r="M611" t="s">
        <v>968</v>
      </c>
      <c r="N611" t="s">
        <v>1320</v>
      </c>
      <c r="O611" t="s">
        <v>969</v>
      </c>
      <c r="P611" t="s">
        <v>1310</v>
      </c>
      <c r="Q611" t="s">
        <v>1448</v>
      </c>
      <c r="R611" t="s">
        <v>1240</v>
      </c>
      <c r="S611" t="s">
        <v>991</v>
      </c>
      <c r="T611" t="s">
        <v>969</v>
      </c>
      <c r="U611" t="s">
        <v>1836</v>
      </c>
      <c r="V611" t="s">
        <v>1008</v>
      </c>
      <c r="W611" t="s">
        <v>923</v>
      </c>
      <c r="X611" t="s">
        <v>922</v>
      </c>
      <c r="Y611" t="s">
        <v>1049</v>
      </c>
      <c r="Z611" t="s">
        <v>918</v>
      </c>
      <c r="AA611" t="s">
        <v>1094</v>
      </c>
      <c r="AB611" t="s">
        <v>969</v>
      </c>
      <c r="AC611" t="s">
        <v>969</v>
      </c>
      <c r="AD611" t="s">
        <v>946</v>
      </c>
      <c r="AE611">
        <v>3.1</v>
      </c>
      <c r="AF611">
        <v>3.1325999999999996</v>
      </c>
    </row>
    <row r="612" spans="1:32" x14ac:dyDescent="0.25">
      <c r="A612" s="191" t="s">
        <v>2649</v>
      </c>
      <c r="B612" t="s">
        <v>410</v>
      </c>
      <c r="C612" t="s">
        <v>1204</v>
      </c>
      <c r="D612" t="s">
        <v>105</v>
      </c>
      <c r="E612" t="s">
        <v>56</v>
      </c>
      <c r="F612" t="s">
        <v>902</v>
      </c>
      <c r="G612" t="s">
        <v>928</v>
      </c>
      <c r="H612" t="s">
        <v>1635</v>
      </c>
      <c r="I612" t="s">
        <v>987</v>
      </c>
      <c r="J612" t="s">
        <v>1048</v>
      </c>
      <c r="K612" t="s">
        <v>2650</v>
      </c>
      <c r="L612" t="s">
        <v>1065</v>
      </c>
      <c r="M612" t="s">
        <v>1049</v>
      </c>
      <c r="N612" t="s">
        <v>1948</v>
      </c>
      <c r="O612" t="s">
        <v>991</v>
      </c>
      <c r="P612" t="s">
        <v>1195</v>
      </c>
      <c r="Q612" t="s">
        <v>2651</v>
      </c>
      <c r="R612" t="s">
        <v>1997</v>
      </c>
      <c r="S612" t="s">
        <v>1094</v>
      </c>
      <c r="T612" t="s">
        <v>969</v>
      </c>
      <c r="U612" t="s">
        <v>1289</v>
      </c>
      <c r="V612" t="s">
        <v>969</v>
      </c>
      <c r="W612" t="s">
        <v>945</v>
      </c>
      <c r="X612" t="s">
        <v>968</v>
      </c>
      <c r="Y612" t="s">
        <v>968</v>
      </c>
      <c r="Z612" t="s">
        <v>918</v>
      </c>
      <c r="AA612" t="s">
        <v>1094</v>
      </c>
      <c r="AB612" t="s">
        <v>1065</v>
      </c>
      <c r="AC612" t="s">
        <v>1008</v>
      </c>
      <c r="AD612" t="s">
        <v>993</v>
      </c>
      <c r="AE612">
        <v>2.4</v>
      </c>
      <c r="AF612">
        <v>2.5221</v>
      </c>
    </row>
    <row r="613" spans="1:32" x14ac:dyDescent="0.25">
      <c r="A613" s="191" t="s">
        <v>2649</v>
      </c>
      <c r="B613" t="s">
        <v>410</v>
      </c>
      <c r="C613" t="s">
        <v>1204</v>
      </c>
      <c r="D613" t="s">
        <v>129</v>
      </c>
      <c r="E613" t="s">
        <v>56</v>
      </c>
      <c r="F613" t="s">
        <v>1162</v>
      </c>
      <c r="G613" t="s">
        <v>1031</v>
      </c>
      <c r="H613" t="s">
        <v>1345</v>
      </c>
      <c r="I613" t="s">
        <v>1029</v>
      </c>
      <c r="J613" t="s">
        <v>979</v>
      </c>
      <c r="K613" t="s">
        <v>1099</v>
      </c>
      <c r="L613" t="s">
        <v>969</v>
      </c>
      <c r="M613" t="s">
        <v>922</v>
      </c>
      <c r="N613" t="s">
        <v>1666</v>
      </c>
      <c r="O613" t="s">
        <v>1064</v>
      </c>
      <c r="P613" t="s">
        <v>968</v>
      </c>
      <c r="Q613" t="s">
        <v>1836</v>
      </c>
      <c r="R613" t="s">
        <v>1115</v>
      </c>
      <c r="S613" t="s">
        <v>991</v>
      </c>
      <c r="T613" t="s">
        <v>969</v>
      </c>
      <c r="U613" t="s">
        <v>1696</v>
      </c>
      <c r="V613" t="s">
        <v>918</v>
      </c>
      <c r="W613" t="s">
        <v>969</v>
      </c>
      <c r="X613" t="s">
        <v>1230</v>
      </c>
      <c r="Y613" t="s">
        <v>908</v>
      </c>
      <c r="Z613" t="s">
        <v>918</v>
      </c>
      <c r="AA613" t="s">
        <v>934</v>
      </c>
      <c r="AB613" t="s">
        <v>969</v>
      </c>
      <c r="AC613" t="s">
        <v>969</v>
      </c>
      <c r="AD613" t="s">
        <v>1170</v>
      </c>
      <c r="AE613">
        <v>4.2</v>
      </c>
      <c r="AF613">
        <v>4.2585000000000006</v>
      </c>
    </row>
    <row r="614" spans="1:32" x14ac:dyDescent="0.25">
      <c r="A614" s="191" t="s">
        <v>2652</v>
      </c>
      <c r="B614" t="s">
        <v>685</v>
      </c>
      <c r="C614" t="s">
        <v>1293</v>
      </c>
      <c r="D614" t="s">
        <v>974</v>
      </c>
      <c r="E614" t="s">
        <v>72</v>
      </c>
      <c r="F614" t="s">
        <v>1121</v>
      </c>
      <c r="G614" t="s">
        <v>928</v>
      </c>
      <c r="H614" t="s">
        <v>1002</v>
      </c>
      <c r="I614" t="s">
        <v>1195</v>
      </c>
      <c r="J614" t="s">
        <v>956</v>
      </c>
      <c r="K614" t="s">
        <v>1771</v>
      </c>
      <c r="L614" t="s">
        <v>1600</v>
      </c>
      <c r="M614" t="s">
        <v>1600</v>
      </c>
      <c r="N614" t="s">
        <v>927</v>
      </c>
      <c r="O614" t="s">
        <v>1195</v>
      </c>
      <c r="P614" t="s">
        <v>956</v>
      </c>
      <c r="Q614" t="s">
        <v>1771</v>
      </c>
      <c r="R614" t="s">
        <v>1771</v>
      </c>
      <c r="S614" t="s">
        <v>1065</v>
      </c>
      <c r="T614" t="s">
        <v>918</v>
      </c>
      <c r="U614" t="s">
        <v>1836</v>
      </c>
      <c r="V614" t="s">
        <v>1064</v>
      </c>
      <c r="W614" t="s">
        <v>993</v>
      </c>
      <c r="X614" t="s">
        <v>979</v>
      </c>
      <c r="Y614" t="s">
        <v>1065</v>
      </c>
      <c r="Z614" t="s">
        <v>1119</v>
      </c>
      <c r="AA614" t="s">
        <v>1094</v>
      </c>
      <c r="AB614" t="s">
        <v>991</v>
      </c>
      <c r="AC614" t="s">
        <v>1230</v>
      </c>
      <c r="AD614" t="s">
        <v>946</v>
      </c>
      <c r="AE614">
        <v>3.1</v>
      </c>
      <c r="AF614" t="e">
        <v>#VALUE!</v>
      </c>
    </row>
    <row r="615" spans="1:32" x14ac:dyDescent="0.25">
      <c r="A615" s="191" t="s">
        <v>2652</v>
      </c>
      <c r="B615" t="s">
        <v>685</v>
      </c>
      <c r="C615" t="s">
        <v>1293</v>
      </c>
      <c r="D615" t="s">
        <v>151</v>
      </c>
      <c r="E615" t="s">
        <v>72</v>
      </c>
      <c r="F615" t="s">
        <v>1083</v>
      </c>
      <c r="G615" t="s">
        <v>901</v>
      </c>
      <c r="H615" t="s">
        <v>1132</v>
      </c>
      <c r="I615" t="s">
        <v>1195</v>
      </c>
      <c r="J615" t="s">
        <v>1029</v>
      </c>
      <c r="K615" t="s">
        <v>1947</v>
      </c>
      <c r="L615" t="s">
        <v>1600</v>
      </c>
      <c r="M615" t="s">
        <v>1600</v>
      </c>
      <c r="N615" t="s">
        <v>927</v>
      </c>
      <c r="O615" t="s">
        <v>1195</v>
      </c>
      <c r="P615" t="s">
        <v>1029</v>
      </c>
      <c r="Q615" t="s">
        <v>1947</v>
      </c>
      <c r="R615" t="s">
        <v>1947</v>
      </c>
      <c r="S615" t="s">
        <v>1065</v>
      </c>
      <c r="T615" t="s">
        <v>987</v>
      </c>
      <c r="U615" t="s">
        <v>1696</v>
      </c>
      <c r="V615" t="s">
        <v>923</v>
      </c>
      <c r="W615" t="s">
        <v>1029</v>
      </c>
      <c r="X615" t="s">
        <v>1012</v>
      </c>
      <c r="Y615" t="s">
        <v>1094</v>
      </c>
      <c r="Z615" t="s">
        <v>1600</v>
      </c>
      <c r="AA615" t="s">
        <v>1094</v>
      </c>
      <c r="AB615" t="s">
        <v>1119</v>
      </c>
      <c r="AC615" t="s">
        <v>923</v>
      </c>
      <c r="AD615" t="s">
        <v>1135</v>
      </c>
      <c r="AE615">
        <v>3.1</v>
      </c>
      <c r="AF615" t="e">
        <v>#VALUE!</v>
      </c>
    </row>
    <row r="616" spans="1:32" x14ac:dyDescent="0.25">
      <c r="A616" s="191" t="s">
        <v>874</v>
      </c>
      <c r="B616" t="s">
        <v>171</v>
      </c>
      <c r="C616" t="s">
        <v>875</v>
      </c>
      <c r="D616" t="s">
        <v>172</v>
      </c>
      <c r="E616" t="s">
        <v>876</v>
      </c>
      <c r="F616" t="s">
        <v>392</v>
      </c>
      <c r="G616" t="s">
        <v>877</v>
      </c>
      <c r="H616" t="s">
        <v>878</v>
      </c>
      <c r="I616" t="s">
        <v>879</v>
      </c>
      <c r="J616" t="s">
        <v>880</v>
      </c>
      <c r="K616" t="s">
        <v>881</v>
      </c>
      <c r="L616" t="s">
        <v>882</v>
      </c>
      <c r="M616" t="s">
        <v>883</v>
      </c>
      <c r="N616" t="s">
        <v>884</v>
      </c>
      <c r="O616" t="s">
        <v>885</v>
      </c>
      <c r="P616" t="s">
        <v>886</v>
      </c>
      <c r="Q616" t="s">
        <v>887</v>
      </c>
      <c r="R616" t="s">
        <v>888</v>
      </c>
      <c r="S616" t="s">
        <v>889</v>
      </c>
      <c r="T616" t="s">
        <v>890</v>
      </c>
      <c r="U616" t="s">
        <v>891</v>
      </c>
      <c r="V616" t="s">
        <v>892</v>
      </c>
      <c r="W616" t="s">
        <v>893</v>
      </c>
      <c r="X616" t="s">
        <v>894</v>
      </c>
      <c r="Y616" t="s">
        <v>895</v>
      </c>
      <c r="Z616" t="s">
        <v>896</v>
      </c>
      <c r="AA616" t="s">
        <v>897</v>
      </c>
      <c r="AB616" t="s">
        <v>898</v>
      </c>
      <c r="AC616" t="s">
        <v>93</v>
      </c>
      <c r="AD616" t="s">
        <v>899</v>
      </c>
      <c r="AE616" t="e">
        <v>#VALUE!</v>
      </c>
      <c r="AF616" t="e">
        <v>#VALUE!</v>
      </c>
    </row>
    <row r="617" spans="1:32" x14ac:dyDescent="0.25">
      <c r="A617" s="191" t="s">
        <v>2652</v>
      </c>
      <c r="B617" t="s">
        <v>685</v>
      </c>
      <c r="C617" t="s">
        <v>1293</v>
      </c>
      <c r="D617" t="s">
        <v>83</v>
      </c>
      <c r="E617" t="s">
        <v>72</v>
      </c>
      <c r="F617" t="s">
        <v>949</v>
      </c>
      <c r="G617" t="s">
        <v>901</v>
      </c>
      <c r="H617" t="s">
        <v>932</v>
      </c>
      <c r="I617" t="s">
        <v>1195</v>
      </c>
      <c r="J617" t="s">
        <v>1135</v>
      </c>
      <c r="K617" t="s">
        <v>1297</v>
      </c>
      <c r="L617" t="s">
        <v>1600</v>
      </c>
      <c r="M617" t="s">
        <v>1600</v>
      </c>
      <c r="N617" t="s">
        <v>927</v>
      </c>
      <c r="O617" t="s">
        <v>1195</v>
      </c>
      <c r="P617" t="s">
        <v>1135</v>
      </c>
      <c r="Q617" t="s">
        <v>1297</v>
      </c>
      <c r="R617" t="s">
        <v>1297</v>
      </c>
      <c r="S617" t="s">
        <v>1008</v>
      </c>
      <c r="T617" t="s">
        <v>1195</v>
      </c>
      <c r="U617" t="s">
        <v>1131</v>
      </c>
      <c r="V617" t="s">
        <v>1195</v>
      </c>
      <c r="W617" t="s">
        <v>957</v>
      </c>
      <c r="X617" t="s">
        <v>1063</v>
      </c>
      <c r="Y617" t="s">
        <v>923</v>
      </c>
      <c r="Z617" t="s">
        <v>1094</v>
      </c>
      <c r="AA617" t="s">
        <v>1094</v>
      </c>
      <c r="AB617" t="s">
        <v>923</v>
      </c>
      <c r="AC617" t="s">
        <v>947</v>
      </c>
      <c r="AD617" t="s">
        <v>970</v>
      </c>
      <c r="AE617">
        <v>3.3</v>
      </c>
      <c r="AF617" t="e">
        <v>#VALUE!</v>
      </c>
    </row>
    <row r="618" spans="1:32" x14ac:dyDescent="0.25">
      <c r="A618" s="191" t="s">
        <v>2653</v>
      </c>
      <c r="B618" t="s">
        <v>2654</v>
      </c>
      <c r="C618" t="s">
        <v>929</v>
      </c>
      <c r="D618" t="s">
        <v>142</v>
      </c>
      <c r="E618" t="s">
        <v>63</v>
      </c>
      <c r="F618" t="s">
        <v>1444</v>
      </c>
      <c r="G618" t="s">
        <v>949</v>
      </c>
      <c r="H618" t="s">
        <v>960</v>
      </c>
      <c r="I618" t="s">
        <v>1064</v>
      </c>
      <c r="J618" t="s">
        <v>1104</v>
      </c>
      <c r="K618" t="s">
        <v>1111</v>
      </c>
      <c r="L618" t="s">
        <v>987</v>
      </c>
      <c r="M618" t="s">
        <v>908</v>
      </c>
      <c r="N618" t="s">
        <v>1100</v>
      </c>
      <c r="O618" t="s">
        <v>1094</v>
      </c>
      <c r="P618" t="s">
        <v>1008</v>
      </c>
      <c r="Q618" t="s">
        <v>1099</v>
      </c>
      <c r="R618" t="s">
        <v>907</v>
      </c>
      <c r="S618" t="s">
        <v>1119</v>
      </c>
      <c r="T618" t="s">
        <v>1094</v>
      </c>
      <c r="U618" t="s">
        <v>1494</v>
      </c>
      <c r="V618" t="s">
        <v>991</v>
      </c>
      <c r="W618" t="s">
        <v>918</v>
      </c>
      <c r="X618" t="s">
        <v>1195</v>
      </c>
      <c r="Y618" t="s">
        <v>969</v>
      </c>
      <c r="Z618" t="s">
        <v>1065</v>
      </c>
      <c r="AA618" t="s">
        <v>1094</v>
      </c>
      <c r="AB618" t="s">
        <v>991</v>
      </c>
      <c r="AC618" t="s">
        <v>918</v>
      </c>
      <c r="AD618" t="s">
        <v>1135</v>
      </c>
      <c r="AE618">
        <v>3.1000000000000005</v>
      </c>
      <c r="AF618">
        <v>3.0742999999999996</v>
      </c>
    </row>
    <row r="619" spans="1:32" x14ac:dyDescent="0.25">
      <c r="A619" s="191" t="s">
        <v>2655</v>
      </c>
      <c r="B619" t="s">
        <v>2656</v>
      </c>
      <c r="C619" t="s">
        <v>1355</v>
      </c>
      <c r="D619" t="s">
        <v>151</v>
      </c>
      <c r="E619" t="s">
        <v>93</v>
      </c>
      <c r="F619" t="s">
        <v>1164</v>
      </c>
      <c r="G619" t="s">
        <v>972</v>
      </c>
      <c r="H619" t="s">
        <v>937</v>
      </c>
      <c r="I619" t="s">
        <v>1064</v>
      </c>
      <c r="J619" t="s">
        <v>1104</v>
      </c>
      <c r="K619" t="s">
        <v>1683</v>
      </c>
      <c r="L619" t="s">
        <v>991</v>
      </c>
      <c r="M619" t="s">
        <v>1230</v>
      </c>
      <c r="N619" t="s">
        <v>2657</v>
      </c>
      <c r="O619" t="s">
        <v>1008</v>
      </c>
      <c r="P619" t="s">
        <v>1230</v>
      </c>
      <c r="Q619" t="s">
        <v>1091</v>
      </c>
      <c r="R619" t="s">
        <v>1440</v>
      </c>
      <c r="S619" t="s">
        <v>1065</v>
      </c>
      <c r="T619" t="s">
        <v>969</v>
      </c>
      <c r="U619" t="s">
        <v>1972</v>
      </c>
      <c r="V619" t="s">
        <v>1008</v>
      </c>
      <c r="W619" t="s">
        <v>908</v>
      </c>
      <c r="X619" t="s">
        <v>1104</v>
      </c>
      <c r="Y619" t="s">
        <v>1195</v>
      </c>
      <c r="Z619" t="s">
        <v>1094</v>
      </c>
      <c r="AA619" t="s">
        <v>1065</v>
      </c>
      <c r="AB619" t="s">
        <v>1008</v>
      </c>
      <c r="AC619" t="s">
        <v>1049</v>
      </c>
      <c r="AD619" t="s">
        <v>1135</v>
      </c>
      <c r="AE619">
        <v>3.1000000000000005</v>
      </c>
      <c r="AF619">
        <v>3.0009999999999999</v>
      </c>
    </row>
    <row r="620" spans="1:32" x14ac:dyDescent="0.25">
      <c r="A620" s="191" t="s">
        <v>2658</v>
      </c>
      <c r="B620" t="s">
        <v>2659</v>
      </c>
      <c r="C620" t="s">
        <v>902</v>
      </c>
      <c r="D620" t="s">
        <v>95</v>
      </c>
      <c r="E620" t="s">
        <v>63</v>
      </c>
      <c r="F620" t="s">
        <v>928</v>
      </c>
      <c r="G620" t="s">
        <v>1717</v>
      </c>
      <c r="H620" t="s">
        <v>1450</v>
      </c>
      <c r="I620" t="s">
        <v>923</v>
      </c>
      <c r="J620" t="s">
        <v>920</v>
      </c>
      <c r="K620" t="s">
        <v>2251</v>
      </c>
      <c r="L620" t="s">
        <v>1065</v>
      </c>
      <c r="M620" t="s">
        <v>956</v>
      </c>
      <c r="N620" t="s">
        <v>2152</v>
      </c>
      <c r="O620" t="s">
        <v>1065</v>
      </c>
      <c r="P620" t="s">
        <v>1135</v>
      </c>
      <c r="Q620" t="s">
        <v>2388</v>
      </c>
      <c r="R620" t="s">
        <v>2152</v>
      </c>
      <c r="S620" t="s">
        <v>1065</v>
      </c>
      <c r="T620" t="s">
        <v>923</v>
      </c>
      <c r="U620" t="s">
        <v>1131</v>
      </c>
      <c r="V620" t="s">
        <v>956</v>
      </c>
      <c r="W620" t="s">
        <v>956</v>
      </c>
      <c r="X620" t="s">
        <v>1228</v>
      </c>
      <c r="Y620" t="s">
        <v>1065</v>
      </c>
      <c r="Z620" t="s">
        <v>923</v>
      </c>
      <c r="AA620" t="s">
        <v>1600</v>
      </c>
      <c r="AB620" t="s">
        <v>923</v>
      </c>
      <c r="AC620" t="s">
        <v>1600</v>
      </c>
      <c r="AD620" t="s">
        <v>1135</v>
      </c>
      <c r="AE620">
        <v>3</v>
      </c>
      <c r="AF620">
        <v>3.0019999999999998</v>
      </c>
    </row>
    <row r="621" spans="1:32" x14ac:dyDescent="0.25">
      <c r="A621" s="191" t="s">
        <v>2660</v>
      </c>
      <c r="B621" t="s">
        <v>2661</v>
      </c>
      <c r="C621" t="s">
        <v>1238</v>
      </c>
      <c r="D621" t="s">
        <v>95</v>
      </c>
      <c r="E621" t="s">
        <v>63</v>
      </c>
      <c r="F621" t="s">
        <v>1085</v>
      </c>
      <c r="G621" t="s">
        <v>1717</v>
      </c>
      <c r="H621" t="s">
        <v>916</v>
      </c>
      <c r="I621" t="s">
        <v>1064</v>
      </c>
      <c r="J621" t="s">
        <v>1220</v>
      </c>
      <c r="K621" t="s">
        <v>1619</v>
      </c>
      <c r="L621" t="s">
        <v>1094</v>
      </c>
      <c r="M621" t="s">
        <v>1064</v>
      </c>
      <c r="N621" t="s">
        <v>1470</v>
      </c>
      <c r="O621" t="s">
        <v>987</v>
      </c>
      <c r="P621" t="s">
        <v>1029</v>
      </c>
      <c r="Q621" t="s">
        <v>1283</v>
      </c>
      <c r="R621" t="s">
        <v>1364</v>
      </c>
      <c r="S621" t="s">
        <v>991</v>
      </c>
      <c r="T621" t="s">
        <v>969</v>
      </c>
      <c r="U621" t="s">
        <v>1007</v>
      </c>
      <c r="V621" t="s">
        <v>1065</v>
      </c>
      <c r="W621" t="s">
        <v>987</v>
      </c>
      <c r="X621" t="s">
        <v>1195</v>
      </c>
      <c r="Y621" t="s">
        <v>1065</v>
      </c>
      <c r="Z621" t="s">
        <v>1094</v>
      </c>
      <c r="AA621" t="s">
        <v>1119</v>
      </c>
      <c r="AB621" t="s">
        <v>969</v>
      </c>
      <c r="AC621" t="s">
        <v>1008</v>
      </c>
      <c r="AD621" t="s">
        <v>1135</v>
      </c>
      <c r="AE621">
        <v>2.9</v>
      </c>
      <c r="AF621">
        <v>2.9737000000000005</v>
      </c>
    </row>
    <row r="622" spans="1:32" x14ac:dyDescent="0.25">
      <c r="A622" s="191" t="s">
        <v>2662</v>
      </c>
      <c r="B622" t="s">
        <v>422</v>
      </c>
      <c r="C622" t="s">
        <v>1390</v>
      </c>
      <c r="D622" t="s">
        <v>129</v>
      </c>
      <c r="E622" t="s">
        <v>47</v>
      </c>
      <c r="F622" t="s">
        <v>949</v>
      </c>
      <c r="G622" t="s">
        <v>901</v>
      </c>
      <c r="H622" t="s">
        <v>1473</v>
      </c>
      <c r="I622" t="s">
        <v>923</v>
      </c>
      <c r="J622" t="s">
        <v>947</v>
      </c>
      <c r="K622" t="s">
        <v>1729</v>
      </c>
      <c r="L622" t="s">
        <v>923</v>
      </c>
      <c r="M622" t="s">
        <v>956</v>
      </c>
      <c r="N622" t="s">
        <v>1131</v>
      </c>
      <c r="O622" t="s">
        <v>1600</v>
      </c>
      <c r="P622" t="s">
        <v>1094</v>
      </c>
      <c r="Q622" t="s">
        <v>1646</v>
      </c>
      <c r="R622" t="s">
        <v>2663</v>
      </c>
      <c r="S622" t="s">
        <v>1600</v>
      </c>
      <c r="T622" t="s">
        <v>1600</v>
      </c>
      <c r="U622" t="s">
        <v>927</v>
      </c>
      <c r="V622" t="s">
        <v>1195</v>
      </c>
      <c r="W622" t="s">
        <v>1195</v>
      </c>
      <c r="X622" t="s">
        <v>1220</v>
      </c>
      <c r="Y622" t="s">
        <v>1600</v>
      </c>
      <c r="Z622" t="s">
        <v>1094</v>
      </c>
      <c r="AA622" t="s">
        <v>1094</v>
      </c>
      <c r="AB622" t="s">
        <v>1094</v>
      </c>
      <c r="AC622" t="s">
        <v>1220</v>
      </c>
      <c r="AD622" t="s">
        <v>1135</v>
      </c>
      <c r="AE622">
        <v>3</v>
      </c>
      <c r="AF622" t="e">
        <v>#VALUE!</v>
      </c>
    </row>
    <row r="623" spans="1:32" x14ac:dyDescent="0.25">
      <c r="A623" s="191" t="s">
        <v>2664</v>
      </c>
      <c r="B623" t="s">
        <v>2665</v>
      </c>
      <c r="C623" t="s">
        <v>1084</v>
      </c>
      <c r="D623" t="s">
        <v>974</v>
      </c>
      <c r="E623" t="s">
        <v>93</v>
      </c>
      <c r="F623" t="s">
        <v>1147</v>
      </c>
      <c r="G623" t="s">
        <v>901</v>
      </c>
      <c r="H623" t="s">
        <v>941</v>
      </c>
      <c r="I623" t="s">
        <v>1064</v>
      </c>
      <c r="J623" t="s">
        <v>993</v>
      </c>
      <c r="K623" t="s">
        <v>1018</v>
      </c>
      <c r="L623" t="s">
        <v>1008</v>
      </c>
      <c r="M623" t="s">
        <v>968</v>
      </c>
      <c r="N623" t="s">
        <v>910</v>
      </c>
      <c r="O623" t="s">
        <v>991</v>
      </c>
      <c r="P623" t="s">
        <v>969</v>
      </c>
      <c r="Q623" t="s">
        <v>1842</v>
      </c>
      <c r="R623" t="s">
        <v>1374</v>
      </c>
      <c r="S623" t="s">
        <v>1119</v>
      </c>
      <c r="T623" t="s">
        <v>934</v>
      </c>
      <c r="U623" t="s">
        <v>1131</v>
      </c>
      <c r="V623" t="s">
        <v>991</v>
      </c>
      <c r="W623" t="s">
        <v>945</v>
      </c>
      <c r="X623" t="s">
        <v>1029</v>
      </c>
      <c r="Y623" t="s">
        <v>987</v>
      </c>
      <c r="Z623" t="s">
        <v>934</v>
      </c>
      <c r="AA623" t="s">
        <v>934</v>
      </c>
      <c r="AB623" t="s">
        <v>1094</v>
      </c>
      <c r="AC623" t="s">
        <v>1195</v>
      </c>
      <c r="AD623" t="s">
        <v>964</v>
      </c>
      <c r="AE623">
        <v>3</v>
      </c>
      <c r="AF623">
        <v>3.0000000000000004</v>
      </c>
    </row>
    <row r="624" spans="1:32" x14ac:dyDescent="0.25">
      <c r="A624" s="194" t="s">
        <v>2664</v>
      </c>
      <c r="B624" t="s">
        <v>2665</v>
      </c>
      <c r="C624" t="s">
        <v>1084</v>
      </c>
      <c r="D624" t="s">
        <v>108</v>
      </c>
      <c r="E624" t="s">
        <v>72</v>
      </c>
      <c r="F624" t="s">
        <v>1067</v>
      </c>
      <c r="G624" t="s">
        <v>1717</v>
      </c>
      <c r="H624" t="s">
        <v>943</v>
      </c>
      <c r="I624" t="s">
        <v>1008</v>
      </c>
      <c r="J624" t="s">
        <v>908</v>
      </c>
      <c r="K624" t="s">
        <v>1666</v>
      </c>
      <c r="L624" t="s">
        <v>969</v>
      </c>
      <c r="M624" t="s">
        <v>922</v>
      </c>
      <c r="N624" t="s">
        <v>1666</v>
      </c>
      <c r="O624" t="s">
        <v>1119</v>
      </c>
      <c r="P624" t="s">
        <v>991</v>
      </c>
      <c r="Q624" t="s">
        <v>1666</v>
      </c>
      <c r="R624" t="s">
        <v>1682</v>
      </c>
      <c r="S624" t="s">
        <v>1119</v>
      </c>
      <c r="T624" t="s">
        <v>1094</v>
      </c>
      <c r="U624" t="s">
        <v>1131</v>
      </c>
      <c r="V624" t="s">
        <v>1094</v>
      </c>
      <c r="W624" t="s">
        <v>1064</v>
      </c>
      <c r="X624" t="s">
        <v>1230</v>
      </c>
      <c r="Y624" t="s">
        <v>991</v>
      </c>
      <c r="Z624" t="s">
        <v>1119</v>
      </c>
      <c r="AA624" t="s">
        <v>1600</v>
      </c>
      <c r="AB624" t="s">
        <v>1600</v>
      </c>
      <c r="AC624" t="s">
        <v>1230</v>
      </c>
      <c r="AD624" t="s">
        <v>908</v>
      </c>
      <c r="AE624">
        <v>2.0999999999999996</v>
      </c>
      <c r="AF624">
        <v>2.1147</v>
      </c>
    </row>
    <row r="625" spans="1:32" x14ac:dyDescent="0.25">
      <c r="A625" s="191" t="s">
        <v>2664</v>
      </c>
      <c r="B625" t="s">
        <v>2665</v>
      </c>
      <c r="C625" t="s">
        <v>1084</v>
      </c>
      <c r="D625" t="s">
        <v>105</v>
      </c>
      <c r="E625" t="s">
        <v>93</v>
      </c>
      <c r="F625" t="s">
        <v>1051</v>
      </c>
      <c r="G625" t="s">
        <v>901</v>
      </c>
      <c r="H625" t="s">
        <v>1207</v>
      </c>
      <c r="I625" t="s">
        <v>1310</v>
      </c>
      <c r="J625" t="s">
        <v>1104</v>
      </c>
      <c r="K625" t="s">
        <v>1352</v>
      </c>
      <c r="L625" t="s">
        <v>987</v>
      </c>
      <c r="M625" t="s">
        <v>956</v>
      </c>
      <c r="N625" t="s">
        <v>958</v>
      </c>
      <c r="O625" t="s">
        <v>1008</v>
      </c>
      <c r="P625" t="s">
        <v>987</v>
      </c>
      <c r="Q625" t="s">
        <v>963</v>
      </c>
      <c r="R625" t="s">
        <v>2186</v>
      </c>
      <c r="S625" t="s">
        <v>1600</v>
      </c>
      <c r="T625" t="s">
        <v>1600</v>
      </c>
      <c r="U625" t="s">
        <v>927</v>
      </c>
      <c r="V625" t="s">
        <v>1065</v>
      </c>
      <c r="W625" t="s">
        <v>1195</v>
      </c>
      <c r="X625" t="s">
        <v>968</v>
      </c>
      <c r="Y625" t="s">
        <v>945</v>
      </c>
      <c r="Z625" t="s">
        <v>934</v>
      </c>
      <c r="AA625" t="s">
        <v>1094</v>
      </c>
      <c r="AB625" t="s">
        <v>1008</v>
      </c>
      <c r="AC625" t="s">
        <v>945</v>
      </c>
      <c r="AD625" t="s">
        <v>1155</v>
      </c>
      <c r="AE625">
        <v>3.8000000000000003</v>
      </c>
      <c r="AF625" t="e">
        <v>#VALUE!</v>
      </c>
    </row>
    <row r="626" spans="1:32" x14ac:dyDescent="0.25">
      <c r="A626" s="191" t="s">
        <v>2666</v>
      </c>
      <c r="B626" t="s">
        <v>2667</v>
      </c>
      <c r="C626" t="s">
        <v>902</v>
      </c>
      <c r="D626" t="s">
        <v>121</v>
      </c>
      <c r="E626" t="s">
        <v>56</v>
      </c>
      <c r="F626" t="s">
        <v>1245</v>
      </c>
      <c r="G626" t="s">
        <v>1717</v>
      </c>
      <c r="H626" t="s">
        <v>916</v>
      </c>
      <c r="I626" t="s">
        <v>1195</v>
      </c>
      <c r="J626" t="s">
        <v>1048</v>
      </c>
      <c r="K626" t="s">
        <v>1373</v>
      </c>
      <c r="L626" t="s">
        <v>934</v>
      </c>
      <c r="M626" t="s">
        <v>991</v>
      </c>
      <c r="N626" t="s">
        <v>1131</v>
      </c>
      <c r="O626" t="s">
        <v>1064</v>
      </c>
      <c r="P626" t="s">
        <v>1104</v>
      </c>
      <c r="Q626" t="s">
        <v>1704</v>
      </c>
      <c r="R626" t="s">
        <v>1168</v>
      </c>
      <c r="S626" t="s">
        <v>1600</v>
      </c>
      <c r="T626" t="s">
        <v>1600</v>
      </c>
      <c r="U626" t="s">
        <v>2146</v>
      </c>
      <c r="V626" t="s">
        <v>1094</v>
      </c>
      <c r="W626" t="s">
        <v>1008</v>
      </c>
      <c r="X626" t="s">
        <v>923</v>
      </c>
      <c r="Y626" t="s">
        <v>1195</v>
      </c>
      <c r="Z626" t="s">
        <v>1065</v>
      </c>
      <c r="AA626" t="s">
        <v>1119</v>
      </c>
      <c r="AB626" t="s">
        <v>1008</v>
      </c>
      <c r="AC626" t="s">
        <v>969</v>
      </c>
      <c r="AD626" t="s">
        <v>964</v>
      </c>
      <c r="AE626">
        <v>2.8000000000000003</v>
      </c>
      <c r="AF626">
        <v>2.8792</v>
      </c>
    </row>
    <row r="627" spans="1:32" x14ac:dyDescent="0.25">
      <c r="A627" s="191" t="s">
        <v>2668</v>
      </c>
      <c r="B627" t="s">
        <v>2669</v>
      </c>
      <c r="C627" t="s">
        <v>1390</v>
      </c>
      <c r="D627" t="s">
        <v>1149</v>
      </c>
      <c r="E627" t="s">
        <v>72</v>
      </c>
      <c r="F627" t="s">
        <v>1376</v>
      </c>
      <c r="G627" t="s">
        <v>1121</v>
      </c>
      <c r="H627" t="s">
        <v>1368</v>
      </c>
      <c r="I627" t="s">
        <v>1195</v>
      </c>
      <c r="J627" t="s">
        <v>1012</v>
      </c>
      <c r="K627" t="s">
        <v>1451</v>
      </c>
      <c r="L627" t="s">
        <v>1600</v>
      </c>
      <c r="M627" t="s">
        <v>1119</v>
      </c>
      <c r="N627" t="s">
        <v>1131</v>
      </c>
      <c r="O627" t="s">
        <v>945</v>
      </c>
      <c r="P627" t="s">
        <v>993</v>
      </c>
      <c r="Q627" t="s">
        <v>1451</v>
      </c>
      <c r="R627" t="s">
        <v>1131</v>
      </c>
      <c r="S627" t="s">
        <v>1094</v>
      </c>
      <c r="T627" t="s">
        <v>1065</v>
      </c>
      <c r="U627" t="s">
        <v>1836</v>
      </c>
      <c r="V627" t="s">
        <v>1230</v>
      </c>
      <c r="W627" t="s">
        <v>1049</v>
      </c>
      <c r="X627" t="s">
        <v>1048</v>
      </c>
      <c r="Y627" t="s">
        <v>969</v>
      </c>
      <c r="Z627" t="s">
        <v>934</v>
      </c>
      <c r="AA627" t="s">
        <v>1065</v>
      </c>
      <c r="AB627" t="s">
        <v>1008</v>
      </c>
      <c r="AC627" t="s">
        <v>1310</v>
      </c>
      <c r="AD627" t="s">
        <v>964</v>
      </c>
      <c r="AE627">
        <v>2.9</v>
      </c>
      <c r="AF627">
        <v>2.9249999999999998</v>
      </c>
    </row>
    <row r="628" spans="1:32" x14ac:dyDescent="0.25">
      <c r="A628" s="191" t="s">
        <v>2670</v>
      </c>
      <c r="B628" t="s">
        <v>2671</v>
      </c>
      <c r="C628" t="s">
        <v>1238</v>
      </c>
      <c r="D628" t="s">
        <v>105</v>
      </c>
      <c r="E628" t="s">
        <v>93</v>
      </c>
      <c r="F628" t="s">
        <v>1032</v>
      </c>
      <c r="G628" t="s">
        <v>1717</v>
      </c>
      <c r="H628" t="s">
        <v>1043</v>
      </c>
      <c r="I628" t="s">
        <v>923</v>
      </c>
      <c r="J628" t="s">
        <v>925</v>
      </c>
      <c r="K628" t="s">
        <v>1537</v>
      </c>
      <c r="L628" t="s">
        <v>969</v>
      </c>
      <c r="M628" t="s">
        <v>1195</v>
      </c>
      <c r="N628" t="s">
        <v>1784</v>
      </c>
      <c r="O628" t="s">
        <v>1065</v>
      </c>
      <c r="P628" t="s">
        <v>918</v>
      </c>
      <c r="Q628" t="s">
        <v>1442</v>
      </c>
      <c r="R628" t="s">
        <v>2233</v>
      </c>
      <c r="S628" t="s">
        <v>1094</v>
      </c>
      <c r="T628" t="s">
        <v>1094</v>
      </c>
      <c r="U628" t="s">
        <v>2049</v>
      </c>
      <c r="V628" t="s">
        <v>1094</v>
      </c>
      <c r="W628" t="s">
        <v>987</v>
      </c>
      <c r="X628" t="s">
        <v>1064</v>
      </c>
      <c r="Y628" t="s">
        <v>934</v>
      </c>
      <c r="Z628" t="s">
        <v>1119</v>
      </c>
      <c r="AA628" t="s">
        <v>934</v>
      </c>
      <c r="AB628" t="s">
        <v>1094</v>
      </c>
      <c r="AC628" t="s">
        <v>1065</v>
      </c>
      <c r="AD628" t="s">
        <v>964</v>
      </c>
      <c r="AE628">
        <v>2.8999999999999995</v>
      </c>
      <c r="AF628">
        <v>2.9037000000000006</v>
      </c>
    </row>
    <row r="629" spans="1:32" x14ac:dyDescent="0.25">
      <c r="A629" s="194" t="s">
        <v>2672</v>
      </c>
      <c r="B629" t="s">
        <v>2673</v>
      </c>
      <c r="C629" t="s">
        <v>1032</v>
      </c>
      <c r="D629" t="s">
        <v>170</v>
      </c>
      <c r="E629" t="s">
        <v>56</v>
      </c>
      <c r="F629" t="s">
        <v>1121</v>
      </c>
      <c r="G629" t="s">
        <v>1717</v>
      </c>
      <c r="H629" t="s">
        <v>921</v>
      </c>
      <c r="I629" t="s">
        <v>923</v>
      </c>
      <c r="J629" t="s">
        <v>1135</v>
      </c>
      <c r="K629" t="s">
        <v>1666</v>
      </c>
      <c r="L629" t="s">
        <v>1065</v>
      </c>
      <c r="M629" t="s">
        <v>1049</v>
      </c>
      <c r="N629" t="s">
        <v>1785</v>
      </c>
      <c r="O629" t="s">
        <v>1065</v>
      </c>
      <c r="P629" t="s">
        <v>1064</v>
      </c>
      <c r="Q629" t="s">
        <v>958</v>
      </c>
      <c r="R629" t="s">
        <v>2040</v>
      </c>
      <c r="S629" t="s">
        <v>934</v>
      </c>
      <c r="T629" t="s">
        <v>934</v>
      </c>
      <c r="U629" t="s">
        <v>2146</v>
      </c>
      <c r="V629" t="s">
        <v>934</v>
      </c>
      <c r="W629" t="s">
        <v>918</v>
      </c>
      <c r="X629" t="s">
        <v>1064</v>
      </c>
      <c r="Y629" t="s">
        <v>1195</v>
      </c>
      <c r="Z629" t="s">
        <v>969</v>
      </c>
      <c r="AA629" t="s">
        <v>934</v>
      </c>
      <c r="AB629" t="s">
        <v>1065</v>
      </c>
      <c r="AC629" t="s">
        <v>969</v>
      </c>
      <c r="AD629" t="s">
        <v>1220</v>
      </c>
      <c r="AE629">
        <v>2.7</v>
      </c>
      <c r="AF629">
        <v>2.7475999999999998</v>
      </c>
    </row>
    <row r="630" spans="1:32" x14ac:dyDescent="0.25">
      <c r="A630" s="191" t="s">
        <v>2674</v>
      </c>
      <c r="B630" t="s">
        <v>2675</v>
      </c>
      <c r="C630" t="s">
        <v>973</v>
      </c>
      <c r="D630" t="s">
        <v>70</v>
      </c>
      <c r="E630" t="s">
        <v>63</v>
      </c>
      <c r="F630" t="s">
        <v>1051</v>
      </c>
      <c r="G630" t="s">
        <v>1717</v>
      </c>
      <c r="H630" t="s">
        <v>909</v>
      </c>
      <c r="I630" t="s">
        <v>923</v>
      </c>
      <c r="J630" t="s">
        <v>947</v>
      </c>
      <c r="K630" t="s">
        <v>1729</v>
      </c>
      <c r="L630" t="s">
        <v>1065</v>
      </c>
      <c r="M630" t="s">
        <v>923</v>
      </c>
      <c r="N630" t="s">
        <v>1131</v>
      </c>
      <c r="O630" t="s">
        <v>1065</v>
      </c>
      <c r="P630" t="s">
        <v>1195</v>
      </c>
      <c r="Q630" t="s">
        <v>910</v>
      </c>
      <c r="R630" t="s">
        <v>984</v>
      </c>
      <c r="S630" t="s">
        <v>934</v>
      </c>
      <c r="T630" t="s">
        <v>1094</v>
      </c>
      <c r="U630" t="s">
        <v>1131</v>
      </c>
      <c r="V630" t="s">
        <v>934</v>
      </c>
      <c r="W630" t="s">
        <v>1008</v>
      </c>
      <c r="X630" t="s">
        <v>987</v>
      </c>
      <c r="Y630" t="s">
        <v>1008</v>
      </c>
      <c r="Z630" t="s">
        <v>934</v>
      </c>
      <c r="AA630" t="s">
        <v>1600</v>
      </c>
      <c r="AB630" t="s">
        <v>1094</v>
      </c>
      <c r="AC630" t="s">
        <v>934</v>
      </c>
      <c r="AD630" t="s">
        <v>1220</v>
      </c>
      <c r="AE630">
        <v>2.7</v>
      </c>
      <c r="AF630">
        <v>2.6249999999999996</v>
      </c>
    </row>
    <row r="631" spans="1:32" x14ac:dyDescent="0.25">
      <c r="A631" s="191" t="s">
        <v>2676</v>
      </c>
      <c r="B631" t="s">
        <v>2677</v>
      </c>
      <c r="C631" t="s">
        <v>1032</v>
      </c>
      <c r="D631" t="s">
        <v>133</v>
      </c>
      <c r="E631" t="s">
        <v>47</v>
      </c>
      <c r="F631" t="s">
        <v>1202</v>
      </c>
      <c r="G631" t="s">
        <v>1717</v>
      </c>
      <c r="H631" t="s">
        <v>1059</v>
      </c>
      <c r="I631" t="s">
        <v>1064</v>
      </c>
      <c r="J631" t="s">
        <v>1029</v>
      </c>
      <c r="K631" t="s">
        <v>1488</v>
      </c>
      <c r="L631" t="s">
        <v>934</v>
      </c>
      <c r="M631" t="s">
        <v>991</v>
      </c>
      <c r="N631" t="s">
        <v>1729</v>
      </c>
      <c r="O631" t="s">
        <v>918</v>
      </c>
      <c r="P631" t="s">
        <v>945</v>
      </c>
      <c r="Q631" t="s">
        <v>1382</v>
      </c>
      <c r="R631" t="s">
        <v>2049</v>
      </c>
      <c r="S631" t="s">
        <v>1094</v>
      </c>
      <c r="T631" t="s">
        <v>969</v>
      </c>
      <c r="U631" t="s">
        <v>1297</v>
      </c>
      <c r="V631" t="s">
        <v>991</v>
      </c>
      <c r="W631" t="s">
        <v>1230</v>
      </c>
      <c r="X631" t="s">
        <v>968</v>
      </c>
      <c r="Y631" t="s">
        <v>1094</v>
      </c>
      <c r="Z631" t="s">
        <v>1094</v>
      </c>
      <c r="AA631" t="s">
        <v>1094</v>
      </c>
      <c r="AB631" t="s">
        <v>1094</v>
      </c>
      <c r="AC631" t="s">
        <v>1008</v>
      </c>
      <c r="AD631" t="s">
        <v>1220</v>
      </c>
      <c r="AE631">
        <v>2.7</v>
      </c>
      <c r="AF631">
        <v>2.6748000000000003</v>
      </c>
    </row>
    <row r="632" spans="1:32" x14ac:dyDescent="0.25">
      <c r="A632" s="191" t="s">
        <v>2678</v>
      </c>
      <c r="B632" t="s">
        <v>2679</v>
      </c>
      <c r="C632" t="s">
        <v>1032</v>
      </c>
      <c r="D632" t="s">
        <v>974</v>
      </c>
      <c r="E632" t="s">
        <v>56</v>
      </c>
      <c r="F632" t="s">
        <v>1068</v>
      </c>
      <c r="G632" t="s">
        <v>972</v>
      </c>
      <c r="H632" t="s">
        <v>1658</v>
      </c>
      <c r="I632" t="s">
        <v>923</v>
      </c>
      <c r="J632" t="s">
        <v>1135</v>
      </c>
      <c r="K632" t="s">
        <v>2069</v>
      </c>
      <c r="L632" t="s">
        <v>934</v>
      </c>
      <c r="M632" t="s">
        <v>1064</v>
      </c>
      <c r="N632" t="s">
        <v>2680</v>
      </c>
      <c r="O632" t="s">
        <v>987</v>
      </c>
      <c r="P632" t="s">
        <v>1049</v>
      </c>
      <c r="Q632" t="s">
        <v>1373</v>
      </c>
      <c r="R632" t="s">
        <v>1556</v>
      </c>
      <c r="S632" t="s">
        <v>991</v>
      </c>
      <c r="T632" t="s">
        <v>969</v>
      </c>
      <c r="U632" t="s">
        <v>1972</v>
      </c>
      <c r="V632" t="s">
        <v>991</v>
      </c>
      <c r="W632" t="s">
        <v>1008</v>
      </c>
      <c r="X632" t="s">
        <v>1064</v>
      </c>
      <c r="Y632" t="s">
        <v>968</v>
      </c>
      <c r="Z632" t="s">
        <v>918</v>
      </c>
      <c r="AA632" t="s">
        <v>1119</v>
      </c>
      <c r="AB632" t="s">
        <v>969</v>
      </c>
      <c r="AC632" t="s">
        <v>923</v>
      </c>
      <c r="AD632" t="s">
        <v>1012</v>
      </c>
      <c r="AE632">
        <v>2.6</v>
      </c>
      <c r="AF632">
        <v>2.6230999999999995</v>
      </c>
    </row>
    <row r="633" spans="1:32" x14ac:dyDescent="0.25">
      <c r="A633" s="194" t="s">
        <v>2519</v>
      </c>
      <c r="B633" t="s">
        <v>2520</v>
      </c>
      <c r="C633" t="s">
        <v>1238</v>
      </c>
      <c r="D633" t="s">
        <v>65</v>
      </c>
      <c r="E633" t="s">
        <v>56</v>
      </c>
      <c r="F633" t="s">
        <v>1085</v>
      </c>
      <c r="G633" t="s">
        <v>949</v>
      </c>
      <c r="H633" t="s">
        <v>1306</v>
      </c>
      <c r="I633" t="s">
        <v>1029</v>
      </c>
      <c r="J633" t="s">
        <v>1211</v>
      </c>
      <c r="K633" t="s">
        <v>2134</v>
      </c>
      <c r="L633" t="s">
        <v>918</v>
      </c>
      <c r="M633" t="s">
        <v>1220</v>
      </c>
      <c r="N633" t="s">
        <v>1835</v>
      </c>
      <c r="O633" t="s">
        <v>1008</v>
      </c>
      <c r="P633" t="s">
        <v>1049</v>
      </c>
      <c r="Q633" t="s">
        <v>1909</v>
      </c>
      <c r="R633" t="s">
        <v>1055</v>
      </c>
      <c r="S633" t="s">
        <v>1094</v>
      </c>
      <c r="T633" t="s">
        <v>1094</v>
      </c>
      <c r="U633" t="s">
        <v>1421</v>
      </c>
      <c r="V633" t="s">
        <v>1094</v>
      </c>
      <c r="W633" t="s">
        <v>945</v>
      </c>
      <c r="X633" t="s">
        <v>1310</v>
      </c>
      <c r="Y633" t="s">
        <v>1230</v>
      </c>
      <c r="Z633" t="s">
        <v>1008</v>
      </c>
      <c r="AA633" t="s">
        <v>1094</v>
      </c>
      <c r="AB633" t="s">
        <v>1008</v>
      </c>
      <c r="AC633" t="s">
        <v>923</v>
      </c>
      <c r="AD633" t="s">
        <v>1103</v>
      </c>
      <c r="AE633">
        <v>4.4000000000000004</v>
      </c>
      <c r="AF633">
        <v>4.3914999999999997</v>
      </c>
    </row>
    <row r="634" spans="1:32" x14ac:dyDescent="0.25">
      <c r="A634" s="194" t="s">
        <v>2678</v>
      </c>
      <c r="B634" t="s">
        <v>2679</v>
      </c>
      <c r="C634" t="s">
        <v>1032</v>
      </c>
      <c r="D634" t="s">
        <v>1279</v>
      </c>
      <c r="E634" t="s">
        <v>56</v>
      </c>
      <c r="F634" t="s">
        <v>1164</v>
      </c>
      <c r="G634" t="s">
        <v>972</v>
      </c>
      <c r="H634" t="s">
        <v>1360</v>
      </c>
      <c r="I634" t="s">
        <v>923</v>
      </c>
      <c r="J634" t="s">
        <v>946</v>
      </c>
      <c r="K634" t="s">
        <v>2319</v>
      </c>
      <c r="L634" t="s">
        <v>934</v>
      </c>
      <c r="M634" t="s">
        <v>945</v>
      </c>
      <c r="N634" t="s">
        <v>2680</v>
      </c>
      <c r="O634" t="s">
        <v>987</v>
      </c>
      <c r="P634" t="s">
        <v>1049</v>
      </c>
      <c r="Q634" t="s">
        <v>1564</v>
      </c>
      <c r="R634" t="s">
        <v>1001</v>
      </c>
      <c r="S634" t="s">
        <v>1065</v>
      </c>
      <c r="T634" t="s">
        <v>969</v>
      </c>
      <c r="U634" t="s">
        <v>1972</v>
      </c>
      <c r="V634" t="s">
        <v>991</v>
      </c>
      <c r="W634" t="s">
        <v>987</v>
      </c>
      <c r="X634" t="s">
        <v>1064</v>
      </c>
      <c r="Y634" t="s">
        <v>968</v>
      </c>
      <c r="Z634" t="s">
        <v>918</v>
      </c>
      <c r="AA634" t="s">
        <v>1119</v>
      </c>
      <c r="AB634" t="s">
        <v>969</v>
      </c>
      <c r="AC634" t="s">
        <v>923</v>
      </c>
      <c r="AD634" t="s">
        <v>1220</v>
      </c>
      <c r="AE634">
        <v>2.7</v>
      </c>
      <c r="AF634">
        <v>2.6414</v>
      </c>
    </row>
    <row r="635" spans="1:32" x14ac:dyDescent="0.25">
      <c r="A635" s="191" t="s">
        <v>2681</v>
      </c>
      <c r="B635" t="s">
        <v>2682</v>
      </c>
      <c r="C635" t="s">
        <v>1164</v>
      </c>
      <c r="D635" t="s">
        <v>121</v>
      </c>
      <c r="E635" t="s">
        <v>93</v>
      </c>
      <c r="F635" t="s">
        <v>1096</v>
      </c>
      <c r="G635" t="s">
        <v>928</v>
      </c>
      <c r="H635" t="s">
        <v>1546</v>
      </c>
      <c r="I635" t="s">
        <v>987</v>
      </c>
      <c r="J635" t="s">
        <v>924</v>
      </c>
      <c r="K635" t="s">
        <v>1791</v>
      </c>
      <c r="L635" t="s">
        <v>991</v>
      </c>
      <c r="M635" t="s">
        <v>922</v>
      </c>
      <c r="N635" t="s">
        <v>2205</v>
      </c>
      <c r="O635" t="s">
        <v>1094</v>
      </c>
      <c r="P635" t="s">
        <v>987</v>
      </c>
      <c r="Q635" t="s">
        <v>1729</v>
      </c>
      <c r="R635" t="s">
        <v>1564</v>
      </c>
      <c r="S635" t="s">
        <v>969</v>
      </c>
      <c r="T635" t="s">
        <v>1008</v>
      </c>
      <c r="U635" t="s">
        <v>1765</v>
      </c>
      <c r="V635" t="s">
        <v>1008</v>
      </c>
      <c r="W635" t="s">
        <v>1029</v>
      </c>
      <c r="X635" t="s">
        <v>925</v>
      </c>
      <c r="Y635" t="s">
        <v>1008</v>
      </c>
      <c r="Z635" t="s">
        <v>1094</v>
      </c>
      <c r="AA635" t="s">
        <v>1600</v>
      </c>
      <c r="AB635" t="s">
        <v>991</v>
      </c>
      <c r="AC635" t="s">
        <v>1064</v>
      </c>
      <c r="AD635" t="s">
        <v>1012</v>
      </c>
      <c r="AE635">
        <v>2.6</v>
      </c>
      <c r="AF635">
        <v>2.5453999999999999</v>
      </c>
    </row>
    <row r="636" spans="1:32" x14ac:dyDescent="0.25">
      <c r="A636" s="191" t="s">
        <v>2683</v>
      </c>
      <c r="B636" t="s">
        <v>2684</v>
      </c>
      <c r="C636" t="s">
        <v>995</v>
      </c>
      <c r="D636" t="s">
        <v>102</v>
      </c>
      <c r="E636" t="s">
        <v>47</v>
      </c>
      <c r="F636" t="s">
        <v>1123</v>
      </c>
      <c r="G636" t="s">
        <v>1717</v>
      </c>
      <c r="H636" t="s">
        <v>1063</v>
      </c>
      <c r="I636" t="s">
        <v>923</v>
      </c>
      <c r="J636" t="s">
        <v>956</v>
      </c>
      <c r="K636" t="s">
        <v>1629</v>
      </c>
      <c r="L636" t="s">
        <v>1094</v>
      </c>
      <c r="M636" t="s">
        <v>918</v>
      </c>
      <c r="N636" t="s">
        <v>1977</v>
      </c>
      <c r="O636" t="s">
        <v>1008</v>
      </c>
      <c r="P636" t="s">
        <v>923</v>
      </c>
      <c r="Q636" t="s">
        <v>2386</v>
      </c>
      <c r="R636" t="s">
        <v>1215</v>
      </c>
      <c r="S636" t="s">
        <v>991</v>
      </c>
      <c r="T636" t="s">
        <v>991</v>
      </c>
      <c r="U636" t="s">
        <v>1969</v>
      </c>
      <c r="V636" t="s">
        <v>1094</v>
      </c>
      <c r="W636" t="s">
        <v>987</v>
      </c>
      <c r="X636" t="s">
        <v>923</v>
      </c>
      <c r="Y636" t="s">
        <v>991</v>
      </c>
      <c r="Z636" t="s">
        <v>1094</v>
      </c>
      <c r="AA636" t="s">
        <v>1094</v>
      </c>
      <c r="AB636" t="s">
        <v>934</v>
      </c>
      <c r="AC636" t="s">
        <v>1008</v>
      </c>
      <c r="AD636" t="s">
        <v>1012</v>
      </c>
      <c r="AE636">
        <v>2.6999999999999997</v>
      </c>
      <c r="AF636">
        <v>2.6418000000000004</v>
      </c>
    </row>
    <row r="637" spans="1:32" x14ac:dyDescent="0.25">
      <c r="A637" s="191" t="s">
        <v>2685</v>
      </c>
      <c r="B637" t="s">
        <v>2686</v>
      </c>
      <c r="C637" t="s">
        <v>1084</v>
      </c>
      <c r="D637" t="s">
        <v>148</v>
      </c>
      <c r="E637" t="s">
        <v>93</v>
      </c>
      <c r="F637" t="s">
        <v>1177</v>
      </c>
      <c r="G637" t="s">
        <v>928</v>
      </c>
      <c r="H637" t="s">
        <v>1011</v>
      </c>
      <c r="I637" t="s">
        <v>918</v>
      </c>
      <c r="J637" t="s">
        <v>924</v>
      </c>
      <c r="K637" t="s">
        <v>910</v>
      </c>
      <c r="L637" t="s">
        <v>1065</v>
      </c>
      <c r="M637" t="s">
        <v>1310</v>
      </c>
      <c r="N637" t="s">
        <v>1528</v>
      </c>
      <c r="O637" t="s">
        <v>991</v>
      </c>
      <c r="P637" t="s">
        <v>918</v>
      </c>
      <c r="Q637" t="s">
        <v>1157</v>
      </c>
      <c r="R637" t="s">
        <v>1916</v>
      </c>
      <c r="S637" t="s">
        <v>991</v>
      </c>
      <c r="T637" t="s">
        <v>1065</v>
      </c>
      <c r="U637" t="s">
        <v>2049</v>
      </c>
      <c r="V637" t="s">
        <v>1065</v>
      </c>
      <c r="W637" t="s">
        <v>923</v>
      </c>
      <c r="X637" t="s">
        <v>1310</v>
      </c>
      <c r="Y637" t="s">
        <v>991</v>
      </c>
      <c r="Z637" t="s">
        <v>934</v>
      </c>
      <c r="AA637" t="s">
        <v>1119</v>
      </c>
      <c r="AB637" t="s">
        <v>1094</v>
      </c>
      <c r="AC637" t="s">
        <v>918</v>
      </c>
      <c r="AD637" t="s">
        <v>1012</v>
      </c>
      <c r="AE637">
        <v>2.6999999999999997</v>
      </c>
      <c r="AF637">
        <v>2.6349</v>
      </c>
    </row>
    <row r="638" spans="1:32" x14ac:dyDescent="0.25">
      <c r="A638" s="191" t="s">
        <v>2687</v>
      </c>
      <c r="B638" t="s">
        <v>2688</v>
      </c>
      <c r="C638" t="s">
        <v>995</v>
      </c>
      <c r="D638" t="s">
        <v>974</v>
      </c>
      <c r="E638" t="s">
        <v>63</v>
      </c>
      <c r="F638" t="s">
        <v>1414</v>
      </c>
      <c r="G638" t="s">
        <v>928</v>
      </c>
      <c r="H638" t="s">
        <v>1182</v>
      </c>
      <c r="I638" t="s">
        <v>987</v>
      </c>
      <c r="J638" t="s">
        <v>908</v>
      </c>
      <c r="K638" t="s">
        <v>1461</v>
      </c>
      <c r="L638" t="s">
        <v>1094</v>
      </c>
      <c r="M638" t="s">
        <v>1064</v>
      </c>
      <c r="N638" t="s">
        <v>2152</v>
      </c>
      <c r="O638" t="s">
        <v>1065</v>
      </c>
      <c r="P638" t="s">
        <v>923</v>
      </c>
      <c r="Q638" t="s">
        <v>1370</v>
      </c>
      <c r="R638" t="s">
        <v>1923</v>
      </c>
      <c r="S638" t="s">
        <v>969</v>
      </c>
      <c r="T638" t="s">
        <v>918</v>
      </c>
      <c r="U638" t="s">
        <v>1801</v>
      </c>
      <c r="V638" t="s">
        <v>991</v>
      </c>
      <c r="W638" t="s">
        <v>923</v>
      </c>
      <c r="X638" t="s">
        <v>1195</v>
      </c>
      <c r="Y638" t="s">
        <v>987</v>
      </c>
      <c r="Z638" t="s">
        <v>969</v>
      </c>
      <c r="AA638" t="s">
        <v>1119</v>
      </c>
      <c r="AB638" t="s">
        <v>991</v>
      </c>
      <c r="AC638" t="s">
        <v>923</v>
      </c>
      <c r="AD638" t="s">
        <v>993</v>
      </c>
      <c r="AE638">
        <v>2.5</v>
      </c>
      <c r="AF638">
        <v>2.5609000000000002</v>
      </c>
    </row>
    <row r="639" spans="1:32" x14ac:dyDescent="0.25">
      <c r="A639" s="191" t="s">
        <v>2687</v>
      </c>
      <c r="B639" t="s">
        <v>2688</v>
      </c>
      <c r="C639" t="s">
        <v>995</v>
      </c>
      <c r="D639" t="s">
        <v>113</v>
      </c>
      <c r="E639" t="s">
        <v>63</v>
      </c>
      <c r="F639" t="s">
        <v>902</v>
      </c>
      <c r="G639" t="s">
        <v>1717</v>
      </c>
      <c r="H639" t="s">
        <v>1329</v>
      </c>
      <c r="I639" t="s">
        <v>1065</v>
      </c>
      <c r="J639" t="s">
        <v>1195</v>
      </c>
      <c r="K639" t="s">
        <v>1886</v>
      </c>
      <c r="L639" t="s">
        <v>934</v>
      </c>
      <c r="M639" t="s">
        <v>1008</v>
      </c>
      <c r="N639" t="s">
        <v>2530</v>
      </c>
      <c r="O639" t="s">
        <v>934</v>
      </c>
      <c r="P639" t="s">
        <v>969</v>
      </c>
      <c r="Q639" t="s">
        <v>1719</v>
      </c>
      <c r="R639" t="s">
        <v>1840</v>
      </c>
      <c r="S639" t="s">
        <v>969</v>
      </c>
      <c r="T639" t="s">
        <v>987</v>
      </c>
      <c r="U639" t="s">
        <v>1999</v>
      </c>
      <c r="V639" t="s">
        <v>934</v>
      </c>
      <c r="W639" t="s">
        <v>987</v>
      </c>
      <c r="X639" t="s">
        <v>918</v>
      </c>
      <c r="Y639" t="s">
        <v>991</v>
      </c>
      <c r="Z639" t="s">
        <v>1065</v>
      </c>
      <c r="AA639" t="s">
        <v>1600</v>
      </c>
      <c r="AB639" t="s">
        <v>934</v>
      </c>
      <c r="AC639" t="s">
        <v>1008</v>
      </c>
      <c r="AD639" t="s">
        <v>922</v>
      </c>
      <c r="AE639">
        <v>1.8000000000000003</v>
      </c>
      <c r="AF639">
        <v>1.7148000000000003</v>
      </c>
    </row>
    <row r="640" spans="1:32" x14ac:dyDescent="0.25">
      <c r="A640" s="191" t="s">
        <v>2687</v>
      </c>
      <c r="B640" t="s">
        <v>2688</v>
      </c>
      <c r="C640" t="s">
        <v>995</v>
      </c>
      <c r="D640" t="s">
        <v>45</v>
      </c>
      <c r="E640" t="s">
        <v>56</v>
      </c>
      <c r="F640" t="s">
        <v>1212</v>
      </c>
      <c r="G640" t="s">
        <v>928</v>
      </c>
      <c r="H640" t="s">
        <v>1752</v>
      </c>
      <c r="I640" t="s">
        <v>1230</v>
      </c>
      <c r="J640" t="s">
        <v>970</v>
      </c>
      <c r="K640" t="s">
        <v>1266</v>
      </c>
      <c r="L640" t="s">
        <v>991</v>
      </c>
      <c r="M640" t="s">
        <v>922</v>
      </c>
      <c r="N640" t="s">
        <v>2689</v>
      </c>
      <c r="O640" t="s">
        <v>923</v>
      </c>
      <c r="P640" t="s">
        <v>1029</v>
      </c>
      <c r="Q640" t="s">
        <v>1407</v>
      </c>
      <c r="R640" t="s">
        <v>999</v>
      </c>
      <c r="S640" t="s">
        <v>1008</v>
      </c>
      <c r="T640" t="s">
        <v>923</v>
      </c>
      <c r="U640" t="s">
        <v>1743</v>
      </c>
      <c r="V640" t="s">
        <v>987</v>
      </c>
      <c r="W640" t="s">
        <v>945</v>
      </c>
      <c r="X640" t="s">
        <v>956</v>
      </c>
      <c r="Y640" t="s">
        <v>1230</v>
      </c>
      <c r="Z640" t="s">
        <v>1008</v>
      </c>
      <c r="AA640" t="s">
        <v>934</v>
      </c>
      <c r="AB640" t="s">
        <v>1008</v>
      </c>
      <c r="AC640" t="s">
        <v>1310</v>
      </c>
      <c r="AD640" t="s">
        <v>1155</v>
      </c>
      <c r="AE640">
        <v>3.9000000000000004</v>
      </c>
      <c r="AF640">
        <v>3.7776999999999998</v>
      </c>
    </row>
    <row r="641" spans="1:32" x14ac:dyDescent="0.25">
      <c r="A641" s="191" t="s">
        <v>2690</v>
      </c>
      <c r="B641" t="s">
        <v>2691</v>
      </c>
      <c r="C641" t="s">
        <v>973</v>
      </c>
      <c r="D641" t="s">
        <v>974</v>
      </c>
      <c r="E641" t="s">
        <v>72</v>
      </c>
      <c r="F641" t="s">
        <v>1384</v>
      </c>
      <c r="G641" t="s">
        <v>1717</v>
      </c>
      <c r="H641" t="s">
        <v>1038</v>
      </c>
      <c r="I641" t="s">
        <v>1064</v>
      </c>
      <c r="J641" t="s">
        <v>1049</v>
      </c>
      <c r="K641" t="s">
        <v>1656</v>
      </c>
      <c r="L641" t="s">
        <v>1600</v>
      </c>
      <c r="M641" t="s">
        <v>1600</v>
      </c>
      <c r="N641" t="s">
        <v>927</v>
      </c>
      <c r="O641" t="s">
        <v>1064</v>
      </c>
      <c r="P641" t="s">
        <v>1049</v>
      </c>
      <c r="Q641" t="s">
        <v>1656</v>
      </c>
      <c r="R641" t="s">
        <v>1656</v>
      </c>
      <c r="S641" t="s">
        <v>1094</v>
      </c>
      <c r="T641" t="s">
        <v>918</v>
      </c>
      <c r="U641" t="s">
        <v>1775</v>
      </c>
      <c r="V641" t="s">
        <v>945</v>
      </c>
      <c r="W641" t="s">
        <v>1029</v>
      </c>
      <c r="X641" t="s">
        <v>1104</v>
      </c>
      <c r="Y641" t="s">
        <v>991</v>
      </c>
      <c r="Z641" t="s">
        <v>934</v>
      </c>
      <c r="AA641" t="s">
        <v>991</v>
      </c>
      <c r="AB641" t="s">
        <v>969</v>
      </c>
      <c r="AC641" t="s">
        <v>968</v>
      </c>
      <c r="AD641" t="s">
        <v>993</v>
      </c>
      <c r="AE641">
        <v>2.5</v>
      </c>
      <c r="AF641" t="e">
        <v>#VALUE!</v>
      </c>
    </row>
    <row r="642" spans="1:32" x14ac:dyDescent="0.25">
      <c r="A642" s="191" t="s">
        <v>2690</v>
      </c>
      <c r="B642" t="s">
        <v>2691</v>
      </c>
      <c r="C642" t="s">
        <v>973</v>
      </c>
      <c r="D642" t="s">
        <v>83</v>
      </c>
      <c r="E642" t="s">
        <v>72</v>
      </c>
      <c r="F642" t="s">
        <v>1202</v>
      </c>
      <c r="G642" t="s">
        <v>1717</v>
      </c>
      <c r="H642" t="s">
        <v>1020</v>
      </c>
      <c r="I642" t="s">
        <v>918</v>
      </c>
      <c r="J642" t="s">
        <v>956</v>
      </c>
      <c r="K642" t="s">
        <v>1099</v>
      </c>
      <c r="L642" t="s">
        <v>1600</v>
      </c>
      <c r="M642" t="s">
        <v>1600</v>
      </c>
      <c r="N642" t="s">
        <v>927</v>
      </c>
      <c r="O642" t="s">
        <v>918</v>
      </c>
      <c r="P642" t="s">
        <v>956</v>
      </c>
      <c r="Q642" t="s">
        <v>1099</v>
      </c>
      <c r="R642" t="s">
        <v>1099</v>
      </c>
      <c r="S642" t="s">
        <v>1065</v>
      </c>
      <c r="T642" t="s">
        <v>1195</v>
      </c>
      <c r="U642" t="s">
        <v>1679</v>
      </c>
      <c r="V642" t="s">
        <v>1230</v>
      </c>
      <c r="W642" t="s">
        <v>1230</v>
      </c>
      <c r="X642" t="s">
        <v>1104</v>
      </c>
      <c r="Y642" t="s">
        <v>969</v>
      </c>
      <c r="Z642" t="s">
        <v>991</v>
      </c>
      <c r="AA642" t="s">
        <v>991</v>
      </c>
      <c r="AB642" t="s">
        <v>969</v>
      </c>
      <c r="AC642" t="s">
        <v>922</v>
      </c>
      <c r="AD642" t="s">
        <v>924</v>
      </c>
      <c r="AE642">
        <v>2.2999999999999998</v>
      </c>
      <c r="AF642" t="e">
        <v>#VALUE!</v>
      </c>
    </row>
    <row r="643" spans="1:32" x14ac:dyDescent="0.25">
      <c r="A643" s="191" t="s">
        <v>2690</v>
      </c>
      <c r="B643" t="s">
        <v>2691</v>
      </c>
      <c r="C643" t="s">
        <v>973</v>
      </c>
      <c r="D643" t="s">
        <v>1014</v>
      </c>
      <c r="E643" t="s">
        <v>72</v>
      </c>
      <c r="F643" t="s">
        <v>995</v>
      </c>
      <c r="G643" t="s">
        <v>1717</v>
      </c>
      <c r="H643" t="s">
        <v>1038</v>
      </c>
      <c r="I643" t="s">
        <v>945</v>
      </c>
      <c r="J643" t="s">
        <v>1049</v>
      </c>
      <c r="K643" t="s">
        <v>2115</v>
      </c>
      <c r="L643" t="s">
        <v>1600</v>
      </c>
      <c r="M643" t="s">
        <v>1600</v>
      </c>
      <c r="N643" t="s">
        <v>927</v>
      </c>
      <c r="O643" t="s">
        <v>945</v>
      </c>
      <c r="P643" t="s">
        <v>1049</v>
      </c>
      <c r="Q643" t="s">
        <v>2115</v>
      </c>
      <c r="R643" t="s">
        <v>2115</v>
      </c>
      <c r="S643" t="s">
        <v>934</v>
      </c>
      <c r="T643" t="s">
        <v>1065</v>
      </c>
      <c r="U643" t="s">
        <v>958</v>
      </c>
      <c r="V643" t="s">
        <v>923</v>
      </c>
      <c r="W643" t="s">
        <v>968</v>
      </c>
      <c r="X643" t="s">
        <v>1104</v>
      </c>
      <c r="Y643" t="s">
        <v>1094</v>
      </c>
      <c r="Z643" t="s">
        <v>1119</v>
      </c>
      <c r="AA643" t="s">
        <v>991</v>
      </c>
      <c r="AB643" t="s">
        <v>969</v>
      </c>
      <c r="AC643" t="s">
        <v>1049</v>
      </c>
      <c r="AD643" t="s">
        <v>1012</v>
      </c>
      <c r="AE643">
        <v>2.6</v>
      </c>
      <c r="AF643" t="e">
        <v>#VALUE!</v>
      </c>
    </row>
    <row r="644" spans="1:32" x14ac:dyDescent="0.25">
      <c r="A644" s="191" t="s">
        <v>2692</v>
      </c>
      <c r="B644" t="s">
        <v>2693</v>
      </c>
      <c r="C644" t="s">
        <v>1204</v>
      </c>
      <c r="D644" t="s">
        <v>77</v>
      </c>
      <c r="E644" t="s">
        <v>93</v>
      </c>
      <c r="F644" t="s">
        <v>1177</v>
      </c>
      <c r="G644" t="s">
        <v>1717</v>
      </c>
      <c r="H644" t="s">
        <v>1011</v>
      </c>
      <c r="I644" t="s">
        <v>987</v>
      </c>
      <c r="J644" t="s">
        <v>922</v>
      </c>
      <c r="K644" t="s">
        <v>1629</v>
      </c>
      <c r="L644" t="s">
        <v>934</v>
      </c>
      <c r="M644" t="s">
        <v>969</v>
      </c>
      <c r="N644" t="s">
        <v>1750</v>
      </c>
      <c r="O644" t="s">
        <v>969</v>
      </c>
      <c r="P644" t="s">
        <v>1064</v>
      </c>
      <c r="Q644" t="s">
        <v>1610</v>
      </c>
      <c r="R644" t="s">
        <v>1713</v>
      </c>
      <c r="S644" t="s">
        <v>969</v>
      </c>
      <c r="T644" t="s">
        <v>923</v>
      </c>
      <c r="U644" t="s">
        <v>2466</v>
      </c>
      <c r="V644" t="s">
        <v>991</v>
      </c>
      <c r="W644" t="s">
        <v>918</v>
      </c>
      <c r="X644" t="s">
        <v>1195</v>
      </c>
      <c r="Y644" t="s">
        <v>1094</v>
      </c>
      <c r="Z644" t="s">
        <v>934</v>
      </c>
      <c r="AA644" t="s">
        <v>1600</v>
      </c>
      <c r="AB644" t="s">
        <v>934</v>
      </c>
      <c r="AC644" t="s">
        <v>969</v>
      </c>
      <c r="AD644" t="s">
        <v>993</v>
      </c>
      <c r="AE644">
        <v>2.4000000000000004</v>
      </c>
      <c r="AF644">
        <v>2.5152000000000001</v>
      </c>
    </row>
    <row r="645" spans="1:32" x14ac:dyDescent="0.25">
      <c r="A645" s="191" t="s">
        <v>2694</v>
      </c>
      <c r="B645" t="s">
        <v>2695</v>
      </c>
      <c r="C645" t="s">
        <v>1032</v>
      </c>
      <c r="D645" t="s">
        <v>48</v>
      </c>
      <c r="E645" t="s">
        <v>47</v>
      </c>
      <c r="F645" t="s">
        <v>1477</v>
      </c>
      <c r="G645" t="s">
        <v>949</v>
      </c>
      <c r="H645" t="s">
        <v>967</v>
      </c>
      <c r="I645" t="s">
        <v>918</v>
      </c>
      <c r="J645" t="s">
        <v>993</v>
      </c>
      <c r="K645" t="s">
        <v>1111</v>
      </c>
      <c r="L645" t="s">
        <v>1094</v>
      </c>
      <c r="M645" t="s">
        <v>945</v>
      </c>
      <c r="N645" t="s">
        <v>2196</v>
      </c>
      <c r="O645" t="s">
        <v>969</v>
      </c>
      <c r="P645" t="s">
        <v>1195</v>
      </c>
      <c r="Q645" t="s">
        <v>1131</v>
      </c>
      <c r="R645" t="s">
        <v>1297</v>
      </c>
      <c r="S645" t="s">
        <v>1094</v>
      </c>
      <c r="T645" t="s">
        <v>1065</v>
      </c>
      <c r="U645" t="s">
        <v>939</v>
      </c>
      <c r="V645" t="s">
        <v>969</v>
      </c>
      <c r="W645" t="s">
        <v>922</v>
      </c>
      <c r="X645" t="s">
        <v>925</v>
      </c>
      <c r="Y645" t="s">
        <v>1064</v>
      </c>
      <c r="Z645" t="s">
        <v>1094</v>
      </c>
      <c r="AA645" t="s">
        <v>1119</v>
      </c>
      <c r="AB645" t="s">
        <v>1065</v>
      </c>
      <c r="AC645" t="s">
        <v>923</v>
      </c>
      <c r="AD645" t="s">
        <v>993</v>
      </c>
      <c r="AE645">
        <v>2.4</v>
      </c>
      <c r="AF645">
        <v>2.5179000000000005</v>
      </c>
    </row>
    <row r="646" spans="1:32" x14ac:dyDescent="0.25">
      <c r="A646" s="191" t="s">
        <v>2582</v>
      </c>
      <c r="B646" t="s">
        <v>2583</v>
      </c>
      <c r="C646" t="s">
        <v>1176</v>
      </c>
      <c r="D646" t="s">
        <v>65</v>
      </c>
      <c r="E646" t="s">
        <v>72</v>
      </c>
      <c r="F646" t="s">
        <v>1165</v>
      </c>
      <c r="G646" t="s">
        <v>949</v>
      </c>
      <c r="H646" t="s">
        <v>1360</v>
      </c>
      <c r="I646" t="s">
        <v>1029</v>
      </c>
      <c r="J646" t="s">
        <v>964</v>
      </c>
      <c r="K646" t="s">
        <v>1713</v>
      </c>
      <c r="L646" t="s">
        <v>1600</v>
      </c>
      <c r="M646" t="s">
        <v>1600</v>
      </c>
      <c r="N646" t="s">
        <v>1646</v>
      </c>
      <c r="O646" t="s">
        <v>1029</v>
      </c>
      <c r="P646" t="s">
        <v>1104</v>
      </c>
      <c r="Q646" t="s">
        <v>1592</v>
      </c>
      <c r="R646" t="s">
        <v>1713</v>
      </c>
      <c r="S646" t="s">
        <v>1008</v>
      </c>
      <c r="T646" t="s">
        <v>1029</v>
      </c>
      <c r="U646" t="s">
        <v>1709</v>
      </c>
      <c r="V646" t="s">
        <v>964</v>
      </c>
      <c r="W646" t="s">
        <v>1104</v>
      </c>
      <c r="X646" t="s">
        <v>1092</v>
      </c>
      <c r="Y646" t="s">
        <v>1064</v>
      </c>
      <c r="Z646" t="s">
        <v>991</v>
      </c>
      <c r="AA646" t="s">
        <v>1065</v>
      </c>
      <c r="AB646" t="s">
        <v>918</v>
      </c>
      <c r="AC646" t="s">
        <v>923</v>
      </c>
      <c r="AD646" t="s">
        <v>1160</v>
      </c>
      <c r="AE646">
        <v>3.9000000000000004</v>
      </c>
      <c r="AF646">
        <v>3.9408000000000003</v>
      </c>
    </row>
    <row r="647" spans="1:32" x14ac:dyDescent="0.25">
      <c r="A647" s="191" t="s">
        <v>2698</v>
      </c>
      <c r="B647" t="s">
        <v>2699</v>
      </c>
      <c r="C647" t="s">
        <v>995</v>
      </c>
      <c r="D647" t="s">
        <v>77</v>
      </c>
      <c r="E647" t="s">
        <v>63</v>
      </c>
      <c r="F647" t="s">
        <v>1164</v>
      </c>
      <c r="G647" t="s">
        <v>1717</v>
      </c>
      <c r="H647" t="s">
        <v>1128</v>
      </c>
      <c r="I647" t="s">
        <v>918</v>
      </c>
      <c r="J647" t="s">
        <v>947</v>
      </c>
      <c r="K647" t="s">
        <v>1346</v>
      </c>
      <c r="L647" t="s">
        <v>934</v>
      </c>
      <c r="M647" t="s">
        <v>918</v>
      </c>
      <c r="N647" t="s">
        <v>2700</v>
      </c>
      <c r="O647" t="s">
        <v>1008</v>
      </c>
      <c r="P647" t="s">
        <v>1230</v>
      </c>
      <c r="Q647" t="s">
        <v>1436</v>
      </c>
      <c r="R647" t="s">
        <v>1665</v>
      </c>
      <c r="S647" t="s">
        <v>1094</v>
      </c>
      <c r="T647" t="s">
        <v>991</v>
      </c>
      <c r="U647" t="s">
        <v>1836</v>
      </c>
      <c r="V647" t="s">
        <v>1094</v>
      </c>
      <c r="W647" t="s">
        <v>987</v>
      </c>
      <c r="X647" t="s">
        <v>1064</v>
      </c>
      <c r="Y647" t="s">
        <v>1094</v>
      </c>
      <c r="Z647" t="s">
        <v>991</v>
      </c>
      <c r="AA647" t="s">
        <v>934</v>
      </c>
      <c r="AB647" t="s">
        <v>934</v>
      </c>
      <c r="AC647" t="s">
        <v>1065</v>
      </c>
      <c r="AD647" t="s">
        <v>924</v>
      </c>
      <c r="AE647">
        <v>2.2999999999999998</v>
      </c>
      <c r="AF647">
        <v>2.3186999999999998</v>
      </c>
    </row>
    <row r="648" spans="1:32" x14ac:dyDescent="0.25">
      <c r="A648" s="191" t="s">
        <v>2701</v>
      </c>
      <c r="B648" t="s">
        <v>2702</v>
      </c>
      <c r="C648" t="s">
        <v>1084</v>
      </c>
      <c r="D648" t="s">
        <v>1014</v>
      </c>
      <c r="E648" t="s">
        <v>72</v>
      </c>
      <c r="F648" t="s">
        <v>1376</v>
      </c>
      <c r="G648" t="s">
        <v>1717</v>
      </c>
      <c r="H648" t="s">
        <v>911</v>
      </c>
      <c r="I648" t="s">
        <v>1064</v>
      </c>
      <c r="J648" t="s">
        <v>968</v>
      </c>
      <c r="K648" t="s">
        <v>1807</v>
      </c>
      <c r="L648" t="s">
        <v>1600</v>
      </c>
      <c r="M648" t="s">
        <v>1119</v>
      </c>
      <c r="N648" t="s">
        <v>1646</v>
      </c>
      <c r="O648" t="s">
        <v>1064</v>
      </c>
      <c r="P648" t="s">
        <v>922</v>
      </c>
      <c r="Q648" t="s">
        <v>1949</v>
      </c>
      <c r="R648" t="s">
        <v>1807</v>
      </c>
      <c r="S648" t="s">
        <v>1094</v>
      </c>
      <c r="T648" t="s">
        <v>991</v>
      </c>
      <c r="U648" t="s">
        <v>1999</v>
      </c>
      <c r="V648" t="s">
        <v>918</v>
      </c>
      <c r="W648" t="s">
        <v>1310</v>
      </c>
      <c r="X648" t="s">
        <v>993</v>
      </c>
      <c r="Y648" t="s">
        <v>991</v>
      </c>
      <c r="Z648" t="s">
        <v>934</v>
      </c>
      <c r="AA648" t="s">
        <v>991</v>
      </c>
      <c r="AB648" t="s">
        <v>1094</v>
      </c>
      <c r="AC648" t="s">
        <v>945</v>
      </c>
      <c r="AD648" t="s">
        <v>924</v>
      </c>
      <c r="AE648">
        <v>2.5</v>
      </c>
      <c r="AF648">
        <v>2.4786000000000001</v>
      </c>
    </row>
    <row r="649" spans="1:32" x14ac:dyDescent="0.25">
      <c r="A649" s="191" t="s">
        <v>2703</v>
      </c>
      <c r="B649" t="s">
        <v>2704</v>
      </c>
      <c r="C649" t="s">
        <v>1015</v>
      </c>
      <c r="D649" t="s">
        <v>156</v>
      </c>
      <c r="E649" t="s">
        <v>63</v>
      </c>
      <c r="F649" t="s">
        <v>1123</v>
      </c>
      <c r="G649" t="s">
        <v>972</v>
      </c>
      <c r="H649" t="s">
        <v>1076</v>
      </c>
      <c r="I649" t="s">
        <v>918</v>
      </c>
      <c r="J649" t="s">
        <v>956</v>
      </c>
      <c r="K649" t="s">
        <v>1869</v>
      </c>
      <c r="L649" t="s">
        <v>1065</v>
      </c>
      <c r="M649" t="s">
        <v>1195</v>
      </c>
      <c r="N649" t="s">
        <v>1909</v>
      </c>
      <c r="O649" t="s">
        <v>991</v>
      </c>
      <c r="P649" t="s">
        <v>969</v>
      </c>
      <c r="Q649" t="s">
        <v>1523</v>
      </c>
      <c r="R649" t="s">
        <v>1493</v>
      </c>
      <c r="S649" t="s">
        <v>934</v>
      </c>
      <c r="T649" t="s">
        <v>934</v>
      </c>
      <c r="U649" t="s">
        <v>1270</v>
      </c>
      <c r="V649" t="s">
        <v>987</v>
      </c>
      <c r="W649" t="s">
        <v>993</v>
      </c>
      <c r="X649" t="s">
        <v>970</v>
      </c>
      <c r="Y649" t="s">
        <v>918</v>
      </c>
      <c r="Z649" t="s">
        <v>1008</v>
      </c>
      <c r="AA649" t="s">
        <v>1094</v>
      </c>
      <c r="AB649" t="s">
        <v>1094</v>
      </c>
      <c r="AC649" t="s">
        <v>1008</v>
      </c>
      <c r="AD649" t="s">
        <v>924</v>
      </c>
      <c r="AE649">
        <v>2.5</v>
      </c>
      <c r="AF649">
        <v>2.4912999999999998</v>
      </c>
    </row>
    <row r="650" spans="1:32" x14ac:dyDescent="0.25">
      <c r="A650" s="191" t="s">
        <v>2705</v>
      </c>
      <c r="B650" t="s">
        <v>416</v>
      </c>
      <c r="C650" t="s">
        <v>1084</v>
      </c>
      <c r="D650" t="s">
        <v>1755</v>
      </c>
      <c r="E650" t="s">
        <v>47</v>
      </c>
      <c r="F650" t="s">
        <v>1343</v>
      </c>
      <c r="G650" t="s">
        <v>1717</v>
      </c>
      <c r="H650" t="s">
        <v>1047</v>
      </c>
      <c r="I650" t="s">
        <v>987</v>
      </c>
      <c r="J650" t="s">
        <v>1049</v>
      </c>
      <c r="K650" t="s">
        <v>1797</v>
      </c>
      <c r="L650" t="s">
        <v>1094</v>
      </c>
      <c r="M650" t="s">
        <v>987</v>
      </c>
      <c r="N650" t="s">
        <v>1726</v>
      </c>
      <c r="O650" t="s">
        <v>1065</v>
      </c>
      <c r="P650" t="s">
        <v>923</v>
      </c>
      <c r="Q650" t="s">
        <v>1287</v>
      </c>
      <c r="R650" t="s">
        <v>1299</v>
      </c>
      <c r="S650" t="s">
        <v>991</v>
      </c>
      <c r="T650" t="s">
        <v>969</v>
      </c>
      <c r="U650" t="s">
        <v>2049</v>
      </c>
      <c r="V650" t="s">
        <v>1094</v>
      </c>
      <c r="W650" t="s">
        <v>918</v>
      </c>
      <c r="X650" t="s">
        <v>1195</v>
      </c>
      <c r="Y650" t="s">
        <v>1094</v>
      </c>
      <c r="Z650" t="s">
        <v>1119</v>
      </c>
      <c r="AA650" t="s">
        <v>1600</v>
      </c>
      <c r="AB650" t="s">
        <v>991</v>
      </c>
      <c r="AC650" t="s">
        <v>991</v>
      </c>
      <c r="AD650" t="s">
        <v>947</v>
      </c>
      <c r="AE650">
        <v>2.2999999999999998</v>
      </c>
      <c r="AF650">
        <v>2.3163999999999998</v>
      </c>
    </row>
    <row r="651" spans="1:32" x14ac:dyDescent="0.25">
      <c r="A651" s="191" t="s">
        <v>2705</v>
      </c>
      <c r="B651" t="s">
        <v>416</v>
      </c>
      <c r="C651" t="s">
        <v>1084</v>
      </c>
      <c r="D651" t="s">
        <v>105</v>
      </c>
      <c r="E651" t="s">
        <v>47</v>
      </c>
      <c r="F651" t="s">
        <v>902</v>
      </c>
      <c r="G651" t="s">
        <v>1717</v>
      </c>
      <c r="H651" t="s">
        <v>957</v>
      </c>
      <c r="I651" t="s">
        <v>1008</v>
      </c>
      <c r="J651" t="s">
        <v>968</v>
      </c>
      <c r="K651" t="s">
        <v>1111</v>
      </c>
      <c r="L651" t="s">
        <v>1094</v>
      </c>
      <c r="M651" t="s">
        <v>987</v>
      </c>
      <c r="N651" t="s">
        <v>1666</v>
      </c>
      <c r="O651" t="s">
        <v>991</v>
      </c>
      <c r="P651" t="s">
        <v>923</v>
      </c>
      <c r="Q651" t="s">
        <v>1419</v>
      </c>
      <c r="R651" t="s">
        <v>1776</v>
      </c>
      <c r="S651" t="s">
        <v>1094</v>
      </c>
      <c r="T651" t="s">
        <v>1065</v>
      </c>
      <c r="U651" t="s">
        <v>2049</v>
      </c>
      <c r="V651" t="s">
        <v>1094</v>
      </c>
      <c r="W651" t="s">
        <v>923</v>
      </c>
      <c r="X651" t="s">
        <v>945</v>
      </c>
      <c r="Y651" t="s">
        <v>1094</v>
      </c>
      <c r="Z651" t="s">
        <v>1119</v>
      </c>
      <c r="AA651" t="s">
        <v>1600</v>
      </c>
      <c r="AB651" t="s">
        <v>1065</v>
      </c>
      <c r="AC651" t="s">
        <v>991</v>
      </c>
      <c r="AD651" t="s">
        <v>956</v>
      </c>
      <c r="AE651">
        <v>1.9999999999999998</v>
      </c>
      <c r="AF651">
        <v>2.0202</v>
      </c>
    </row>
    <row r="652" spans="1:32" x14ac:dyDescent="0.25">
      <c r="A652" s="191" t="s">
        <v>2705</v>
      </c>
      <c r="B652" t="s">
        <v>416</v>
      </c>
      <c r="C652" t="s">
        <v>1084</v>
      </c>
      <c r="D652" t="s">
        <v>79</v>
      </c>
      <c r="E652" t="s">
        <v>47</v>
      </c>
      <c r="F652" t="s">
        <v>949</v>
      </c>
      <c r="G652" t="s">
        <v>1717</v>
      </c>
      <c r="H652" t="s">
        <v>909</v>
      </c>
      <c r="I652" t="s">
        <v>1195</v>
      </c>
      <c r="J652" t="s">
        <v>947</v>
      </c>
      <c r="K652" t="s">
        <v>913</v>
      </c>
      <c r="L652" t="s">
        <v>1008</v>
      </c>
      <c r="M652" t="s">
        <v>923</v>
      </c>
      <c r="N652" t="s">
        <v>1696</v>
      </c>
      <c r="O652" t="s">
        <v>1008</v>
      </c>
      <c r="P652" t="s">
        <v>1195</v>
      </c>
      <c r="Q652" t="s">
        <v>1131</v>
      </c>
      <c r="R652" t="s">
        <v>1999</v>
      </c>
      <c r="S652" t="s">
        <v>1008</v>
      </c>
      <c r="T652" t="s">
        <v>1195</v>
      </c>
      <c r="U652" t="s">
        <v>1131</v>
      </c>
      <c r="V652" t="s">
        <v>1008</v>
      </c>
      <c r="W652" t="s">
        <v>1094</v>
      </c>
      <c r="X652" t="s">
        <v>923</v>
      </c>
      <c r="Y652" t="s">
        <v>1008</v>
      </c>
      <c r="Z652" t="s">
        <v>1600</v>
      </c>
      <c r="AA652" t="s">
        <v>1600</v>
      </c>
      <c r="AB652" t="s">
        <v>1094</v>
      </c>
      <c r="AC652" t="s">
        <v>1008</v>
      </c>
      <c r="AD652" t="s">
        <v>1228</v>
      </c>
      <c r="AE652">
        <v>4</v>
      </c>
      <c r="AF652">
        <v>3.9510000000000001</v>
      </c>
    </row>
    <row r="653" spans="1:32" x14ac:dyDescent="0.25">
      <c r="A653" s="191" t="s">
        <v>2705</v>
      </c>
      <c r="B653" t="s">
        <v>416</v>
      </c>
      <c r="C653" t="s">
        <v>1084</v>
      </c>
      <c r="D653" t="s">
        <v>129</v>
      </c>
      <c r="E653" t="s">
        <v>47</v>
      </c>
      <c r="F653" t="s">
        <v>1051</v>
      </c>
      <c r="G653" t="s">
        <v>1717</v>
      </c>
      <c r="H653" t="s">
        <v>1104</v>
      </c>
      <c r="I653" t="s">
        <v>987</v>
      </c>
      <c r="J653" t="s">
        <v>968</v>
      </c>
      <c r="K653" t="s">
        <v>1665</v>
      </c>
      <c r="L653" t="s">
        <v>934</v>
      </c>
      <c r="M653" t="s">
        <v>987</v>
      </c>
      <c r="N653" t="s">
        <v>2251</v>
      </c>
      <c r="O653" t="s">
        <v>1008</v>
      </c>
      <c r="P653" t="s">
        <v>923</v>
      </c>
      <c r="Q653" t="s">
        <v>1696</v>
      </c>
      <c r="R653" t="s">
        <v>1131</v>
      </c>
      <c r="S653" t="s">
        <v>1008</v>
      </c>
      <c r="T653" t="s">
        <v>1008</v>
      </c>
      <c r="U653" t="s">
        <v>2146</v>
      </c>
      <c r="V653" t="s">
        <v>1094</v>
      </c>
      <c r="W653" t="s">
        <v>945</v>
      </c>
      <c r="X653" t="s">
        <v>1310</v>
      </c>
      <c r="Y653" t="s">
        <v>934</v>
      </c>
      <c r="Z653" t="s">
        <v>934</v>
      </c>
      <c r="AA653" t="s">
        <v>1600</v>
      </c>
      <c r="AB653" t="s">
        <v>934</v>
      </c>
      <c r="AC653" t="s">
        <v>1094</v>
      </c>
      <c r="AD653" t="s">
        <v>993</v>
      </c>
      <c r="AE653">
        <v>2.5</v>
      </c>
      <c r="AF653">
        <v>2.5140000000000002</v>
      </c>
    </row>
    <row r="654" spans="1:32" x14ac:dyDescent="0.25">
      <c r="A654" s="191" t="s">
        <v>2706</v>
      </c>
      <c r="B654" t="s">
        <v>2707</v>
      </c>
      <c r="C654" t="s">
        <v>1238</v>
      </c>
      <c r="D654" t="s">
        <v>1014</v>
      </c>
      <c r="E654" t="s">
        <v>63</v>
      </c>
      <c r="F654" t="s">
        <v>1293</v>
      </c>
      <c r="G654" t="s">
        <v>901</v>
      </c>
      <c r="H654" t="s">
        <v>1112</v>
      </c>
      <c r="I654" t="s">
        <v>987</v>
      </c>
      <c r="J654" t="s">
        <v>993</v>
      </c>
      <c r="K654" t="s">
        <v>1449</v>
      </c>
      <c r="L654" t="s">
        <v>1094</v>
      </c>
      <c r="M654" t="s">
        <v>945</v>
      </c>
      <c r="N654" t="s">
        <v>1662</v>
      </c>
      <c r="O654" t="s">
        <v>991</v>
      </c>
      <c r="P654" t="s">
        <v>1195</v>
      </c>
      <c r="Q654" t="s">
        <v>1056</v>
      </c>
      <c r="R654" t="s">
        <v>1679</v>
      </c>
      <c r="S654" t="s">
        <v>991</v>
      </c>
      <c r="T654" t="s">
        <v>1065</v>
      </c>
      <c r="U654" t="s">
        <v>2280</v>
      </c>
      <c r="V654" t="s">
        <v>1119</v>
      </c>
      <c r="W654" t="s">
        <v>1065</v>
      </c>
      <c r="X654" t="s">
        <v>1008</v>
      </c>
      <c r="Y654" t="s">
        <v>987</v>
      </c>
      <c r="Z654" t="s">
        <v>1094</v>
      </c>
      <c r="AA654" t="s">
        <v>1119</v>
      </c>
      <c r="AB654" t="s">
        <v>1065</v>
      </c>
      <c r="AC654" t="s">
        <v>1065</v>
      </c>
      <c r="AD654" t="s">
        <v>947</v>
      </c>
      <c r="AE654">
        <v>2.2999999999999998</v>
      </c>
      <c r="AF654">
        <v>2.2964000000000002</v>
      </c>
    </row>
    <row r="655" spans="1:32" x14ac:dyDescent="0.25">
      <c r="A655" s="191" t="s">
        <v>2708</v>
      </c>
      <c r="B655" t="s">
        <v>2709</v>
      </c>
      <c r="C655" t="s">
        <v>902</v>
      </c>
      <c r="D655" t="s">
        <v>121</v>
      </c>
      <c r="E655" t="s">
        <v>63</v>
      </c>
      <c r="F655" t="s">
        <v>1106</v>
      </c>
      <c r="G655" t="s">
        <v>1717</v>
      </c>
      <c r="H655" t="s">
        <v>1047</v>
      </c>
      <c r="I655" t="s">
        <v>918</v>
      </c>
      <c r="J655" t="s">
        <v>968</v>
      </c>
      <c r="K655" t="s">
        <v>1131</v>
      </c>
      <c r="L655" t="s">
        <v>1119</v>
      </c>
      <c r="M655" t="s">
        <v>987</v>
      </c>
      <c r="N655" t="s">
        <v>2480</v>
      </c>
      <c r="O655" t="s">
        <v>987</v>
      </c>
      <c r="P655" t="s">
        <v>923</v>
      </c>
      <c r="Q655" t="s">
        <v>963</v>
      </c>
      <c r="R655" t="s">
        <v>1171</v>
      </c>
      <c r="S655" t="s">
        <v>991</v>
      </c>
      <c r="T655" t="s">
        <v>1065</v>
      </c>
      <c r="U655" t="s">
        <v>963</v>
      </c>
      <c r="V655" t="s">
        <v>934</v>
      </c>
      <c r="W655" t="s">
        <v>1008</v>
      </c>
      <c r="X655" t="s">
        <v>918</v>
      </c>
      <c r="Y655" t="s">
        <v>1064</v>
      </c>
      <c r="Z655" t="s">
        <v>1600</v>
      </c>
      <c r="AA655" t="s">
        <v>1119</v>
      </c>
      <c r="AB655" t="s">
        <v>1119</v>
      </c>
      <c r="AC655" t="s">
        <v>1094</v>
      </c>
      <c r="AD655" t="s">
        <v>947</v>
      </c>
      <c r="AE655">
        <v>2.3000000000000003</v>
      </c>
      <c r="AF655">
        <v>2.3000000000000003</v>
      </c>
    </row>
    <row r="656" spans="1:32" x14ac:dyDescent="0.25">
      <c r="A656" s="191" t="s">
        <v>2710</v>
      </c>
      <c r="B656" t="s">
        <v>2711</v>
      </c>
      <c r="C656" t="s">
        <v>1084</v>
      </c>
      <c r="D656" t="s">
        <v>113</v>
      </c>
      <c r="E656" t="s">
        <v>93</v>
      </c>
      <c r="F656" t="s">
        <v>949</v>
      </c>
      <c r="G656" t="s">
        <v>1717</v>
      </c>
      <c r="H656" t="s">
        <v>1207</v>
      </c>
      <c r="I656" t="s">
        <v>1008</v>
      </c>
      <c r="J656" t="s">
        <v>1135</v>
      </c>
      <c r="K656" t="s">
        <v>935</v>
      </c>
      <c r="L656" t="s">
        <v>1008</v>
      </c>
      <c r="M656" t="s">
        <v>947</v>
      </c>
      <c r="N656" t="s">
        <v>1785</v>
      </c>
      <c r="O656" t="s">
        <v>1600</v>
      </c>
      <c r="P656" t="s">
        <v>1008</v>
      </c>
      <c r="Q656" t="s">
        <v>1646</v>
      </c>
      <c r="R656" t="s">
        <v>1666</v>
      </c>
      <c r="S656" t="s">
        <v>1094</v>
      </c>
      <c r="T656" t="s">
        <v>1008</v>
      </c>
      <c r="U656" t="s">
        <v>1131</v>
      </c>
      <c r="V656" t="s">
        <v>1008</v>
      </c>
      <c r="W656" t="s">
        <v>947</v>
      </c>
      <c r="X656" t="s">
        <v>1135</v>
      </c>
      <c r="Y656" t="s">
        <v>1600</v>
      </c>
      <c r="Z656" t="s">
        <v>1008</v>
      </c>
      <c r="AA656" t="s">
        <v>1094</v>
      </c>
      <c r="AB656" t="s">
        <v>1600</v>
      </c>
      <c r="AC656" t="s">
        <v>1600</v>
      </c>
      <c r="AD656" t="s">
        <v>947</v>
      </c>
      <c r="AE656">
        <v>2.3999999999999995</v>
      </c>
      <c r="AF656">
        <v>2.3233999999999999</v>
      </c>
    </row>
    <row r="657" spans="1:32" x14ac:dyDescent="0.25">
      <c r="A657" s="191" t="s">
        <v>2712</v>
      </c>
      <c r="B657" t="s">
        <v>2713</v>
      </c>
      <c r="C657" t="s">
        <v>995</v>
      </c>
      <c r="D657" t="s">
        <v>974</v>
      </c>
      <c r="E657" t="s">
        <v>47</v>
      </c>
      <c r="F657" t="s">
        <v>1084</v>
      </c>
      <c r="G657" t="s">
        <v>1717</v>
      </c>
      <c r="H657" t="s">
        <v>1047</v>
      </c>
      <c r="I657" t="s">
        <v>987</v>
      </c>
      <c r="J657" t="s">
        <v>1310</v>
      </c>
      <c r="K657" t="s">
        <v>1396</v>
      </c>
      <c r="L657" t="s">
        <v>1065</v>
      </c>
      <c r="M657" t="s">
        <v>923</v>
      </c>
      <c r="N657" t="s">
        <v>1288</v>
      </c>
      <c r="O657" t="s">
        <v>1094</v>
      </c>
      <c r="P657" t="s">
        <v>1065</v>
      </c>
      <c r="Q657" t="s">
        <v>1131</v>
      </c>
      <c r="R657" t="s">
        <v>2714</v>
      </c>
      <c r="S657" t="s">
        <v>1119</v>
      </c>
      <c r="T657" t="s">
        <v>934</v>
      </c>
      <c r="U657" t="s">
        <v>1131</v>
      </c>
      <c r="V657" t="s">
        <v>934</v>
      </c>
      <c r="W657" t="s">
        <v>987</v>
      </c>
      <c r="X657" t="s">
        <v>923</v>
      </c>
      <c r="Y657" t="s">
        <v>1119</v>
      </c>
      <c r="Z657" t="s">
        <v>1119</v>
      </c>
      <c r="AA657" t="s">
        <v>1119</v>
      </c>
      <c r="AB657" t="s">
        <v>934</v>
      </c>
      <c r="AC657" t="s">
        <v>1094</v>
      </c>
      <c r="AD657" t="s">
        <v>925</v>
      </c>
      <c r="AE657">
        <v>2.2000000000000002</v>
      </c>
      <c r="AF657">
        <v>2.2949999999999999</v>
      </c>
    </row>
    <row r="658" spans="1:32" x14ac:dyDescent="0.25">
      <c r="A658" s="191" t="s">
        <v>2712</v>
      </c>
      <c r="B658" t="s">
        <v>2713</v>
      </c>
      <c r="C658" t="s">
        <v>995</v>
      </c>
      <c r="D658" t="s">
        <v>77</v>
      </c>
      <c r="E658" t="s">
        <v>47</v>
      </c>
      <c r="F658" t="s">
        <v>995</v>
      </c>
      <c r="G658" t="s">
        <v>1717</v>
      </c>
      <c r="H658" t="s">
        <v>1211</v>
      </c>
      <c r="I658" t="s">
        <v>987</v>
      </c>
      <c r="J658" t="s">
        <v>1310</v>
      </c>
      <c r="K658" t="s">
        <v>1090</v>
      </c>
      <c r="L658" t="s">
        <v>1065</v>
      </c>
      <c r="M658" t="s">
        <v>923</v>
      </c>
      <c r="N658" t="s">
        <v>1551</v>
      </c>
      <c r="O658" t="s">
        <v>1094</v>
      </c>
      <c r="P658" t="s">
        <v>1065</v>
      </c>
      <c r="Q658" t="s">
        <v>1131</v>
      </c>
      <c r="R658" t="s">
        <v>2121</v>
      </c>
      <c r="S658" t="s">
        <v>1119</v>
      </c>
      <c r="T658" t="s">
        <v>934</v>
      </c>
      <c r="U658" t="s">
        <v>1131</v>
      </c>
      <c r="V658" t="s">
        <v>934</v>
      </c>
      <c r="W658" t="s">
        <v>987</v>
      </c>
      <c r="X658" t="s">
        <v>923</v>
      </c>
      <c r="Y658" t="s">
        <v>1119</v>
      </c>
      <c r="Z658" t="s">
        <v>1119</v>
      </c>
      <c r="AA658" t="s">
        <v>1119</v>
      </c>
      <c r="AB658" t="s">
        <v>934</v>
      </c>
      <c r="AC658" t="s">
        <v>934</v>
      </c>
      <c r="AD658" t="s">
        <v>908</v>
      </c>
      <c r="AE658">
        <v>2.2000000000000002</v>
      </c>
      <c r="AF658">
        <v>2.1720000000000002</v>
      </c>
    </row>
    <row r="659" spans="1:32" x14ac:dyDescent="0.25">
      <c r="A659" s="191" t="s">
        <v>2712</v>
      </c>
      <c r="B659" t="s">
        <v>2713</v>
      </c>
      <c r="C659" t="s">
        <v>995</v>
      </c>
      <c r="D659" t="s">
        <v>79</v>
      </c>
      <c r="E659" t="s">
        <v>47</v>
      </c>
      <c r="F659" t="s">
        <v>928</v>
      </c>
      <c r="G659" t="s">
        <v>1717</v>
      </c>
      <c r="H659" t="s">
        <v>1135</v>
      </c>
      <c r="I659" t="s">
        <v>923</v>
      </c>
      <c r="J659" t="s">
        <v>923</v>
      </c>
      <c r="K659" t="s">
        <v>2146</v>
      </c>
      <c r="L659" t="s">
        <v>923</v>
      </c>
      <c r="M659" t="s">
        <v>923</v>
      </c>
      <c r="N659" t="s">
        <v>2146</v>
      </c>
      <c r="O659" t="s">
        <v>1600</v>
      </c>
      <c r="P659" t="s">
        <v>1600</v>
      </c>
      <c r="Q659" t="s">
        <v>927</v>
      </c>
      <c r="R659" t="s">
        <v>2715</v>
      </c>
      <c r="S659" t="s">
        <v>1600</v>
      </c>
      <c r="T659" t="s">
        <v>1600</v>
      </c>
      <c r="U659" t="s">
        <v>927</v>
      </c>
      <c r="V659" t="s">
        <v>1600</v>
      </c>
      <c r="W659" t="s">
        <v>1310</v>
      </c>
      <c r="X659" t="s">
        <v>1310</v>
      </c>
      <c r="Y659" t="s">
        <v>1065</v>
      </c>
      <c r="Z659" t="s">
        <v>1600</v>
      </c>
      <c r="AA659" t="s">
        <v>1600</v>
      </c>
      <c r="AB659" t="s">
        <v>1600</v>
      </c>
      <c r="AC659" t="s">
        <v>923</v>
      </c>
      <c r="AD659" t="s">
        <v>1135</v>
      </c>
      <c r="AE659">
        <v>3</v>
      </c>
      <c r="AF659" t="e">
        <v>#VALUE!</v>
      </c>
    </row>
    <row r="660" spans="1:32" x14ac:dyDescent="0.25">
      <c r="A660" s="191" t="s">
        <v>2716</v>
      </c>
      <c r="B660" t="s">
        <v>2717</v>
      </c>
      <c r="C660" t="s">
        <v>973</v>
      </c>
      <c r="D660" t="s">
        <v>113</v>
      </c>
      <c r="E660" t="s">
        <v>93</v>
      </c>
      <c r="F660" t="s">
        <v>973</v>
      </c>
      <c r="G660" t="s">
        <v>901</v>
      </c>
      <c r="H660" t="s">
        <v>988</v>
      </c>
      <c r="I660" t="s">
        <v>1008</v>
      </c>
      <c r="J660" t="s">
        <v>1029</v>
      </c>
      <c r="K660" t="s">
        <v>1797</v>
      </c>
      <c r="L660" t="s">
        <v>1065</v>
      </c>
      <c r="M660" t="s">
        <v>1195</v>
      </c>
      <c r="N660" t="s">
        <v>1775</v>
      </c>
      <c r="O660" t="s">
        <v>934</v>
      </c>
      <c r="P660" t="s">
        <v>1094</v>
      </c>
      <c r="Q660" t="s">
        <v>1131</v>
      </c>
      <c r="R660" t="s">
        <v>1585</v>
      </c>
      <c r="S660" t="s">
        <v>1094</v>
      </c>
      <c r="T660" t="s">
        <v>991</v>
      </c>
      <c r="U660" t="s">
        <v>1864</v>
      </c>
      <c r="V660" t="s">
        <v>991</v>
      </c>
      <c r="W660" t="s">
        <v>945</v>
      </c>
      <c r="X660" t="s">
        <v>1029</v>
      </c>
      <c r="Y660" t="s">
        <v>1065</v>
      </c>
      <c r="Z660" t="s">
        <v>934</v>
      </c>
      <c r="AA660" t="s">
        <v>1119</v>
      </c>
      <c r="AB660" t="s">
        <v>1094</v>
      </c>
      <c r="AC660" t="s">
        <v>1008</v>
      </c>
      <c r="AD660" t="s">
        <v>925</v>
      </c>
      <c r="AE660">
        <v>2.1999999999999997</v>
      </c>
      <c r="AF660">
        <v>2.1478000000000002</v>
      </c>
    </row>
    <row r="661" spans="1:32" x14ac:dyDescent="0.25">
      <c r="A661" s="191" t="s">
        <v>2718</v>
      </c>
      <c r="B661" t="s">
        <v>2719</v>
      </c>
      <c r="C661" t="s">
        <v>1032</v>
      </c>
      <c r="D661" t="s">
        <v>1069</v>
      </c>
      <c r="E661" t="s">
        <v>56</v>
      </c>
      <c r="F661" t="s">
        <v>1202</v>
      </c>
      <c r="G661" t="s">
        <v>1717</v>
      </c>
      <c r="H661" t="s">
        <v>988</v>
      </c>
      <c r="I661" t="s">
        <v>918</v>
      </c>
      <c r="J661" t="s">
        <v>1104</v>
      </c>
      <c r="K661" t="s">
        <v>1528</v>
      </c>
      <c r="L661" t="s">
        <v>1094</v>
      </c>
      <c r="M661" t="s">
        <v>1195</v>
      </c>
      <c r="N661" t="s">
        <v>2720</v>
      </c>
      <c r="O661" t="s">
        <v>969</v>
      </c>
      <c r="P661" t="s">
        <v>1310</v>
      </c>
      <c r="Q661" t="s">
        <v>958</v>
      </c>
      <c r="R661" t="s">
        <v>1100</v>
      </c>
      <c r="S661" t="s">
        <v>934</v>
      </c>
      <c r="T661" t="s">
        <v>991</v>
      </c>
      <c r="U661" t="s">
        <v>1131</v>
      </c>
      <c r="V661" t="s">
        <v>1094</v>
      </c>
      <c r="W661" t="s">
        <v>969</v>
      </c>
      <c r="X661" t="s">
        <v>987</v>
      </c>
      <c r="Y661" t="s">
        <v>923</v>
      </c>
      <c r="Z661" t="s">
        <v>934</v>
      </c>
      <c r="AA661" t="s">
        <v>1600</v>
      </c>
      <c r="AB661" t="s">
        <v>934</v>
      </c>
      <c r="AC661" t="s">
        <v>1094</v>
      </c>
      <c r="AD661" t="s">
        <v>925</v>
      </c>
      <c r="AE661">
        <v>2.3000000000000003</v>
      </c>
      <c r="AF661">
        <v>2.1919999999999997</v>
      </c>
    </row>
    <row r="662" spans="1:32" x14ac:dyDescent="0.25">
      <c r="A662" s="191" t="s">
        <v>2721</v>
      </c>
      <c r="B662" t="s">
        <v>2722</v>
      </c>
      <c r="C662" t="s">
        <v>1015</v>
      </c>
      <c r="D662" t="s">
        <v>974</v>
      </c>
      <c r="E662" t="s">
        <v>56</v>
      </c>
      <c r="F662" t="s">
        <v>1123</v>
      </c>
      <c r="G662" t="s">
        <v>1717</v>
      </c>
      <c r="H662" t="s">
        <v>1172</v>
      </c>
      <c r="I662" t="s">
        <v>1008</v>
      </c>
      <c r="J662" t="s">
        <v>1029</v>
      </c>
      <c r="K662" t="s">
        <v>1448</v>
      </c>
      <c r="L662" t="s">
        <v>991</v>
      </c>
      <c r="M662" t="s">
        <v>923</v>
      </c>
      <c r="N662" t="s">
        <v>1767</v>
      </c>
      <c r="O662" t="s">
        <v>1094</v>
      </c>
      <c r="P662" t="s">
        <v>969</v>
      </c>
      <c r="Q662" t="s">
        <v>1709</v>
      </c>
      <c r="R662" t="s">
        <v>1289</v>
      </c>
      <c r="S662" t="s">
        <v>991</v>
      </c>
      <c r="T662" t="s">
        <v>1065</v>
      </c>
      <c r="U662" t="s">
        <v>1634</v>
      </c>
      <c r="V662" t="s">
        <v>1119</v>
      </c>
      <c r="W662" t="s">
        <v>1065</v>
      </c>
      <c r="X662" t="s">
        <v>1008</v>
      </c>
      <c r="Y662" t="s">
        <v>1064</v>
      </c>
      <c r="Z662" t="s">
        <v>1094</v>
      </c>
      <c r="AA662" t="s">
        <v>1600</v>
      </c>
      <c r="AB662" t="s">
        <v>1094</v>
      </c>
      <c r="AC662" t="s">
        <v>991</v>
      </c>
      <c r="AD662" t="s">
        <v>908</v>
      </c>
      <c r="AE662">
        <v>2.2000000000000002</v>
      </c>
      <c r="AF662">
        <v>2.1798999999999999</v>
      </c>
    </row>
    <row r="663" spans="1:32" x14ac:dyDescent="0.25">
      <c r="A663" s="191" t="s">
        <v>2721</v>
      </c>
      <c r="B663" t="s">
        <v>2722</v>
      </c>
      <c r="C663" t="s">
        <v>1015</v>
      </c>
      <c r="D663" t="s">
        <v>121</v>
      </c>
      <c r="E663" t="s">
        <v>56</v>
      </c>
      <c r="F663" t="s">
        <v>1015</v>
      </c>
      <c r="G663" t="s">
        <v>1717</v>
      </c>
      <c r="H663" t="s">
        <v>1172</v>
      </c>
      <c r="I663" t="s">
        <v>969</v>
      </c>
      <c r="J663" t="s">
        <v>1029</v>
      </c>
      <c r="K663" t="s">
        <v>1870</v>
      </c>
      <c r="L663" t="s">
        <v>991</v>
      </c>
      <c r="M663" t="s">
        <v>918</v>
      </c>
      <c r="N663" t="s">
        <v>1683</v>
      </c>
      <c r="O663" t="s">
        <v>934</v>
      </c>
      <c r="P663" t="s">
        <v>969</v>
      </c>
      <c r="Q663" t="s">
        <v>1666</v>
      </c>
      <c r="R663" t="s">
        <v>1358</v>
      </c>
      <c r="S663" t="s">
        <v>991</v>
      </c>
      <c r="T663" t="s">
        <v>969</v>
      </c>
      <c r="U663" t="s">
        <v>1201</v>
      </c>
      <c r="V663" t="s">
        <v>1119</v>
      </c>
      <c r="W663" t="s">
        <v>969</v>
      </c>
      <c r="X663" t="s">
        <v>987</v>
      </c>
      <c r="Y663" t="s">
        <v>918</v>
      </c>
      <c r="Z663" t="s">
        <v>991</v>
      </c>
      <c r="AA663" t="s">
        <v>1600</v>
      </c>
      <c r="AB663" t="s">
        <v>991</v>
      </c>
      <c r="AC663" t="s">
        <v>1065</v>
      </c>
      <c r="AD663" t="s">
        <v>1049</v>
      </c>
      <c r="AE663">
        <v>2</v>
      </c>
      <c r="AF663">
        <v>1.9184999999999999</v>
      </c>
    </row>
    <row r="664" spans="1:32" x14ac:dyDescent="0.25">
      <c r="A664" s="191" t="s">
        <v>2721</v>
      </c>
      <c r="B664" t="s">
        <v>2722</v>
      </c>
      <c r="C664" t="s">
        <v>1015</v>
      </c>
      <c r="D664" t="s">
        <v>70</v>
      </c>
      <c r="E664" t="s">
        <v>56</v>
      </c>
      <c r="F664" t="s">
        <v>1222</v>
      </c>
      <c r="G664" t="s">
        <v>1717</v>
      </c>
      <c r="H664" t="s">
        <v>1116</v>
      </c>
      <c r="I664" t="s">
        <v>987</v>
      </c>
      <c r="J664" t="s">
        <v>1029</v>
      </c>
      <c r="K664" t="s">
        <v>984</v>
      </c>
      <c r="L664" t="s">
        <v>1065</v>
      </c>
      <c r="M664" t="s">
        <v>1064</v>
      </c>
      <c r="N664" t="s">
        <v>978</v>
      </c>
      <c r="O664" t="s">
        <v>1094</v>
      </c>
      <c r="P664" t="s">
        <v>991</v>
      </c>
      <c r="Q664" t="s">
        <v>2049</v>
      </c>
      <c r="R664" t="s">
        <v>1875</v>
      </c>
      <c r="S664" t="s">
        <v>1094</v>
      </c>
      <c r="T664" t="s">
        <v>1094</v>
      </c>
      <c r="U664" t="s">
        <v>2146</v>
      </c>
      <c r="V664" t="s">
        <v>1119</v>
      </c>
      <c r="W664" t="s">
        <v>991</v>
      </c>
      <c r="X664" t="s">
        <v>1065</v>
      </c>
      <c r="Y664" t="s">
        <v>1310</v>
      </c>
      <c r="Z664" t="s">
        <v>1094</v>
      </c>
      <c r="AA664" t="s">
        <v>1119</v>
      </c>
      <c r="AB664" t="s">
        <v>1094</v>
      </c>
      <c r="AC664" t="s">
        <v>1094</v>
      </c>
      <c r="AD664" t="s">
        <v>993</v>
      </c>
      <c r="AE664">
        <v>2.4</v>
      </c>
      <c r="AF664">
        <v>2.5350000000000001</v>
      </c>
    </row>
    <row r="665" spans="1:32" x14ac:dyDescent="0.25">
      <c r="A665" s="191" t="s">
        <v>2723</v>
      </c>
      <c r="B665" t="s">
        <v>2724</v>
      </c>
      <c r="C665" t="s">
        <v>995</v>
      </c>
      <c r="D665" t="s">
        <v>113</v>
      </c>
      <c r="E665" t="s">
        <v>56</v>
      </c>
      <c r="F665" t="s">
        <v>1202</v>
      </c>
      <c r="G665" t="s">
        <v>1717</v>
      </c>
      <c r="H665" t="s">
        <v>1079</v>
      </c>
      <c r="I665" t="s">
        <v>987</v>
      </c>
      <c r="J665" t="s">
        <v>908</v>
      </c>
      <c r="K665" t="s">
        <v>1886</v>
      </c>
      <c r="L665" t="s">
        <v>1094</v>
      </c>
      <c r="M665" t="s">
        <v>1064</v>
      </c>
      <c r="N665" t="s">
        <v>935</v>
      </c>
      <c r="O665" t="s">
        <v>1065</v>
      </c>
      <c r="P665" t="s">
        <v>923</v>
      </c>
      <c r="Q665" t="s">
        <v>1131</v>
      </c>
      <c r="R665" t="s">
        <v>1467</v>
      </c>
      <c r="S665" t="s">
        <v>1094</v>
      </c>
      <c r="T665" t="s">
        <v>991</v>
      </c>
      <c r="U665" t="s">
        <v>1999</v>
      </c>
      <c r="V665" t="s">
        <v>1119</v>
      </c>
      <c r="W665" t="s">
        <v>1008</v>
      </c>
      <c r="X665" t="s">
        <v>987</v>
      </c>
      <c r="Y665" t="s">
        <v>987</v>
      </c>
      <c r="Z665" t="s">
        <v>1094</v>
      </c>
      <c r="AA665" t="s">
        <v>1119</v>
      </c>
      <c r="AB665" t="s">
        <v>987</v>
      </c>
      <c r="AC665" t="s">
        <v>1119</v>
      </c>
      <c r="AD665" t="s">
        <v>908</v>
      </c>
      <c r="AE665">
        <v>2.1999999999999997</v>
      </c>
      <c r="AF665">
        <v>2.0182000000000002</v>
      </c>
    </row>
    <row r="666" spans="1:32" x14ac:dyDescent="0.25">
      <c r="A666" s="191" t="s">
        <v>2725</v>
      </c>
      <c r="B666" t="s">
        <v>2726</v>
      </c>
      <c r="C666" t="s">
        <v>1293</v>
      </c>
      <c r="D666" t="s">
        <v>131</v>
      </c>
      <c r="E666" t="s">
        <v>63</v>
      </c>
      <c r="F666" t="s">
        <v>1212</v>
      </c>
      <c r="G666" t="s">
        <v>1717</v>
      </c>
      <c r="H666" t="s">
        <v>1103</v>
      </c>
      <c r="I666" t="s">
        <v>1008</v>
      </c>
      <c r="J666" t="s">
        <v>1310</v>
      </c>
      <c r="K666" t="s">
        <v>1709</v>
      </c>
      <c r="L666" t="s">
        <v>991</v>
      </c>
      <c r="M666" t="s">
        <v>918</v>
      </c>
      <c r="N666" t="s">
        <v>1719</v>
      </c>
      <c r="O666" t="s">
        <v>991</v>
      </c>
      <c r="P666" t="s">
        <v>969</v>
      </c>
      <c r="Q666" t="s">
        <v>1713</v>
      </c>
      <c r="R666" t="s">
        <v>1493</v>
      </c>
      <c r="S666" t="s">
        <v>991</v>
      </c>
      <c r="T666" t="s">
        <v>1065</v>
      </c>
      <c r="U666" t="s">
        <v>2049</v>
      </c>
      <c r="V666" t="s">
        <v>1094</v>
      </c>
      <c r="W666" t="s">
        <v>918</v>
      </c>
      <c r="X666" t="s">
        <v>945</v>
      </c>
      <c r="Y666" t="s">
        <v>1065</v>
      </c>
      <c r="Z666" t="s">
        <v>1600</v>
      </c>
      <c r="AA666" t="s">
        <v>1600</v>
      </c>
      <c r="AB666" t="s">
        <v>1119</v>
      </c>
      <c r="AC666" t="s">
        <v>991</v>
      </c>
      <c r="AD666" t="s">
        <v>908</v>
      </c>
      <c r="AE666">
        <v>2.2000000000000002</v>
      </c>
      <c r="AF666">
        <v>2.109</v>
      </c>
    </row>
    <row r="667" spans="1:32" x14ac:dyDescent="0.25">
      <c r="A667" s="191" t="s">
        <v>2727</v>
      </c>
      <c r="B667" t="s">
        <v>2728</v>
      </c>
      <c r="C667" t="s">
        <v>1084</v>
      </c>
      <c r="D667" t="s">
        <v>170</v>
      </c>
      <c r="E667" t="s">
        <v>93</v>
      </c>
      <c r="F667" t="s">
        <v>995</v>
      </c>
      <c r="G667" t="s">
        <v>901</v>
      </c>
      <c r="H667" t="s">
        <v>989</v>
      </c>
      <c r="I667" t="s">
        <v>1008</v>
      </c>
      <c r="J667" t="s">
        <v>922</v>
      </c>
      <c r="K667" t="s">
        <v>1434</v>
      </c>
      <c r="L667" t="s">
        <v>1600</v>
      </c>
      <c r="M667" t="s">
        <v>1065</v>
      </c>
      <c r="N667" t="s">
        <v>1936</v>
      </c>
      <c r="O667" t="s">
        <v>1008</v>
      </c>
      <c r="P667" t="s">
        <v>945</v>
      </c>
      <c r="Q667" t="s">
        <v>1401</v>
      </c>
      <c r="R667" t="s">
        <v>1319</v>
      </c>
      <c r="S667" t="s">
        <v>969</v>
      </c>
      <c r="T667" t="s">
        <v>918</v>
      </c>
      <c r="U667" t="s">
        <v>1724</v>
      </c>
      <c r="V667" t="s">
        <v>1065</v>
      </c>
      <c r="W667" t="s">
        <v>918</v>
      </c>
      <c r="X667" t="s">
        <v>1230</v>
      </c>
      <c r="Y667" t="s">
        <v>991</v>
      </c>
      <c r="Z667" t="s">
        <v>1119</v>
      </c>
      <c r="AA667" t="s">
        <v>1119</v>
      </c>
      <c r="AB667" t="s">
        <v>1094</v>
      </c>
      <c r="AC667" t="s">
        <v>923</v>
      </c>
      <c r="AD667" t="s">
        <v>908</v>
      </c>
      <c r="AE667">
        <v>2</v>
      </c>
      <c r="AF667">
        <v>2.1</v>
      </c>
    </row>
    <row r="668" spans="1:32" x14ac:dyDescent="0.25">
      <c r="A668" s="191" t="s">
        <v>2729</v>
      </c>
      <c r="B668" t="s">
        <v>2730</v>
      </c>
      <c r="C668" t="s">
        <v>1238</v>
      </c>
      <c r="D668" t="s">
        <v>170</v>
      </c>
      <c r="E668" t="s">
        <v>63</v>
      </c>
      <c r="F668" t="s">
        <v>975</v>
      </c>
      <c r="G668" t="s">
        <v>1717</v>
      </c>
      <c r="H668" t="s">
        <v>1009</v>
      </c>
      <c r="I668" t="s">
        <v>1008</v>
      </c>
      <c r="J668" t="s">
        <v>968</v>
      </c>
      <c r="K668" t="s">
        <v>1902</v>
      </c>
      <c r="L668" t="s">
        <v>1094</v>
      </c>
      <c r="M668" t="s">
        <v>923</v>
      </c>
      <c r="N668" t="s">
        <v>2341</v>
      </c>
      <c r="O668" t="s">
        <v>991</v>
      </c>
      <c r="P668" t="s">
        <v>987</v>
      </c>
      <c r="Q668" t="s">
        <v>1249</v>
      </c>
      <c r="R668" t="s">
        <v>1709</v>
      </c>
      <c r="S668" t="s">
        <v>991</v>
      </c>
      <c r="T668" t="s">
        <v>991</v>
      </c>
      <c r="U668" t="s">
        <v>1597</v>
      </c>
      <c r="V668" t="s">
        <v>1065</v>
      </c>
      <c r="W668" t="s">
        <v>923</v>
      </c>
      <c r="X668" t="s">
        <v>1230</v>
      </c>
      <c r="Y668" t="s">
        <v>991</v>
      </c>
      <c r="Z668" t="s">
        <v>991</v>
      </c>
      <c r="AA668" t="s">
        <v>934</v>
      </c>
      <c r="AB668" t="s">
        <v>934</v>
      </c>
      <c r="AC668" t="s">
        <v>987</v>
      </c>
      <c r="AD668" t="s">
        <v>908</v>
      </c>
      <c r="AE668">
        <v>2.0999999999999996</v>
      </c>
      <c r="AF668">
        <v>1.9887999999999999</v>
      </c>
    </row>
    <row r="669" spans="1:32" x14ac:dyDescent="0.25">
      <c r="A669" s="191" t="s">
        <v>2731</v>
      </c>
      <c r="B669" t="s">
        <v>2732</v>
      </c>
      <c r="C669" t="s">
        <v>1355</v>
      </c>
      <c r="D669" t="s">
        <v>151</v>
      </c>
      <c r="E669" t="s">
        <v>72</v>
      </c>
      <c r="F669" t="s">
        <v>1480</v>
      </c>
      <c r="G669" t="s">
        <v>949</v>
      </c>
      <c r="H669" t="s">
        <v>1450</v>
      </c>
      <c r="I669" t="s">
        <v>987</v>
      </c>
      <c r="J669" t="s">
        <v>1064</v>
      </c>
      <c r="K669" t="s">
        <v>1826</v>
      </c>
      <c r="L669" t="s">
        <v>1600</v>
      </c>
      <c r="M669" t="s">
        <v>1119</v>
      </c>
      <c r="N669" t="s">
        <v>1719</v>
      </c>
      <c r="O669" t="s">
        <v>1008</v>
      </c>
      <c r="P669" t="s">
        <v>923</v>
      </c>
      <c r="Q669" t="s">
        <v>1999</v>
      </c>
      <c r="R669" t="s">
        <v>2288</v>
      </c>
      <c r="S669" t="s">
        <v>1065</v>
      </c>
      <c r="T669" t="s">
        <v>987</v>
      </c>
      <c r="U669" t="s">
        <v>2245</v>
      </c>
      <c r="V669" t="s">
        <v>918</v>
      </c>
      <c r="W669" t="s">
        <v>1195</v>
      </c>
      <c r="X669" t="s">
        <v>908</v>
      </c>
      <c r="Y669" t="s">
        <v>923</v>
      </c>
      <c r="Z669" t="s">
        <v>1094</v>
      </c>
      <c r="AA669" t="s">
        <v>991</v>
      </c>
      <c r="AB669" t="s">
        <v>1094</v>
      </c>
      <c r="AC669" t="s">
        <v>1230</v>
      </c>
      <c r="AD669" t="s">
        <v>908</v>
      </c>
      <c r="AE669">
        <v>2.1</v>
      </c>
      <c r="AF669">
        <v>2.0688</v>
      </c>
    </row>
    <row r="670" spans="1:32" x14ac:dyDescent="0.25">
      <c r="A670" s="191" t="s">
        <v>2733</v>
      </c>
      <c r="B670" t="s">
        <v>2734</v>
      </c>
      <c r="C670" t="s">
        <v>1032</v>
      </c>
      <c r="D670" t="s">
        <v>133</v>
      </c>
      <c r="E670" t="s">
        <v>63</v>
      </c>
      <c r="F670" t="s">
        <v>1162</v>
      </c>
      <c r="G670" t="s">
        <v>1717</v>
      </c>
      <c r="H670" t="s">
        <v>1046</v>
      </c>
      <c r="I670" t="s">
        <v>987</v>
      </c>
      <c r="J670" t="s">
        <v>925</v>
      </c>
      <c r="K670" t="s">
        <v>1425</v>
      </c>
      <c r="L670" t="s">
        <v>1119</v>
      </c>
      <c r="M670" t="s">
        <v>987</v>
      </c>
      <c r="N670" t="s">
        <v>2485</v>
      </c>
      <c r="O670" t="s">
        <v>969</v>
      </c>
      <c r="P670" t="s">
        <v>1230</v>
      </c>
      <c r="Q670" t="s">
        <v>978</v>
      </c>
      <c r="R670" t="s">
        <v>1758</v>
      </c>
      <c r="S670" t="s">
        <v>1094</v>
      </c>
      <c r="T670" t="s">
        <v>991</v>
      </c>
      <c r="U670" t="s">
        <v>1696</v>
      </c>
      <c r="V670" t="s">
        <v>1600</v>
      </c>
      <c r="W670" t="s">
        <v>969</v>
      </c>
      <c r="X670" t="s">
        <v>969</v>
      </c>
      <c r="Y670" t="s">
        <v>969</v>
      </c>
      <c r="Z670" t="s">
        <v>991</v>
      </c>
      <c r="AA670" t="s">
        <v>934</v>
      </c>
      <c r="AB670" t="s">
        <v>991</v>
      </c>
      <c r="AC670" t="s">
        <v>1119</v>
      </c>
      <c r="AD670" t="s">
        <v>956</v>
      </c>
      <c r="AE670">
        <v>2</v>
      </c>
      <c r="AF670">
        <v>1.9636000000000005</v>
      </c>
    </row>
    <row r="671" spans="1:32" x14ac:dyDescent="0.25">
      <c r="A671" s="191" t="s">
        <v>2735</v>
      </c>
      <c r="B671" t="s">
        <v>420</v>
      </c>
      <c r="C671" t="s">
        <v>1032</v>
      </c>
      <c r="D671" t="s">
        <v>129</v>
      </c>
      <c r="E671" t="s">
        <v>56</v>
      </c>
      <c r="F671" t="s">
        <v>1403</v>
      </c>
      <c r="G671" t="s">
        <v>1717</v>
      </c>
      <c r="H671" t="s">
        <v>1026</v>
      </c>
      <c r="I671" t="s">
        <v>1008</v>
      </c>
      <c r="J671" t="s">
        <v>956</v>
      </c>
      <c r="K671" t="s">
        <v>2432</v>
      </c>
      <c r="L671" t="s">
        <v>1094</v>
      </c>
      <c r="M671" t="s">
        <v>1064</v>
      </c>
      <c r="N671" t="s">
        <v>1190</v>
      </c>
      <c r="O671" t="s">
        <v>1094</v>
      </c>
      <c r="P671" t="s">
        <v>918</v>
      </c>
      <c r="Q671" t="s">
        <v>1909</v>
      </c>
      <c r="R671" t="s">
        <v>1797</v>
      </c>
      <c r="S671" t="s">
        <v>1094</v>
      </c>
      <c r="T671" t="s">
        <v>991</v>
      </c>
      <c r="U671" t="s">
        <v>1547</v>
      </c>
      <c r="V671" t="s">
        <v>934</v>
      </c>
      <c r="W671" t="s">
        <v>1065</v>
      </c>
      <c r="X671" t="s">
        <v>1008</v>
      </c>
      <c r="Y671" t="s">
        <v>922</v>
      </c>
      <c r="Z671" t="s">
        <v>1094</v>
      </c>
      <c r="AA671" t="s">
        <v>1119</v>
      </c>
      <c r="AB671" t="s">
        <v>991</v>
      </c>
      <c r="AC671" t="s">
        <v>969</v>
      </c>
      <c r="AD671" t="s">
        <v>956</v>
      </c>
      <c r="AE671">
        <v>1.9999999999999998</v>
      </c>
      <c r="AF671">
        <v>1.9572000000000001</v>
      </c>
    </row>
    <row r="672" spans="1:32" x14ac:dyDescent="0.25">
      <c r="A672" s="191" t="s">
        <v>874</v>
      </c>
      <c r="B672" t="s">
        <v>171</v>
      </c>
      <c r="C672" t="s">
        <v>875</v>
      </c>
      <c r="D672" t="s">
        <v>172</v>
      </c>
      <c r="E672" t="s">
        <v>876</v>
      </c>
      <c r="F672" t="s">
        <v>392</v>
      </c>
      <c r="G672" t="s">
        <v>877</v>
      </c>
      <c r="H672" t="s">
        <v>878</v>
      </c>
      <c r="I672" t="s">
        <v>879</v>
      </c>
      <c r="J672" t="s">
        <v>880</v>
      </c>
      <c r="K672" t="s">
        <v>881</v>
      </c>
      <c r="L672" t="s">
        <v>882</v>
      </c>
      <c r="M672" t="s">
        <v>883</v>
      </c>
      <c r="N672" t="s">
        <v>884</v>
      </c>
      <c r="O672" t="s">
        <v>885</v>
      </c>
      <c r="P672" t="s">
        <v>886</v>
      </c>
      <c r="Q672" t="s">
        <v>887</v>
      </c>
      <c r="R672" t="s">
        <v>888</v>
      </c>
      <c r="S672" t="s">
        <v>889</v>
      </c>
      <c r="T672" t="s">
        <v>890</v>
      </c>
      <c r="U672" t="s">
        <v>891</v>
      </c>
      <c r="V672" t="s">
        <v>892</v>
      </c>
      <c r="W672" t="s">
        <v>893</v>
      </c>
      <c r="X672" t="s">
        <v>894</v>
      </c>
      <c r="Y672" t="s">
        <v>895</v>
      </c>
      <c r="Z672" t="s">
        <v>896</v>
      </c>
      <c r="AA672" t="s">
        <v>897</v>
      </c>
      <c r="AB672" t="s">
        <v>898</v>
      </c>
      <c r="AC672" t="s">
        <v>93</v>
      </c>
      <c r="AD672" t="s">
        <v>899</v>
      </c>
      <c r="AE672" t="e">
        <v>#VALUE!</v>
      </c>
      <c r="AF672" t="e">
        <v>#VALUE!</v>
      </c>
    </row>
    <row r="673" spans="1:682" x14ac:dyDescent="0.25">
      <c r="A673" s="191" t="s">
        <v>2736</v>
      </c>
      <c r="B673" t="s">
        <v>2737</v>
      </c>
      <c r="C673" t="s">
        <v>995</v>
      </c>
      <c r="D673" t="s">
        <v>131</v>
      </c>
      <c r="E673" t="s">
        <v>72</v>
      </c>
      <c r="F673" t="s">
        <v>972</v>
      </c>
      <c r="G673" t="s">
        <v>1717</v>
      </c>
      <c r="H673" t="s">
        <v>1043</v>
      </c>
      <c r="I673" t="s">
        <v>923</v>
      </c>
      <c r="J673" t="s">
        <v>968</v>
      </c>
      <c r="K673" t="s">
        <v>913</v>
      </c>
      <c r="L673" t="s">
        <v>1600</v>
      </c>
      <c r="M673" t="s">
        <v>1600</v>
      </c>
      <c r="N673" t="s">
        <v>927</v>
      </c>
      <c r="O673" t="s">
        <v>923</v>
      </c>
      <c r="P673" t="s">
        <v>968</v>
      </c>
      <c r="Q673" t="s">
        <v>913</v>
      </c>
      <c r="R673" t="s">
        <v>913</v>
      </c>
      <c r="S673" t="s">
        <v>1600</v>
      </c>
      <c r="T673" t="s">
        <v>1600</v>
      </c>
      <c r="U673" t="s">
        <v>927</v>
      </c>
      <c r="V673" t="s">
        <v>1195</v>
      </c>
      <c r="W673" t="s">
        <v>1094</v>
      </c>
      <c r="X673" t="s">
        <v>1310</v>
      </c>
      <c r="Y673" t="s">
        <v>1094</v>
      </c>
      <c r="Z673" t="s">
        <v>1600</v>
      </c>
      <c r="AA673" t="s">
        <v>1600</v>
      </c>
      <c r="AB673" t="s">
        <v>1094</v>
      </c>
      <c r="AC673" t="s">
        <v>1094</v>
      </c>
      <c r="AD673" t="s">
        <v>956</v>
      </c>
      <c r="AE673">
        <v>2</v>
      </c>
      <c r="AF673" t="e">
        <v>#VALUE!</v>
      </c>
    </row>
    <row r="674" spans="1:682" x14ac:dyDescent="0.25">
      <c r="A674" s="191" t="s">
        <v>2738</v>
      </c>
      <c r="B674" t="s">
        <v>2739</v>
      </c>
      <c r="C674" t="s">
        <v>973</v>
      </c>
      <c r="D674" t="s">
        <v>79</v>
      </c>
      <c r="E674" t="s">
        <v>93</v>
      </c>
      <c r="F674" t="s">
        <v>1233</v>
      </c>
      <c r="G674" t="s">
        <v>1717</v>
      </c>
      <c r="H674" t="s">
        <v>1172</v>
      </c>
      <c r="I674" t="s">
        <v>987</v>
      </c>
      <c r="J674" t="s">
        <v>968</v>
      </c>
      <c r="K674" t="s">
        <v>1555</v>
      </c>
      <c r="L674" t="s">
        <v>934</v>
      </c>
      <c r="M674" t="s">
        <v>1008</v>
      </c>
      <c r="N674" t="s">
        <v>1216</v>
      </c>
      <c r="O674" t="s">
        <v>1008</v>
      </c>
      <c r="P674" t="s">
        <v>945</v>
      </c>
      <c r="Q674" t="s">
        <v>1532</v>
      </c>
      <c r="R674" t="s">
        <v>1131</v>
      </c>
      <c r="S674" t="s">
        <v>1119</v>
      </c>
      <c r="T674" t="s">
        <v>934</v>
      </c>
      <c r="U674" t="s">
        <v>1999</v>
      </c>
      <c r="V674" t="s">
        <v>1065</v>
      </c>
      <c r="W674" t="s">
        <v>945</v>
      </c>
      <c r="X674" t="s">
        <v>1029</v>
      </c>
      <c r="Y674" t="s">
        <v>969</v>
      </c>
      <c r="Z674" t="s">
        <v>934</v>
      </c>
      <c r="AA674" t="s">
        <v>1119</v>
      </c>
      <c r="AB674" t="s">
        <v>1094</v>
      </c>
      <c r="AC674" t="s">
        <v>969</v>
      </c>
      <c r="AD674" t="s">
        <v>1049</v>
      </c>
      <c r="AE674">
        <v>1.9000000000000004</v>
      </c>
      <c r="AF674">
        <v>1.9193000000000002</v>
      </c>
    </row>
    <row r="675" spans="1:682" x14ac:dyDescent="0.25">
      <c r="A675" s="191" t="s">
        <v>2740</v>
      </c>
      <c r="B675" t="s">
        <v>2741</v>
      </c>
      <c r="C675" t="s">
        <v>995</v>
      </c>
      <c r="D675" t="s">
        <v>129</v>
      </c>
      <c r="E675" t="s">
        <v>72</v>
      </c>
      <c r="F675" t="s">
        <v>973</v>
      </c>
      <c r="G675" t="s">
        <v>901</v>
      </c>
      <c r="H675" t="s">
        <v>1062</v>
      </c>
      <c r="I675" t="s">
        <v>987</v>
      </c>
      <c r="J675" t="s">
        <v>945</v>
      </c>
      <c r="K675" t="s">
        <v>2593</v>
      </c>
      <c r="L675" t="s">
        <v>1600</v>
      </c>
      <c r="M675" t="s">
        <v>1600</v>
      </c>
      <c r="N675" t="s">
        <v>927</v>
      </c>
      <c r="O675" t="s">
        <v>987</v>
      </c>
      <c r="P675" t="s">
        <v>945</v>
      </c>
      <c r="Q675" t="s">
        <v>2593</v>
      </c>
      <c r="R675" t="s">
        <v>2593</v>
      </c>
      <c r="S675" t="s">
        <v>934</v>
      </c>
      <c r="T675" t="s">
        <v>1065</v>
      </c>
      <c r="U675" t="s">
        <v>1709</v>
      </c>
      <c r="V675" t="s">
        <v>969</v>
      </c>
      <c r="W675" t="s">
        <v>1310</v>
      </c>
      <c r="X675" t="s">
        <v>956</v>
      </c>
      <c r="Y675" t="s">
        <v>991</v>
      </c>
      <c r="Z675" t="s">
        <v>1600</v>
      </c>
      <c r="AA675" t="s">
        <v>969</v>
      </c>
      <c r="AB675" t="s">
        <v>987</v>
      </c>
      <c r="AC675" t="s">
        <v>1195</v>
      </c>
      <c r="AD675" t="s">
        <v>1049</v>
      </c>
      <c r="AE675">
        <v>1.8</v>
      </c>
      <c r="AF675" t="e">
        <v>#VALUE!</v>
      </c>
    </row>
    <row r="676" spans="1:682" x14ac:dyDescent="0.25">
      <c r="A676" s="191" t="s">
        <v>2742</v>
      </c>
      <c r="B676" t="s">
        <v>2743</v>
      </c>
      <c r="C676" t="s">
        <v>1245</v>
      </c>
      <c r="D676" t="s">
        <v>97</v>
      </c>
      <c r="E676" t="s">
        <v>47</v>
      </c>
      <c r="F676" t="s">
        <v>1083</v>
      </c>
      <c r="G676" t="s">
        <v>1717</v>
      </c>
      <c r="H676" t="s">
        <v>1043</v>
      </c>
      <c r="I676" t="s">
        <v>987</v>
      </c>
      <c r="J676" t="s">
        <v>1195</v>
      </c>
      <c r="K676" t="s">
        <v>1836</v>
      </c>
      <c r="L676" t="s">
        <v>1094</v>
      </c>
      <c r="M676" t="s">
        <v>969</v>
      </c>
      <c r="N676" t="s">
        <v>1719</v>
      </c>
      <c r="O676" t="s">
        <v>1065</v>
      </c>
      <c r="P676" t="s">
        <v>969</v>
      </c>
      <c r="Q676" t="s">
        <v>963</v>
      </c>
      <c r="R676" t="s">
        <v>2333</v>
      </c>
      <c r="S676" t="s">
        <v>1119</v>
      </c>
      <c r="T676" t="s">
        <v>1094</v>
      </c>
      <c r="U676" t="s">
        <v>1131</v>
      </c>
      <c r="V676" t="s">
        <v>1119</v>
      </c>
      <c r="W676" t="s">
        <v>987</v>
      </c>
      <c r="X676" t="s">
        <v>918</v>
      </c>
      <c r="Y676" t="s">
        <v>918</v>
      </c>
      <c r="Z676" t="s">
        <v>1094</v>
      </c>
      <c r="AA676" t="s">
        <v>1119</v>
      </c>
      <c r="AB676" t="s">
        <v>1119</v>
      </c>
      <c r="AC676" t="s">
        <v>923</v>
      </c>
      <c r="AD676" t="s">
        <v>1049</v>
      </c>
      <c r="AE676">
        <v>2</v>
      </c>
      <c r="AF676">
        <v>1.99</v>
      </c>
    </row>
    <row r="677" spans="1:682" x14ac:dyDescent="0.25">
      <c r="A677" s="191" t="s">
        <v>2744</v>
      </c>
      <c r="B677" t="s">
        <v>2745</v>
      </c>
      <c r="C677" t="s">
        <v>1384</v>
      </c>
      <c r="D677" t="s">
        <v>163</v>
      </c>
      <c r="E677" t="s">
        <v>63</v>
      </c>
      <c r="F677" t="s">
        <v>1015</v>
      </c>
      <c r="G677" t="s">
        <v>1717</v>
      </c>
      <c r="H677" t="s">
        <v>1027</v>
      </c>
      <c r="I677" t="s">
        <v>969</v>
      </c>
      <c r="J677" t="s">
        <v>908</v>
      </c>
      <c r="K677" t="s">
        <v>2341</v>
      </c>
      <c r="L677" t="s">
        <v>934</v>
      </c>
      <c r="M677" t="s">
        <v>923</v>
      </c>
      <c r="N677" t="s">
        <v>2222</v>
      </c>
      <c r="O677" t="s">
        <v>991</v>
      </c>
      <c r="P677" t="s">
        <v>1064</v>
      </c>
      <c r="Q677" t="s">
        <v>910</v>
      </c>
      <c r="R677" t="s">
        <v>1406</v>
      </c>
      <c r="S677" t="s">
        <v>991</v>
      </c>
      <c r="T677" t="s">
        <v>991</v>
      </c>
      <c r="U677" t="s">
        <v>2746</v>
      </c>
      <c r="V677" t="s">
        <v>1094</v>
      </c>
      <c r="W677" t="s">
        <v>1008</v>
      </c>
      <c r="X677" t="s">
        <v>923</v>
      </c>
      <c r="Y677" t="s">
        <v>1064</v>
      </c>
      <c r="Z677" t="s">
        <v>969</v>
      </c>
      <c r="AA677" t="s">
        <v>1119</v>
      </c>
      <c r="AB677" t="s">
        <v>991</v>
      </c>
      <c r="AC677" t="s">
        <v>987</v>
      </c>
      <c r="AD677" t="s">
        <v>1049</v>
      </c>
      <c r="AE677">
        <v>1.7999999999999998</v>
      </c>
      <c r="AF677">
        <v>1.8338000000000001</v>
      </c>
    </row>
    <row r="678" spans="1:682" x14ac:dyDescent="0.25">
      <c r="A678" s="191" t="s">
        <v>2747</v>
      </c>
      <c r="B678" t="s">
        <v>2748</v>
      </c>
      <c r="C678" t="s">
        <v>902</v>
      </c>
      <c r="D678" t="s">
        <v>974</v>
      </c>
      <c r="E678" t="s">
        <v>72</v>
      </c>
      <c r="F678" t="s">
        <v>1399</v>
      </c>
      <c r="G678" t="s">
        <v>1031</v>
      </c>
      <c r="H678" t="s">
        <v>944</v>
      </c>
      <c r="I678" t="s">
        <v>987</v>
      </c>
      <c r="J678" t="s">
        <v>1195</v>
      </c>
      <c r="K678" t="s">
        <v>1638</v>
      </c>
      <c r="L678" t="s">
        <v>1600</v>
      </c>
      <c r="M678" t="s">
        <v>1600</v>
      </c>
      <c r="N678" t="s">
        <v>927</v>
      </c>
      <c r="O678" t="s">
        <v>987</v>
      </c>
      <c r="P678" t="s">
        <v>1195</v>
      </c>
      <c r="Q678" t="s">
        <v>1638</v>
      </c>
      <c r="R678" t="s">
        <v>1638</v>
      </c>
      <c r="S678" t="s">
        <v>934</v>
      </c>
      <c r="T678" t="s">
        <v>934</v>
      </c>
      <c r="U678" t="s">
        <v>2169</v>
      </c>
      <c r="V678" t="s">
        <v>1195</v>
      </c>
      <c r="W678" t="s">
        <v>924</v>
      </c>
      <c r="X678" t="s">
        <v>1030</v>
      </c>
      <c r="Y678" t="s">
        <v>969</v>
      </c>
      <c r="Z678" t="s">
        <v>934</v>
      </c>
      <c r="AA678" t="s">
        <v>991</v>
      </c>
      <c r="AB678" t="s">
        <v>969</v>
      </c>
      <c r="AC678" t="s">
        <v>945</v>
      </c>
      <c r="AD678" t="s">
        <v>968</v>
      </c>
      <c r="AE678">
        <v>1.8</v>
      </c>
      <c r="AF678" t="e">
        <v>#VALUE!</v>
      </c>
    </row>
    <row r="679" spans="1:682" x14ac:dyDescent="0.25">
      <c r="A679" s="191" t="s">
        <v>2747</v>
      </c>
      <c r="B679" t="s">
        <v>2748</v>
      </c>
      <c r="C679" t="s">
        <v>902</v>
      </c>
      <c r="D679" t="s">
        <v>129</v>
      </c>
      <c r="E679" t="s">
        <v>72</v>
      </c>
      <c r="F679" t="s">
        <v>1390</v>
      </c>
      <c r="G679" t="s">
        <v>1031</v>
      </c>
      <c r="H679" t="s">
        <v>1394</v>
      </c>
      <c r="I679" t="s">
        <v>1008</v>
      </c>
      <c r="J679" t="s">
        <v>945</v>
      </c>
      <c r="K679" t="s">
        <v>1325</v>
      </c>
      <c r="L679" t="s">
        <v>1600</v>
      </c>
      <c r="M679" t="s">
        <v>1600</v>
      </c>
      <c r="N679" t="s">
        <v>927</v>
      </c>
      <c r="O679" t="s">
        <v>1008</v>
      </c>
      <c r="P679" t="s">
        <v>945</v>
      </c>
      <c r="Q679" t="s">
        <v>1325</v>
      </c>
      <c r="R679" t="s">
        <v>1325</v>
      </c>
      <c r="S679" t="s">
        <v>934</v>
      </c>
      <c r="T679" t="s">
        <v>1094</v>
      </c>
      <c r="U679" t="s">
        <v>2169</v>
      </c>
      <c r="V679" t="s">
        <v>1195</v>
      </c>
      <c r="W679" t="s">
        <v>956</v>
      </c>
      <c r="X679" t="s">
        <v>970</v>
      </c>
      <c r="Y679" t="s">
        <v>969</v>
      </c>
      <c r="Z679" t="s">
        <v>934</v>
      </c>
      <c r="AA679" t="s">
        <v>1094</v>
      </c>
      <c r="AB679" t="s">
        <v>1065</v>
      </c>
      <c r="AC679" t="s">
        <v>945</v>
      </c>
      <c r="AD679" t="s">
        <v>1029</v>
      </c>
      <c r="AE679">
        <v>1.5999999999999999</v>
      </c>
      <c r="AF679" t="e">
        <v>#VALUE!</v>
      </c>
    </row>
    <row r="680" spans="1:682" x14ac:dyDescent="0.25">
      <c r="A680" s="191" t="s">
        <v>2747</v>
      </c>
      <c r="B680" t="s">
        <v>2748</v>
      </c>
      <c r="C680" t="s">
        <v>902</v>
      </c>
      <c r="D680" t="s">
        <v>105</v>
      </c>
      <c r="E680" t="s">
        <v>72</v>
      </c>
      <c r="F680" t="s">
        <v>1162</v>
      </c>
      <c r="G680" t="s">
        <v>1717</v>
      </c>
      <c r="H680" t="s">
        <v>1487</v>
      </c>
      <c r="I680" t="s">
        <v>945</v>
      </c>
      <c r="J680" t="s">
        <v>968</v>
      </c>
      <c r="K680" t="s">
        <v>2438</v>
      </c>
      <c r="L680" t="s">
        <v>1600</v>
      </c>
      <c r="M680" t="s">
        <v>1600</v>
      </c>
      <c r="N680" t="s">
        <v>927</v>
      </c>
      <c r="O680" t="s">
        <v>945</v>
      </c>
      <c r="P680" t="s">
        <v>968</v>
      </c>
      <c r="Q680" t="s">
        <v>2438</v>
      </c>
      <c r="R680" t="s">
        <v>2438</v>
      </c>
      <c r="S680" t="s">
        <v>1600</v>
      </c>
      <c r="T680" t="s">
        <v>1600</v>
      </c>
      <c r="U680" t="s">
        <v>927</v>
      </c>
      <c r="V680" t="s">
        <v>1230</v>
      </c>
      <c r="W680" t="s">
        <v>1000</v>
      </c>
      <c r="X680" t="s">
        <v>1046</v>
      </c>
      <c r="Y680" t="s">
        <v>987</v>
      </c>
      <c r="Z680" t="s">
        <v>1119</v>
      </c>
      <c r="AA680" t="s">
        <v>969</v>
      </c>
      <c r="AB680" t="s">
        <v>918</v>
      </c>
      <c r="AC680" t="s">
        <v>1230</v>
      </c>
      <c r="AD680" t="s">
        <v>924</v>
      </c>
      <c r="AE680">
        <v>2.4</v>
      </c>
      <c r="AF680" t="e">
        <v>#VALUE!</v>
      </c>
    </row>
    <row r="681" spans="1:682" x14ac:dyDescent="0.25">
      <c r="A681" s="191" t="s">
        <v>2749</v>
      </c>
      <c r="B681" t="s">
        <v>2750</v>
      </c>
      <c r="C681" t="s">
        <v>1293</v>
      </c>
      <c r="D681" t="s">
        <v>148</v>
      </c>
      <c r="E681" t="s">
        <v>93</v>
      </c>
      <c r="F681" t="s">
        <v>1147</v>
      </c>
      <c r="G681" t="s">
        <v>1717</v>
      </c>
      <c r="H681" t="s">
        <v>1483</v>
      </c>
      <c r="I681" t="s">
        <v>987</v>
      </c>
      <c r="J681" t="s">
        <v>956</v>
      </c>
      <c r="K681" t="s">
        <v>1683</v>
      </c>
      <c r="L681" t="s">
        <v>1094</v>
      </c>
      <c r="M681" t="s">
        <v>945</v>
      </c>
      <c r="N681" t="s">
        <v>2205</v>
      </c>
      <c r="O681" t="s">
        <v>1065</v>
      </c>
      <c r="P681" t="s">
        <v>987</v>
      </c>
      <c r="Q681" t="s">
        <v>1713</v>
      </c>
      <c r="R681" t="s">
        <v>1709</v>
      </c>
      <c r="S681" t="s">
        <v>1600</v>
      </c>
      <c r="T681" t="s">
        <v>1600</v>
      </c>
      <c r="U681" t="s">
        <v>927</v>
      </c>
      <c r="V681" t="s">
        <v>1065</v>
      </c>
      <c r="W681" t="s">
        <v>956</v>
      </c>
      <c r="X681" t="s">
        <v>993</v>
      </c>
      <c r="Y681" t="s">
        <v>1008</v>
      </c>
      <c r="Z681" t="s">
        <v>934</v>
      </c>
      <c r="AA681" t="s">
        <v>934</v>
      </c>
      <c r="AB681" t="s">
        <v>987</v>
      </c>
      <c r="AC681" t="s">
        <v>987</v>
      </c>
      <c r="AD681" t="s">
        <v>968</v>
      </c>
      <c r="AE681">
        <v>1.9</v>
      </c>
      <c r="AF681" t="e">
        <v>#VALUE!</v>
      </c>
    </row>
    <row r="682" spans="1:682" x14ac:dyDescent="0.25">
      <c r="A682" s="191" t="s">
        <v>2751</v>
      </c>
      <c r="B682" t="s">
        <v>2752</v>
      </c>
      <c r="C682" t="s">
        <v>973</v>
      </c>
      <c r="D682" t="s">
        <v>48</v>
      </c>
      <c r="E682" t="s">
        <v>63</v>
      </c>
      <c r="F682" t="s">
        <v>1376</v>
      </c>
      <c r="G682" t="s">
        <v>1717</v>
      </c>
      <c r="H682" t="s">
        <v>1291</v>
      </c>
      <c r="I682" t="s">
        <v>1008</v>
      </c>
      <c r="J682" t="s">
        <v>1012</v>
      </c>
      <c r="K682" t="s">
        <v>2753</v>
      </c>
      <c r="L682" t="s">
        <v>991</v>
      </c>
      <c r="M682" t="s">
        <v>1049</v>
      </c>
      <c r="N682" t="s">
        <v>2754</v>
      </c>
      <c r="O682" t="s">
        <v>1094</v>
      </c>
      <c r="P682" t="s">
        <v>969</v>
      </c>
      <c r="Q682" t="s">
        <v>1555</v>
      </c>
      <c r="R682" t="s">
        <v>1666</v>
      </c>
      <c r="S682" t="s">
        <v>1600</v>
      </c>
      <c r="T682" t="s">
        <v>1119</v>
      </c>
      <c r="U682" t="s">
        <v>1131</v>
      </c>
      <c r="V682" t="s">
        <v>934</v>
      </c>
      <c r="W682" t="s">
        <v>1065</v>
      </c>
      <c r="X682" t="s">
        <v>1008</v>
      </c>
      <c r="Y682" t="s">
        <v>1094</v>
      </c>
      <c r="Z682" t="s">
        <v>934</v>
      </c>
      <c r="AA682" t="s">
        <v>1119</v>
      </c>
      <c r="AB682" t="s">
        <v>1119</v>
      </c>
      <c r="AC682" t="s">
        <v>991</v>
      </c>
      <c r="AD682" t="s">
        <v>968</v>
      </c>
      <c r="AE682">
        <v>1.8</v>
      </c>
      <c r="AF682">
        <v>1.7970000000000002</v>
      </c>
    </row>
    <row r="683" spans="1:682" x14ac:dyDescent="0.25">
      <c r="A683" s="191" t="s">
        <v>2755</v>
      </c>
      <c r="B683" t="s">
        <v>2756</v>
      </c>
      <c r="C683" t="s">
        <v>1232</v>
      </c>
      <c r="D683" t="s">
        <v>79</v>
      </c>
      <c r="E683" t="s">
        <v>47</v>
      </c>
      <c r="F683" t="s">
        <v>1051</v>
      </c>
      <c r="G683" t="s">
        <v>1717</v>
      </c>
      <c r="H683" t="s">
        <v>1047</v>
      </c>
      <c r="I683" t="s">
        <v>1008</v>
      </c>
      <c r="J683" t="s">
        <v>968</v>
      </c>
      <c r="K683" t="s">
        <v>1870</v>
      </c>
      <c r="L683" t="s">
        <v>1600</v>
      </c>
      <c r="M683" t="s">
        <v>1094</v>
      </c>
      <c r="N683" t="s">
        <v>1646</v>
      </c>
      <c r="O683" t="s">
        <v>1008</v>
      </c>
      <c r="P683" t="s">
        <v>1310</v>
      </c>
      <c r="Q683" t="s">
        <v>1297</v>
      </c>
      <c r="R683" t="s">
        <v>1870</v>
      </c>
      <c r="S683" t="s">
        <v>1065</v>
      </c>
      <c r="T683" t="s">
        <v>1065</v>
      </c>
      <c r="U683" t="s">
        <v>2146</v>
      </c>
      <c r="V683" t="s">
        <v>934</v>
      </c>
      <c r="W683" t="s">
        <v>1065</v>
      </c>
      <c r="X683" t="s">
        <v>1008</v>
      </c>
      <c r="Y683" t="s">
        <v>1600</v>
      </c>
      <c r="Z683" t="s">
        <v>1600</v>
      </c>
      <c r="AA683" t="s">
        <v>1600</v>
      </c>
      <c r="AB683" t="s">
        <v>934</v>
      </c>
      <c r="AC683" t="s">
        <v>1008</v>
      </c>
      <c r="AD683" t="s">
        <v>968</v>
      </c>
      <c r="AE683">
        <v>1.9</v>
      </c>
      <c r="AF683">
        <v>1.8320000000000001</v>
      </c>
    </row>
    <row r="684" spans="1:682" x14ac:dyDescent="0.25">
      <c r="A684" s="191" t="s">
        <v>2757</v>
      </c>
      <c r="B684" t="s">
        <v>2758</v>
      </c>
      <c r="C684" t="s">
        <v>1084</v>
      </c>
      <c r="D684" t="s">
        <v>131</v>
      </c>
      <c r="E684" t="s">
        <v>93</v>
      </c>
      <c r="F684" t="s">
        <v>1137</v>
      </c>
      <c r="G684" t="s">
        <v>1717</v>
      </c>
      <c r="H684" t="s">
        <v>1103</v>
      </c>
      <c r="I684" t="s">
        <v>1008</v>
      </c>
      <c r="J684" t="s">
        <v>1195</v>
      </c>
      <c r="K684" t="s">
        <v>1381</v>
      </c>
      <c r="L684" t="s">
        <v>1094</v>
      </c>
      <c r="M684" t="s">
        <v>987</v>
      </c>
      <c r="N684" t="s">
        <v>2341</v>
      </c>
      <c r="O684" t="s">
        <v>991</v>
      </c>
      <c r="P684" t="s">
        <v>991</v>
      </c>
      <c r="Q684" t="s">
        <v>2146</v>
      </c>
      <c r="R684" t="s">
        <v>1990</v>
      </c>
      <c r="S684" t="s">
        <v>934</v>
      </c>
      <c r="T684" t="s">
        <v>934</v>
      </c>
      <c r="U684" t="s">
        <v>2146</v>
      </c>
      <c r="V684" t="s">
        <v>1094</v>
      </c>
      <c r="W684" t="s">
        <v>1065</v>
      </c>
      <c r="X684" t="s">
        <v>987</v>
      </c>
      <c r="Y684" t="s">
        <v>1094</v>
      </c>
      <c r="Z684" t="s">
        <v>1119</v>
      </c>
      <c r="AA684" t="s">
        <v>1119</v>
      </c>
      <c r="AB684" t="s">
        <v>934</v>
      </c>
      <c r="AC684" t="s">
        <v>918</v>
      </c>
      <c r="AD684" t="s">
        <v>968</v>
      </c>
      <c r="AE684">
        <v>1.8999999999999997</v>
      </c>
      <c r="AF684">
        <v>1.92</v>
      </c>
    </row>
    <row r="685" spans="1:682" x14ac:dyDescent="0.25">
      <c r="A685" s="191" t="s">
        <v>2759</v>
      </c>
      <c r="B685" t="s">
        <v>2760</v>
      </c>
      <c r="C685" t="s">
        <v>1084</v>
      </c>
      <c r="D685" t="s">
        <v>131</v>
      </c>
      <c r="E685" t="s">
        <v>56</v>
      </c>
      <c r="F685" t="s">
        <v>1051</v>
      </c>
      <c r="G685" t="s">
        <v>1717</v>
      </c>
      <c r="H685" t="s">
        <v>920</v>
      </c>
      <c r="I685" t="s">
        <v>1008</v>
      </c>
      <c r="J685" t="s">
        <v>987</v>
      </c>
      <c r="K685" t="s">
        <v>963</v>
      </c>
      <c r="L685" t="s">
        <v>934</v>
      </c>
      <c r="M685" t="s">
        <v>1094</v>
      </c>
      <c r="N685" t="s">
        <v>1131</v>
      </c>
      <c r="O685" t="s">
        <v>1065</v>
      </c>
      <c r="P685" t="s">
        <v>1065</v>
      </c>
      <c r="Q685" t="s">
        <v>2146</v>
      </c>
      <c r="R685" t="s">
        <v>2176</v>
      </c>
      <c r="S685" t="s">
        <v>1094</v>
      </c>
      <c r="T685" t="s">
        <v>1094</v>
      </c>
      <c r="U685" t="s">
        <v>2146</v>
      </c>
      <c r="V685" t="s">
        <v>934</v>
      </c>
      <c r="W685" t="s">
        <v>1094</v>
      </c>
      <c r="X685" t="s">
        <v>1065</v>
      </c>
      <c r="Y685" t="s">
        <v>923</v>
      </c>
      <c r="Z685" t="s">
        <v>1600</v>
      </c>
      <c r="AA685" t="s">
        <v>1600</v>
      </c>
      <c r="AB685" t="s">
        <v>934</v>
      </c>
      <c r="AC685" t="s">
        <v>1094</v>
      </c>
      <c r="AD685" t="s">
        <v>968</v>
      </c>
      <c r="AE685">
        <v>1.9000000000000001</v>
      </c>
      <c r="AF685">
        <v>1.75</v>
      </c>
    </row>
    <row r="686" spans="1:682" x14ac:dyDescent="0.25">
      <c r="A686" s="191" t="s">
        <v>2761</v>
      </c>
      <c r="B686" s="191" t="s">
        <v>2762</v>
      </c>
      <c r="C686" s="191" t="s">
        <v>1232</v>
      </c>
      <c r="D686" s="191" t="s">
        <v>129</v>
      </c>
      <c r="E686" s="191" t="s">
        <v>63</v>
      </c>
      <c r="F686" s="191" t="s">
        <v>1222</v>
      </c>
      <c r="G686" s="191" t="s">
        <v>1717</v>
      </c>
      <c r="H686" s="191" t="s">
        <v>985</v>
      </c>
      <c r="I686" s="191" t="s">
        <v>969</v>
      </c>
      <c r="J686" s="191" t="s">
        <v>922</v>
      </c>
      <c r="K686" s="191" t="s">
        <v>1750</v>
      </c>
      <c r="L686" s="191" t="s">
        <v>1094</v>
      </c>
      <c r="M686" s="191" t="s">
        <v>1064</v>
      </c>
      <c r="N686" s="191" t="s">
        <v>2530</v>
      </c>
      <c r="O686" s="191" t="s">
        <v>934</v>
      </c>
      <c r="P686" s="191" t="s">
        <v>1008</v>
      </c>
      <c r="Q686" s="191" t="s">
        <v>1666</v>
      </c>
      <c r="R686" s="191" t="s">
        <v>1761</v>
      </c>
      <c r="S686" s="191" t="s">
        <v>934</v>
      </c>
      <c r="T686" s="191" t="s">
        <v>1094</v>
      </c>
      <c r="U686" s="191" t="s">
        <v>1696</v>
      </c>
      <c r="V686" s="191" t="s">
        <v>934</v>
      </c>
      <c r="W686" s="191" t="s">
        <v>987</v>
      </c>
      <c r="X686" s="191" t="s">
        <v>923</v>
      </c>
      <c r="Y686" s="191" t="s">
        <v>1094</v>
      </c>
      <c r="Z686" s="191" t="s">
        <v>934</v>
      </c>
      <c r="AA686" s="191" t="s">
        <v>1119</v>
      </c>
      <c r="AB686" s="194" t="s">
        <v>934</v>
      </c>
      <c r="AC686" s="191" t="s">
        <v>991</v>
      </c>
      <c r="AD686" s="191" t="s">
        <v>922</v>
      </c>
      <c r="AE686" s="191">
        <v>1.7</v>
      </c>
      <c r="AF686" s="191">
        <v>1.6425000000000001</v>
      </c>
      <c r="AG686" s="191"/>
      <c r="AH686" s="191"/>
      <c r="AI686" s="191"/>
      <c r="AJ686" s="191"/>
      <c r="AK686" s="191"/>
      <c r="AL686" s="191"/>
      <c r="AM686" s="191"/>
      <c r="AN686" s="191"/>
      <c r="AO686" s="191"/>
      <c r="AP686" s="191"/>
      <c r="AQ686" s="191"/>
      <c r="AR686" s="191"/>
      <c r="AS686" s="191"/>
      <c r="AT686" s="191"/>
      <c r="AU686" s="191"/>
      <c r="AV686" s="194"/>
      <c r="AW686" s="191"/>
      <c r="AX686" s="191"/>
      <c r="AY686" s="191"/>
      <c r="AZ686" s="191"/>
      <c r="BA686" s="191"/>
      <c r="BB686" s="191"/>
      <c r="BC686" s="191"/>
      <c r="BD686" s="191"/>
      <c r="BE686" s="191"/>
      <c r="BF686" s="194"/>
      <c r="BG686" s="191"/>
      <c r="BH686" s="191"/>
      <c r="BI686" s="191"/>
      <c r="BJ686" s="191"/>
      <c r="BK686" s="194"/>
      <c r="BL686" s="191"/>
      <c r="BM686" s="191"/>
      <c r="BN686" s="191"/>
      <c r="BO686" s="191"/>
      <c r="BP686" s="191"/>
      <c r="BQ686" s="191"/>
      <c r="BR686" s="191"/>
      <c r="BS686" s="191"/>
      <c r="BT686" s="191"/>
      <c r="BU686" s="191"/>
      <c r="BV686" s="191"/>
      <c r="BW686" s="191"/>
      <c r="BX686" s="191"/>
      <c r="BY686" s="191"/>
      <c r="BZ686" s="191"/>
      <c r="CA686" s="194"/>
      <c r="CB686" s="191"/>
      <c r="CC686" s="191"/>
      <c r="CD686" s="191"/>
      <c r="CE686" s="191"/>
      <c r="CF686" s="191"/>
      <c r="CG686" s="191"/>
      <c r="CH686" s="191"/>
      <c r="CI686" s="191"/>
      <c r="CJ686" s="191"/>
      <c r="CK686" s="191"/>
      <c r="CL686" s="191"/>
      <c r="CM686" s="191"/>
      <c r="CN686" s="191"/>
      <c r="CO686" s="191"/>
      <c r="CP686" s="191"/>
      <c r="CQ686" s="194"/>
      <c r="CR686" s="191"/>
      <c r="CS686" s="191"/>
      <c r="CT686" s="191"/>
      <c r="CU686" s="191"/>
      <c r="CV686" s="194"/>
      <c r="CW686" s="191"/>
      <c r="CX686" s="191"/>
      <c r="CY686" s="191"/>
      <c r="CZ686" s="191"/>
      <c r="DA686" s="191"/>
      <c r="DB686" s="191"/>
      <c r="DC686" s="191"/>
      <c r="DD686" s="191"/>
      <c r="DE686" s="191"/>
      <c r="DF686" s="194"/>
      <c r="DG686" s="191"/>
      <c r="DH686" s="191"/>
      <c r="DI686" s="191"/>
      <c r="DJ686" s="191"/>
      <c r="DK686" s="194"/>
      <c r="DL686" s="191"/>
      <c r="DM686" s="191"/>
      <c r="DN686" s="191"/>
      <c r="DO686" s="191"/>
      <c r="DP686" s="194"/>
      <c r="DQ686" s="191"/>
      <c r="DR686" s="191"/>
      <c r="DS686" s="191"/>
      <c r="DT686" s="191"/>
      <c r="DU686" s="191"/>
      <c r="DV686" s="194"/>
      <c r="DW686" s="191"/>
      <c r="DX686" s="191"/>
      <c r="DY686" s="191"/>
      <c r="DZ686" s="191"/>
      <c r="EA686" s="194"/>
      <c r="EB686" s="191"/>
      <c r="EC686" s="191"/>
      <c r="ED686" s="191"/>
      <c r="EE686" s="191"/>
      <c r="EF686" s="194"/>
      <c r="EG686" s="191"/>
      <c r="EH686" s="191"/>
      <c r="EI686" s="191"/>
      <c r="EJ686" s="191"/>
      <c r="EK686" s="194"/>
      <c r="EL686" s="191"/>
      <c r="EM686" s="191"/>
      <c r="EN686" s="191"/>
      <c r="EO686" s="191"/>
      <c r="EP686" s="194"/>
      <c r="EQ686" s="191"/>
      <c r="ER686" s="191"/>
      <c r="ES686" s="191"/>
      <c r="ET686" s="191"/>
      <c r="EU686" s="194"/>
      <c r="EV686" s="191"/>
      <c r="EW686" s="191"/>
      <c r="EX686" s="191"/>
      <c r="EY686" s="191"/>
      <c r="EZ686" s="191"/>
      <c r="FA686" s="191"/>
      <c r="FB686" s="191"/>
      <c r="FC686" s="191"/>
      <c r="FD686" s="191"/>
      <c r="FE686" s="191"/>
      <c r="FF686" s="191"/>
      <c r="FG686" s="191"/>
      <c r="FH686" s="191"/>
      <c r="FI686" s="191"/>
      <c r="FJ686" s="194"/>
      <c r="FK686" s="191"/>
      <c r="FL686" s="191"/>
      <c r="FM686" s="191"/>
      <c r="FN686" s="191"/>
      <c r="FO686" s="194"/>
      <c r="FP686" s="191"/>
      <c r="FQ686" s="191"/>
      <c r="FR686" s="191"/>
      <c r="FS686" s="191"/>
      <c r="FT686" s="194"/>
      <c r="FU686" s="191"/>
      <c r="FV686" s="191"/>
      <c r="FW686" s="191"/>
      <c r="FX686" s="191"/>
      <c r="FY686" s="191"/>
      <c r="FZ686" s="191"/>
      <c r="GA686" s="191"/>
      <c r="GB686" s="191"/>
      <c r="GC686" s="191"/>
      <c r="GD686" s="191"/>
      <c r="GE686" s="191"/>
      <c r="GF686" s="191"/>
      <c r="GG686" s="191"/>
      <c r="GH686" s="191"/>
      <c r="GI686" s="191"/>
      <c r="GJ686" s="191"/>
      <c r="GK686" s="191"/>
      <c r="GL686" s="191"/>
      <c r="GM686" s="191"/>
      <c r="GN686" s="191"/>
      <c r="GO686" s="191"/>
      <c r="GP686" s="191"/>
      <c r="GQ686" s="191"/>
      <c r="GR686" s="191"/>
      <c r="GS686" s="191"/>
      <c r="GT686" s="191"/>
      <c r="GU686" s="191"/>
      <c r="GV686" s="191"/>
      <c r="GW686" s="191"/>
      <c r="GX686" s="191"/>
      <c r="GY686" s="194"/>
      <c r="GZ686" s="191"/>
      <c r="HA686" s="191"/>
      <c r="HB686" s="191"/>
      <c r="HC686" s="191"/>
      <c r="HD686" s="191"/>
      <c r="HE686" s="191"/>
      <c r="HF686" s="191"/>
      <c r="HG686" s="191"/>
      <c r="HH686" s="191"/>
      <c r="HI686" s="191"/>
      <c r="HJ686" s="191"/>
      <c r="HK686" s="191"/>
      <c r="HL686" s="191"/>
      <c r="HM686" s="191"/>
      <c r="HN686" s="191"/>
      <c r="HO686" s="191"/>
      <c r="HP686" s="191"/>
      <c r="HQ686" s="191"/>
      <c r="HR686" s="191"/>
      <c r="HS686" s="194"/>
      <c r="HT686" s="191"/>
      <c r="HU686" s="191"/>
      <c r="HV686" s="191"/>
      <c r="HW686" s="191"/>
      <c r="HX686" s="191"/>
      <c r="HY686" s="191"/>
      <c r="HZ686" s="191"/>
      <c r="IA686" s="191"/>
      <c r="IB686" s="191"/>
      <c r="IC686" s="191"/>
      <c r="ID686" s="191"/>
      <c r="IE686" s="191"/>
      <c r="IF686" s="191"/>
      <c r="IG686" s="191"/>
      <c r="IH686" s="191"/>
      <c r="II686" s="191"/>
      <c r="IJ686" s="191"/>
      <c r="IK686" s="191"/>
      <c r="IL686" s="191"/>
      <c r="IM686" s="194"/>
      <c r="IN686" s="191"/>
      <c r="IO686" s="191"/>
      <c r="IP686" s="191"/>
      <c r="IQ686" s="191"/>
      <c r="IR686" s="191"/>
      <c r="IS686" s="191"/>
      <c r="IT686" s="191"/>
      <c r="IU686" s="191"/>
      <c r="IV686" s="191"/>
      <c r="IW686" s="194"/>
      <c r="IX686" s="191"/>
      <c r="IY686" s="191"/>
      <c r="IZ686" s="191"/>
      <c r="JA686" s="191"/>
      <c r="JB686" s="194"/>
      <c r="JC686" s="191"/>
      <c r="JD686" s="191"/>
      <c r="JE686" s="191"/>
      <c r="JF686" s="191"/>
      <c r="JG686" s="194"/>
      <c r="JH686" s="191"/>
      <c r="JI686" s="191"/>
      <c r="JJ686" s="191"/>
      <c r="JK686" s="191"/>
      <c r="JL686" s="191"/>
      <c r="JM686" s="191"/>
      <c r="JN686" s="191"/>
      <c r="JO686" s="191"/>
      <c r="JP686" s="191"/>
      <c r="JQ686" s="191"/>
      <c r="JR686" s="191"/>
      <c r="JS686" s="191"/>
      <c r="JT686" s="191"/>
      <c r="JU686" s="191"/>
      <c r="JV686" s="194"/>
      <c r="JW686" s="191"/>
      <c r="JX686" s="191"/>
      <c r="JY686" s="191"/>
      <c r="JZ686" s="191"/>
      <c r="KA686" s="194"/>
      <c r="KB686" s="191"/>
      <c r="KC686" s="191"/>
      <c r="KD686" s="191"/>
      <c r="KE686" s="191"/>
      <c r="KF686" s="194"/>
      <c r="KG686" s="191"/>
      <c r="KH686" s="191"/>
      <c r="KI686" s="191"/>
      <c r="KJ686" s="191"/>
      <c r="KK686" s="194"/>
      <c r="KL686" s="191"/>
      <c r="KM686" s="191"/>
      <c r="KN686" s="191"/>
      <c r="KO686" s="191"/>
      <c r="KP686" s="194"/>
      <c r="KQ686" s="191"/>
      <c r="KR686" s="191"/>
      <c r="KS686" s="191"/>
      <c r="KT686" s="191"/>
      <c r="KU686" s="194"/>
      <c r="KV686" s="191"/>
      <c r="KW686" s="191"/>
      <c r="KX686" s="191"/>
      <c r="KY686" s="191"/>
      <c r="KZ686" s="194"/>
      <c r="LA686" s="191"/>
      <c r="LB686" s="191"/>
      <c r="LC686" s="191"/>
      <c r="LD686" s="191"/>
      <c r="LE686" s="194"/>
      <c r="LF686" s="191"/>
      <c r="LG686" s="191"/>
      <c r="LH686" s="191"/>
      <c r="LI686" s="191"/>
      <c r="LJ686" s="194"/>
      <c r="LK686" s="191"/>
      <c r="LL686" s="191"/>
      <c r="LM686" s="191"/>
      <c r="LN686" s="191"/>
      <c r="LO686" s="194"/>
      <c r="LP686" s="191"/>
      <c r="LQ686" s="191"/>
      <c r="LR686" s="191"/>
      <c r="LS686" s="191"/>
      <c r="LT686" s="191"/>
      <c r="LU686" s="191"/>
      <c r="LV686" s="191"/>
      <c r="LW686" s="191"/>
      <c r="LX686" s="191"/>
      <c r="LY686" s="191"/>
      <c r="LZ686" s="191"/>
      <c r="MA686" s="191"/>
      <c r="MB686" s="191"/>
      <c r="MC686" s="191"/>
      <c r="MD686" s="194"/>
      <c r="ME686" s="191"/>
      <c r="MF686" s="191"/>
      <c r="MG686" s="191"/>
      <c r="MH686" s="191"/>
      <c r="MI686" s="194"/>
      <c r="MJ686" s="191"/>
      <c r="MK686" s="191"/>
      <c r="ML686" s="191"/>
      <c r="MM686" s="191"/>
      <c r="MN686" s="191"/>
      <c r="MO686" s="191"/>
      <c r="MP686" s="191"/>
      <c r="MQ686" s="191"/>
      <c r="MR686" s="191"/>
      <c r="MS686" s="191"/>
      <c r="MT686" s="191"/>
      <c r="MU686" s="191"/>
      <c r="MV686" s="191"/>
      <c r="MW686" s="191"/>
      <c r="MX686" s="194"/>
      <c r="MY686" s="191"/>
      <c r="MZ686" s="191"/>
      <c r="NA686" s="191"/>
      <c r="NB686" s="191"/>
      <c r="NC686" s="194"/>
      <c r="ND686" s="191"/>
      <c r="NE686" s="191"/>
      <c r="NF686" s="191"/>
      <c r="NG686" s="191"/>
      <c r="NH686" s="191"/>
      <c r="NI686" s="191"/>
      <c r="NJ686" s="191"/>
      <c r="NK686" s="191"/>
      <c r="NL686" s="191"/>
      <c r="NM686" s="194"/>
      <c r="NN686" s="191"/>
      <c r="NO686" s="191"/>
      <c r="NP686" s="191"/>
      <c r="NQ686" s="191"/>
      <c r="NR686" s="191"/>
      <c r="NS686" s="191"/>
      <c r="NT686" s="191"/>
      <c r="NU686" s="191"/>
      <c r="NV686" s="191"/>
      <c r="NW686" s="194"/>
      <c r="NX686" s="191"/>
      <c r="NY686" s="191"/>
      <c r="NZ686" s="191"/>
      <c r="OA686" s="191"/>
      <c r="OB686" s="194"/>
      <c r="OC686" s="191"/>
      <c r="OD686" s="191"/>
      <c r="OE686" s="191"/>
      <c r="OF686" s="191"/>
      <c r="OG686" s="191"/>
      <c r="OH686" s="191"/>
      <c r="OI686" s="191"/>
      <c r="OJ686" s="191"/>
      <c r="OK686" s="191"/>
      <c r="OL686" s="191"/>
      <c r="OM686" s="194"/>
      <c r="ON686" s="191"/>
      <c r="OO686" s="191"/>
      <c r="OP686" s="191"/>
      <c r="OQ686" s="191"/>
      <c r="OR686" s="191"/>
      <c r="OS686" s="191"/>
      <c r="OT686" s="191"/>
      <c r="OU686" s="191"/>
      <c r="OV686" s="191"/>
      <c r="OW686" s="191"/>
      <c r="OX686" s="191"/>
      <c r="OY686" s="191"/>
      <c r="OZ686" s="191"/>
      <c r="PA686" s="191"/>
      <c r="PB686" s="194"/>
      <c r="PC686" s="191"/>
      <c r="PD686" s="191"/>
      <c r="PE686" s="191"/>
      <c r="PF686" s="191"/>
      <c r="PG686" s="194"/>
      <c r="PH686" s="191"/>
      <c r="PI686" s="191"/>
      <c r="PJ686" s="191"/>
      <c r="PK686" s="191"/>
      <c r="PL686" s="191"/>
      <c r="PM686" s="191"/>
      <c r="PN686" s="191"/>
      <c r="PO686" s="191"/>
      <c r="PP686" s="191"/>
      <c r="PQ686" s="194"/>
      <c r="PR686" s="191"/>
      <c r="PS686" s="191"/>
      <c r="PT686" s="191"/>
      <c r="PU686" s="191"/>
      <c r="PV686" s="191"/>
      <c r="PW686" s="191"/>
      <c r="PX686" s="191"/>
      <c r="PY686" s="191"/>
      <c r="PZ686" s="191"/>
      <c r="QA686" s="194"/>
      <c r="QB686" s="191"/>
      <c r="QC686" s="191"/>
      <c r="QD686" s="191"/>
      <c r="QE686" s="191"/>
      <c r="QF686" s="191"/>
      <c r="QG686" s="191"/>
      <c r="QH686" s="191"/>
      <c r="QI686" s="191"/>
      <c r="QJ686" s="191"/>
      <c r="QK686" s="191"/>
      <c r="QL686" s="191"/>
      <c r="QM686" s="191"/>
      <c r="QN686" s="191"/>
      <c r="QO686" s="191"/>
      <c r="QP686" s="191"/>
      <c r="QQ686" s="191"/>
      <c r="QR686" s="191"/>
      <c r="QS686" s="191"/>
      <c r="QT686" s="191"/>
      <c r="QU686" s="191"/>
      <c r="QV686" s="191"/>
      <c r="QW686" s="191"/>
      <c r="QX686" s="191"/>
      <c r="QY686" s="191"/>
      <c r="QZ686" s="191"/>
      <c r="RA686" s="191"/>
      <c r="RB686" s="191"/>
      <c r="RC686" s="191"/>
      <c r="RD686" s="191"/>
      <c r="RE686" s="191"/>
      <c r="RF686" s="191"/>
      <c r="RG686" s="191"/>
      <c r="RH686" s="191"/>
      <c r="RI686" s="191"/>
      <c r="RJ686" s="191"/>
      <c r="RK686" s="191"/>
      <c r="RL686" s="191"/>
      <c r="RM686" s="191"/>
      <c r="RN686" s="191"/>
      <c r="RO686" s="191"/>
      <c r="RP686" s="191"/>
      <c r="RQ686" s="191"/>
      <c r="RR686" s="191"/>
      <c r="RS686" s="191"/>
      <c r="RT686" s="191"/>
      <c r="RU686" s="191"/>
      <c r="RV686" s="191"/>
      <c r="RW686" s="191"/>
      <c r="RX686" s="191"/>
      <c r="RY686" s="191"/>
      <c r="RZ686" s="191"/>
      <c r="SA686" s="191"/>
      <c r="SB686" s="191"/>
      <c r="SC686" s="191"/>
      <c r="SD686" s="191"/>
      <c r="SE686" s="194"/>
      <c r="SF686" s="191"/>
      <c r="SG686" s="191"/>
      <c r="SH686" s="191"/>
      <c r="SI686" s="191"/>
      <c r="SJ686" s="191"/>
      <c r="SK686" s="191"/>
      <c r="SL686" s="191"/>
      <c r="SM686" s="191"/>
      <c r="SN686" s="191"/>
      <c r="SO686" s="191"/>
      <c r="SP686" s="191"/>
      <c r="SQ686" s="194"/>
      <c r="SR686" s="191"/>
      <c r="SS686" s="191"/>
      <c r="ST686" s="191"/>
      <c r="SU686" s="191"/>
      <c r="SV686" s="191"/>
      <c r="SW686" s="191"/>
      <c r="SX686" s="191"/>
      <c r="SY686" s="191"/>
      <c r="SZ686" s="191"/>
      <c r="TA686" s="191"/>
      <c r="TB686" s="191"/>
      <c r="TC686" s="191"/>
      <c r="TD686" s="191"/>
      <c r="TE686" s="191"/>
      <c r="TF686" s="191"/>
      <c r="TG686" s="191"/>
      <c r="TH686" s="191"/>
      <c r="TI686" s="191"/>
      <c r="TJ686" s="191"/>
      <c r="TK686" s="191"/>
      <c r="TL686" s="191"/>
      <c r="TM686" s="191"/>
      <c r="TN686" s="194"/>
      <c r="TO686" s="191"/>
      <c r="TP686" s="191"/>
      <c r="TQ686" s="191"/>
      <c r="TR686" s="191"/>
      <c r="TS686" s="191"/>
      <c r="TT686" s="194"/>
      <c r="TU686" s="191"/>
      <c r="TV686" s="191"/>
      <c r="TW686" s="191"/>
      <c r="TX686" s="191"/>
      <c r="TY686" s="194"/>
      <c r="TZ686" s="191"/>
      <c r="UA686" s="191"/>
      <c r="UB686" s="191"/>
      <c r="UC686" s="191"/>
      <c r="UD686" s="191"/>
      <c r="UE686" s="191"/>
      <c r="UF686" s="191"/>
      <c r="UG686" s="191"/>
      <c r="UH686" s="191"/>
      <c r="UI686" s="191"/>
      <c r="UJ686" s="191"/>
      <c r="UK686" s="191"/>
      <c r="UL686" s="191"/>
      <c r="UM686" s="191"/>
      <c r="UN686" s="191"/>
      <c r="UO686" s="194"/>
      <c r="UP686" s="191"/>
      <c r="UQ686" s="191"/>
      <c r="UR686" s="191"/>
      <c r="US686" s="191"/>
      <c r="UT686" s="194"/>
      <c r="UU686" s="191"/>
      <c r="UV686" s="191"/>
      <c r="UW686" s="191"/>
      <c r="UX686" s="191"/>
      <c r="UY686" s="191"/>
      <c r="UZ686" s="191"/>
      <c r="VA686" s="191"/>
      <c r="VB686" s="191"/>
      <c r="VC686" s="191"/>
      <c r="VD686" s="191"/>
      <c r="VE686" s="191"/>
      <c r="VF686" s="191"/>
      <c r="VG686" s="191"/>
      <c r="VH686" s="191"/>
      <c r="VI686" s="194"/>
      <c r="VJ686" s="191"/>
      <c r="VK686" s="191"/>
      <c r="VL686" s="191"/>
      <c r="VM686" s="191"/>
      <c r="VN686" s="194"/>
      <c r="VO686" s="191"/>
      <c r="VP686" s="191"/>
      <c r="VQ686" s="191"/>
      <c r="VR686" s="191"/>
      <c r="VS686" s="191"/>
      <c r="VT686" s="191"/>
      <c r="VU686" s="191"/>
      <c r="VV686" s="191"/>
      <c r="VW686" s="191"/>
      <c r="VX686" s="191"/>
      <c r="VY686" s="191"/>
      <c r="VZ686" s="191"/>
      <c r="WA686" s="191"/>
      <c r="WB686" s="191"/>
      <c r="WC686" s="191"/>
      <c r="WD686" s="191"/>
      <c r="WE686" s="191"/>
      <c r="WF686" s="191"/>
      <c r="WG686" s="191"/>
      <c r="WH686" s="194"/>
      <c r="WI686" s="191"/>
      <c r="WJ686" s="191"/>
      <c r="WK686" s="191"/>
      <c r="WL686" s="191"/>
      <c r="WM686" s="191"/>
      <c r="WN686" s="191"/>
      <c r="WO686" s="191"/>
      <c r="WP686" s="191"/>
      <c r="WQ686" s="191"/>
      <c r="WR686" s="191"/>
      <c r="WS686" s="191"/>
      <c r="WT686" s="191"/>
      <c r="WU686" s="191"/>
      <c r="WV686" s="191"/>
      <c r="WW686" s="191"/>
      <c r="WX686" s="191"/>
      <c r="WY686" s="191"/>
      <c r="WZ686" s="191"/>
      <c r="XA686" s="191"/>
      <c r="XB686" s="194"/>
      <c r="XC686" s="191"/>
      <c r="XD686" s="191"/>
      <c r="XE686" s="191"/>
      <c r="XF686" s="191"/>
      <c r="XG686" s="194"/>
      <c r="XH686" s="191"/>
      <c r="XI686" s="191"/>
      <c r="XJ686" s="191"/>
      <c r="XK686" s="191"/>
      <c r="XL686" s="194"/>
      <c r="XM686" s="191"/>
      <c r="XN686" s="191"/>
      <c r="XO686" s="191"/>
      <c r="XP686" s="191"/>
      <c r="XQ686" s="191"/>
      <c r="XR686" s="191"/>
      <c r="XS686" s="191"/>
      <c r="XT686" s="191"/>
      <c r="XU686" s="191"/>
      <c r="XV686" s="191"/>
      <c r="XW686" s="191"/>
      <c r="XX686" s="191"/>
      <c r="XY686" s="191"/>
      <c r="XZ686" s="191"/>
      <c r="YA686" s="191"/>
      <c r="YB686" s="191"/>
      <c r="YC686" s="191"/>
      <c r="YD686" s="191"/>
      <c r="YE686" s="191"/>
      <c r="YF686" s="191"/>
      <c r="YG686" s="191"/>
      <c r="YH686" s="191"/>
      <c r="YI686" s="191"/>
      <c r="YJ686" s="191"/>
      <c r="YK686" s="191"/>
      <c r="YL686" s="191"/>
      <c r="YM686" s="191"/>
      <c r="YN686" s="191"/>
      <c r="YO686" s="191"/>
      <c r="YP686" s="191"/>
      <c r="YQ686" s="191"/>
      <c r="YR686" s="191"/>
      <c r="YS686" s="191"/>
      <c r="YT686" s="191"/>
      <c r="YU686" s="191"/>
      <c r="YV686" s="191"/>
      <c r="YW686" s="191"/>
      <c r="YX686" s="191"/>
      <c r="YY686" s="191"/>
      <c r="YZ686" s="191"/>
      <c r="ZA686" s="191"/>
      <c r="ZB686" s="191"/>
      <c r="ZC686" s="191"/>
      <c r="ZD686" s="191"/>
      <c r="ZE686" s="191"/>
      <c r="ZF686" s="191"/>
    </row>
    <row r="687" spans="1:682" x14ac:dyDescent="0.25">
      <c r="A687" s="191" t="s">
        <v>2763</v>
      </c>
      <c r="B687" s="191" t="s">
        <v>2764</v>
      </c>
      <c r="C687" s="191" t="s">
        <v>1084</v>
      </c>
      <c r="D687" t="s">
        <v>48</v>
      </c>
      <c r="E687" t="s">
        <v>63</v>
      </c>
      <c r="F687" t="s">
        <v>1245</v>
      </c>
      <c r="G687" t="s">
        <v>1717</v>
      </c>
      <c r="H687" t="s">
        <v>1063</v>
      </c>
      <c r="I687" t="s">
        <v>969</v>
      </c>
      <c r="J687" t="s">
        <v>1230</v>
      </c>
      <c r="K687" t="s">
        <v>1719</v>
      </c>
      <c r="L687" t="s">
        <v>1065</v>
      </c>
      <c r="M687" t="s">
        <v>923</v>
      </c>
      <c r="N687" t="s">
        <v>1249</v>
      </c>
      <c r="O687" t="s">
        <v>1119</v>
      </c>
      <c r="P687" t="s">
        <v>991</v>
      </c>
      <c r="Q687" t="s">
        <v>935</v>
      </c>
      <c r="R687" t="s">
        <v>1215</v>
      </c>
      <c r="S687" t="s">
        <v>1119</v>
      </c>
      <c r="T687" t="s">
        <v>1119</v>
      </c>
      <c r="U687" t="s">
        <v>2146</v>
      </c>
      <c r="V687" t="s">
        <v>991</v>
      </c>
      <c r="W687" t="s">
        <v>987</v>
      </c>
      <c r="X687" t="s">
        <v>945</v>
      </c>
      <c r="Y687" t="s">
        <v>934</v>
      </c>
      <c r="Z687" t="s">
        <v>934</v>
      </c>
      <c r="AA687" t="s">
        <v>1600</v>
      </c>
      <c r="AB687" t="s">
        <v>934</v>
      </c>
      <c r="AC687" t="s">
        <v>969</v>
      </c>
      <c r="AD687" t="s">
        <v>922</v>
      </c>
      <c r="AE687">
        <v>1.8</v>
      </c>
      <c r="AF687">
        <v>1.7056</v>
      </c>
    </row>
    <row r="688" spans="1:682" x14ac:dyDescent="0.25">
      <c r="A688" s="191" t="s">
        <v>2765</v>
      </c>
      <c r="B688" s="191" t="s">
        <v>2766</v>
      </c>
      <c r="C688" s="191" t="s">
        <v>995</v>
      </c>
      <c r="D688" t="s">
        <v>148</v>
      </c>
      <c r="E688" t="s">
        <v>72</v>
      </c>
      <c r="F688" t="s">
        <v>1232</v>
      </c>
      <c r="G688" t="s">
        <v>1717</v>
      </c>
      <c r="H688" t="s">
        <v>979</v>
      </c>
      <c r="I688" t="s">
        <v>1008</v>
      </c>
      <c r="J688" t="s">
        <v>1195</v>
      </c>
      <c r="K688" t="s">
        <v>1494</v>
      </c>
      <c r="L688" t="s">
        <v>1119</v>
      </c>
      <c r="M688" t="s">
        <v>991</v>
      </c>
      <c r="N688" t="s">
        <v>2152</v>
      </c>
      <c r="O688" t="s">
        <v>969</v>
      </c>
      <c r="P688" t="s">
        <v>987</v>
      </c>
      <c r="Q688" t="s">
        <v>2049</v>
      </c>
      <c r="R688" t="s">
        <v>1842</v>
      </c>
      <c r="S688" t="s">
        <v>934</v>
      </c>
      <c r="T688" t="s">
        <v>934</v>
      </c>
      <c r="U688" t="s">
        <v>2049</v>
      </c>
      <c r="V688" t="s">
        <v>1094</v>
      </c>
      <c r="W688" t="s">
        <v>987</v>
      </c>
      <c r="X688" t="s">
        <v>945</v>
      </c>
      <c r="Y688" t="s">
        <v>934</v>
      </c>
      <c r="Z688" t="s">
        <v>1600</v>
      </c>
      <c r="AA688" t="s">
        <v>934</v>
      </c>
      <c r="AB688" t="s">
        <v>1119</v>
      </c>
      <c r="AC688" t="s">
        <v>969</v>
      </c>
      <c r="AD688" t="s">
        <v>922</v>
      </c>
      <c r="AE688">
        <v>1.7</v>
      </c>
      <c r="AF688">
        <v>1.8000000000000003</v>
      </c>
    </row>
    <row r="689" spans="1:32" x14ac:dyDescent="0.25">
      <c r="A689" s="191" t="s">
        <v>2767</v>
      </c>
      <c r="B689" s="191" t="s">
        <v>2768</v>
      </c>
      <c r="C689" s="191" t="s">
        <v>1084</v>
      </c>
      <c r="D689" t="s">
        <v>131</v>
      </c>
      <c r="E689" t="s">
        <v>93</v>
      </c>
      <c r="F689" t="s">
        <v>1051</v>
      </c>
      <c r="G689" t="s">
        <v>1717</v>
      </c>
      <c r="H689" t="s">
        <v>1081</v>
      </c>
      <c r="I689" t="s">
        <v>1008</v>
      </c>
      <c r="J689" t="s">
        <v>1195</v>
      </c>
      <c r="K689" t="s">
        <v>1131</v>
      </c>
      <c r="L689" t="s">
        <v>1600</v>
      </c>
      <c r="M689" t="s">
        <v>934</v>
      </c>
      <c r="N689" t="s">
        <v>1646</v>
      </c>
      <c r="O689" t="s">
        <v>1008</v>
      </c>
      <c r="P689" t="s">
        <v>945</v>
      </c>
      <c r="Q689" t="s">
        <v>913</v>
      </c>
      <c r="R689" t="s">
        <v>1131</v>
      </c>
      <c r="S689" t="s">
        <v>1094</v>
      </c>
      <c r="T689" t="s">
        <v>1094</v>
      </c>
      <c r="U689" t="s">
        <v>2146</v>
      </c>
      <c r="V689" t="s">
        <v>1008</v>
      </c>
      <c r="W689" t="s">
        <v>1008</v>
      </c>
      <c r="X689" t="s">
        <v>1195</v>
      </c>
      <c r="Y689" t="s">
        <v>1094</v>
      </c>
      <c r="Z689" t="s">
        <v>934</v>
      </c>
      <c r="AA689" t="s">
        <v>1600</v>
      </c>
      <c r="AB689" t="s">
        <v>1600</v>
      </c>
      <c r="AC689" t="s">
        <v>1065</v>
      </c>
      <c r="AD689" t="s">
        <v>922</v>
      </c>
      <c r="AE689">
        <v>1.7</v>
      </c>
      <c r="AF689">
        <v>1.5562</v>
      </c>
    </row>
    <row r="690" spans="1:32" x14ac:dyDescent="0.25">
      <c r="A690" s="191" t="s">
        <v>2769</v>
      </c>
      <c r="B690" s="191" t="s">
        <v>489</v>
      </c>
      <c r="C690" s="191" t="s">
        <v>1355</v>
      </c>
      <c r="D690" t="s">
        <v>85</v>
      </c>
      <c r="E690" t="s">
        <v>72</v>
      </c>
      <c r="F690" t="s">
        <v>1233</v>
      </c>
      <c r="G690" t="s">
        <v>1717</v>
      </c>
      <c r="H690" t="s">
        <v>989</v>
      </c>
      <c r="I690" t="s">
        <v>987</v>
      </c>
      <c r="J690" t="s">
        <v>968</v>
      </c>
      <c r="K690" t="s">
        <v>1088</v>
      </c>
      <c r="L690" t="s">
        <v>1600</v>
      </c>
      <c r="M690" t="s">
        <v>1119</v>
      </c>
      <c r="N690" t="s">
        <v>1646</v>
      </c>
      <c r="O690" t="s">
        <v>987</v>
      </c>
      <c r="P690" t="s">
        <v>922</v>
      </c>
      <c r="Q690" t="s">
        <v>1923</v>
      </c>
      <c r="R690" t="s">
        <v>1088</v>
      </c>
      <c r="S690" t="s">
        <v>934</v>
      </c>
      <c r="T690" t="s">
        <v>987</v>
      </c>
      <c r="U690" t="s">
        <v>1198</v>
      </c>
      <c r="V690" t="s">
        <v>987</v>
      </c>
      <c r="W690" t="s">
        <v>1012</v>
      </c>
      <c r="X690" t="s">
        <v>1000</v>
      </c>
      <c r="Y690" t="s">
        <v>969</v>
      </c>
      <c r="Z690" t="s">
        <v>1119</v>
      </c>
      <c r="AA690" t="s">
        <v>1094</v>
      </c>
      <c r="AB690" t="s">
        <v>991</v>
      </c>
      <c r="AC690" t="s">
        <v>918</v>
      </c>
      <c r="AD690" t="s">
        <v>922</v>
      </c>
      <c r="AE690">
        <v>1.8</v>
      </c>
      <c r="AF690">
        <v>1.7368000000000001</v>
      </c>
    </row>
    <row r="691" spans="1:32" x14ac:dyDescent="0.25">
      <c r="A691" s="191" t="s">
        <v>2770</v>
      </c>
      <c r="B691" s="191" t="s">
        <v>2771</v>
      </c>
      <c r="C691" s="191" t="s">
        <v>1176</v>
      </c>
      <c r="D691" t="s">
        <v>974</v>
      </c>
      <c r="E691" t="s">
        <v>72</v>
      </c>
      <c r="F691" t="s">
        <v>1123</v>
      </c>
      <c r="G691" t="s">
        <v>1067</v>
      </c>
      <c r="H691" t="s">
        <v>1010</v>
      </c>
      <c r="I691" t="s">
        <v>1008</v>
      </c>
      <c r="J691" t="s">
        <v>1230</v>
      </c>
      <c r="K691" t="s">
        <v>1471</v>
      </c>
      <c r="L691" t="s">
        <v>1600</v>
      </c>
      <c r="M691" t="s">
        <v>934</v>
      </c>
      <c r="N691" t="s">
        <v>935</v>
      </c>
      <c r="O691" t="s">
        <v>1008</v>
      </c>
      <c r="P691" t="s">
        <v>945</v>
      </c>
      <c r="Q691" t="s">
        <v>1401</v>
      </c>
      <c r="R691" t="s">
        <v>1551</v>
      </c>
      <c r="S691" t="s">
        <v>934</v>
      </c>
      <c r="T691" t="s">
        <v>991</v>
      </c>
      <c r="U691" t="s">
        <v>1916</v>
      </c>
      <c r="V691" t="s">
        <v>987</v>
      </c>
      <c r="W691" t="s">
        <v>945</v>
      </c>
      <c r="X691" t="s">
        <v>908</v>
      </c>
      <c r="Y691" t="s">
        <v>987</v>
      </c>
      <c r="Z691" t="s">
        <v>934</v>
      </c>
      <c r="AA691" t="s">
        <v>1065</v>
      </c>
      <c r="AB691" t="s">
        <v>991</v>
      </c>
      <c r="AC691" t="s">
        <v>945</v>
      </c>
      <c r="AD691" t="s">
        <v>1029</v>
      </c>
      <c r="AE691">
        <v>1.5999999999999999</v>
      </c>
      <c r="AF691">
        <v>1.6560000000000001</v>
      </c>
    </row>
    <row r="692" spans="1:32" x14ac:dyDescent="0.25">
      <c r="A692" s="191" t="s">
        <v>2770</v>
      </c>
      <c r="B692" s="191" t="s">
        <v>2771</v>
      </c>
      <c r="C692" s="191" t="s">
        <v>1176</v>
      </c>
      <c r="D692" t="s">
        <v>121</v>
      </c>
      <c r="E692" t="s">
        <v>72</v>
      </c>
      <c r="F692" t="s">
        <v>1068</v>
      </c>
      <c r="G692" t="s">
        <v>949</v>
      </c>
      <c r="H692" t="s">
        <v>1026</v>
      </c>
      <c r="I692" t="s">
        <v>969</v>
      </c>
      <c r="J692" t="s">
        <v>1064</v>
      </c>
      <c r="K692" t="s">
        <v>1058</v>
      </c>
      <c r="L692" t="s">
        <v>1600</v>
      </c>
      <c r="M692" t="s">
        <v>934</v>
      </c>
      <c r="N692" t="s">
        <v>2388</v>
      </c>
      <c r="O692" t="s">
        <v>969</v>
      </c>
      <c r="P692" t="s">
        <v>923</v>
      </c>
      <c r="Q692" t="s">
        <v>1836</v>
      </c>
      <c r="R692" t="s">
        <v>1209</v>
      </c>
      <c r="S692" t="s">
        <v>934</v>
      </c>
      <c r="T692" t="s">
        <v>991</v>
      </c>
      <c r="U692" t="s">
        <v>1307</v>
      </c>
      <c r="V692" t="s">
        <v>1008</v>
      </c>
      <c r="W692" t="s">
        <v>1064</v>
      </c>
      <c r="X692" t="s">
        <v>968</v>
      </c>
      <c r="Y692" t="s">
        <v>987</v>
      </c>
      <c r="Z692" t="s">
        <v>934</v>
      </c>
      <c r="AA692" t="s">
        <v>1065</v>
      </c>
      <c r="AB692" t="s">
        <v>1094</v>
      </c>
      <c r="AC692" t="s">
        <v>923</v>
      </c>
      <c r="AD692" t="s">
        <v>1230</v>
      </c>
      <c r="AE692">
        <v>1.4</v>
      </c>
      <c r="AF692">
        <v>1.3954000000000002</v>
      </c>
    </row>
    <row r="693" spans="1:32" x14ac:dyDescent="0.25">
      <c r="A693" s="191" t="s">
        <v>2770</v>
      </c>
      <c r="B693" s="191" t="s">
        <v>2771</v>
      </c>
      <c r="C693" s="191" t="s">
        <v>1176</v>
      </c>
      <c r="D693" t="s">
        <v>1014</v>
      </c>
      <c r="E693" t="s">
        <v>72</v>
      </c>
      <c r="F693" t="s">
        <v>1106</v>
      </c>
      <c r="G693" t="s">
        <v>972</v>
      </c>
      <c r="H693" t="s">
        <v>1241</v>
      </c>
      <c r="I693" t="s">
        <v>923</v>
      </c>
      <c r="J693" t="s">
        <v>925</v>
      </c>
      <c r="K693" t="s">
        <v>1665</v>
      </c>
      <c r="L693" t="s">
        <v>1119</v>
      </c>
      <c r="M693" t="s">
        <v>1094</v>
      </c>
      <c r="N693" t="s">
        <v>1666</v>
      </c>
      <c r="O693" t="s">
        <v>918</v>
      </c>
      <c r="P693" t="s">
        <v>1049</v>
      </c>
      <c r="Q693" t="s">
        <v>1268</v>
      </c>
      <c r="R693" t="s">
        <v>1358</v>
      </c>
      <c r="S693" t="s">
        <v>1119</v>
      </c>
      <c r="T693" t="s">
        <v>991</v>
      </c>
      <c r="U693" t="s">
        <v>2152</v>
      </c>
      <c r="V693" t="s">
        <v>1195</v>
      </c>
      <c r="W693" t="s">
        <v>968</v>
      </c>
      <c r="X693" t="s">
        <v>946</v>
      </c>
      <c r="Y693" t="s">
        <v>987</v>
      </c>
      <c r="Z693" t="s">
        <v>1119</v>
      </c>
      <c r="AA693" t="s">
        <v>1094</v>
      </c>
      <c r="AB693" t="s">
        <v>918</v>
      </c>
      <c r="AC693" t="s">
        <v>908</v>
      </c>
      <c r="AD693" t="s">
        <v>925</v>
      </c>
      <c r="AE693">
        <v>2.2000000000000002</v>
      </c>
      <c r="AF693">
        <v>2.2009000000000003</v>
      </c>
    </row>
    <row r="694" spans="1:32" x14ac:dyDescent="0.25">
      <c r="A694" s="191" t="s">
        <v>2772</v>
      </c>
      <c r="B694" s="191" t="s">
        <v>2773</v>
      </c>
      <c r="C694" s="191" t="s">
        <v>1032</v>
      </c>
      <c r="D694" t="s">
        <v>156</v>
      </c>
      <c r="E694" t="s">
        <v>56</v>
      </c>
      <c r="F694" t="s">
        <v>995</v>
      </c>
      <c r="G694" t="s">
        <v>1717</v>
      </c>
      <c r="H694" t="s">
        <v>1081</v>
      </c>
      <c r="I694" t="s">
        <v>1065</v>
      </c>
      <c r="J694" t="s">
        <v>1230</v>
      </c>
      <c r="K694" t="s">
        <v>1798</v>
      </c>
      <c r="L694" t="s">
        <v>1094</v>
      </c>
      <c r="M694" t="s">
        <v>923</v>
      </c>
      <c r="N694" t="s">
        <v>2259</v>
      </c>
      <c r="O694" t="s">
        <v>934</v>
      </c>
      <c r="P694" t="s">
        <v>1094</v>
      </c>
      <c r="Q694" t="s">
        <v>913</v>
      </c>
      <c r="R694" t="s">
        <v>1466</v>
      </c>
      <c r="S694" t="s">
        <v>1094</v>
      </c>
      <c r="T694" t="s">
        <v>991</v>
      </c>
      <c r="U694" t="s">
        <v>1864</v>
      </c>
      <c r="V694" t="s">
        <v>1600</v>
      </c>
      <c r="W694" t="s">
        <v>1065</v>
      </c>
      <c r="X694" t="s">
        <v>1065</v>
      </c>
      <c r="Y694" t="s">
        <v>918</v>
      </c>
      <c r="Z694" t="s">
        <v>1119</v>
      </c>
      <c r="AA694" t="s">
        <v>1600</v>
      </c>
      <c r="AB694" t="s">
        <v>934</v>
      </c>
      <c r="AC694" t="s">
        <v>991</v>
      </c>
      <c r="AD694" t="s">
        <v>1029</v>
      </c>
      <c r="AE694">
        <v>1.5999999999999999</v>
      </c>
      <c r="AF694">
        <v>1.6799999999999997</v>
      </c>
    </row>
    <row r="695" spans="1:32" x14ac:dyDescent="0.25">
      <c r="A695" s="191" t="s">
        <v>2614</v>
      </c>
      <c r="B695" t="s">
        <v>2615</v>
      </c>
      <c r="C695" t="s">
        <v>950</v>
      </c>
      <c r="D695" t="s">
        <v>65</v>
      </c>
      <c r="E695" t="s">
        <v>47</v>
      </c>
      <c r="F695" t="s">
        <v>1085</v>
      </c>
      <c r="G695" t="s">
        <v>928</v>
      </c>
      <c r="H695" t="s">
        <v>905</v>
      </c>
      <c r="I695" t="s">
        <v>1195</v>
      </c>
      <c r="J695" t="s">
        <v>1104</v>
      </c>
      <c r="K695" t="s">
        <v>1205</v>
      </c>
      <c r="L695" t="s">
        <v>1094</v>
      </c>
      <c r="M695" t="s">
        <v>918</v>
      </c>
      <c r="N695" t="s">
        <v>2081</v>
      </c>
      <c r="O695" t="s">
        <v>923</v>
      </c>
      <c r="P695" t="s">
        <v>956</v>
      </c>
      <c r="Q695" t="s">
        <v>1352</v>
      </c>
      <c r="R695" t="s">
        <v>1074</v>
      </c>
      <c r="S695" t="s">
        <v>969</v>
      </c>
      <c r="T695" t="s">
        <v>918</v>
      </c>
      <c r="U695" t="s">
        <v>2216</v>
      </c>
      <c r="V695" t="s">
        <v>923</v>
      </c>
      <c r="W695" t="s">
        <v>1195</v>
      </c>
      <c r="X695" t="s">
        <v>947</v>
      </c>
      <c r="Y695" t="s">
        <v>918</v>
      </c>
      <c r="Z695" t="s">
        <v>1065</v>
      </c>
      <c r="AA695" t="s">
        <v>1119</v>
      </c>
      <c r="AB695" t="s">
        <v>991</v>
      </c>
      <c r="AC695" t="s">
        <v>1029</v>
      </c>
      <c r="AD695" t="s">
        <v>992</v>
      </c>
      <c r="AE695">
        <v>3.5</v>
      </c>
      <c r="AF695">
        <v>3.5627000000000004</v>
      </c>
    </row>
    <row r="696" spans="1:32" x14ac:dyDescent="0.25">
      <c r="A696" s="191" t="s">
        <v>2776</v>
      </c>
      <c r="B696" s="191" t="s">
        <v>2777</v>
      </c>
      <c r="C696" s="191" t="s">
        <v>995</v>
      </c>
      <c r="D696" t="s">
        <v>1014</v>
      </c>
      <c r="E696" t="s">
        <v>47</v>
      </c>
      <c r="F696" t="s">
        <v>1096</v>
      </c>
      <c r="G696" t="s">
        <v>1717</v>
      </c>
      <c r="H696" t="s">
        <v>988</v>
      </c>
      <c r="I696" t="s">
        <v>1008</v>
      </c>
      <c r="J696" t="s">
        <v>908</v>
      </c>
      <c r="K696" t="s">
        <v>2530</v>
      </c>
      <c r="L696" t="s">
        <v>1600</v>
      </c>
      <c r="M696" t="s">
        <v>987</v>
      </c>
      <c r="N696" t="s">
        <v>1646</v>
      </c>
      <c r="O696" t="s">
        <v>1008</v>
      </c>
      <c r="P696" t="s">
        <v>1195</v>
      </c>
      <c r="Q696" t="s">
        <v>1131</v>
      </c>
      <c r="R696" t="s">
        <v>2530</v>
      </c>
      <c r="S696" t="s">
        <v>934</v>
      </c>
      <c r="T696" t="s">
        <v>987</v>
      </c>
      <c r="U696" t="s">
        <v>1785</v>
      </c>
      <c r="V696" t="s">
        <v>934</v>
      </c>
      <c r="W696" t="s">
        <v>1230</v>
      </c>
      <c r="X696" t="s">
        <v>922</v>
      </c>
      <c r="Y696" t="s">
        <v>1119</v>
      </c>
      <c r="Z696" t="s">
        <v>991</v>
      </c>
      <c r="AA696" t="s">
        <v>934</v>
      </c>
      <c r="AB696" t="s">
        <v>1094</v>
      </c>
      <c r="AC696" t="s">
        <v>1008</v>
      </c>
      <c r="AD696" t="s">
        <v>1029</v>
      </c>
      <c r="AE696">
        <v>1.5999999999999999</v>
      </c>
      <c r="AF696">
        <v>1.5287999999999999</v>
      </c>
    </row>
    <row r="697" spans="1:32" x14ac:dyDescent="0.25">
      <c r="A697" s="191" t="s">
        <v>2778</v>
      </c>
      <c r="B697" s="191" t="s">
        <v>2779</v>
      </c>
      <c r="C697" s="191" t="s">
        <v>1238</v>
      </c>
      <c r="D697" t="s">
        <v>113</v>
      </c>
      <c r="E697" t="s">
        <v>93</v>
      </c>
      <c r="F697" t="s">
        <v>1085</v>
      </c>
      <c r="G697" t="s">
        <v>901</v>
      </c>
      <c r="H697" t="s">
        <v>1011</v>
      </c>
      <c r="I697" t="s">
        <v>969</v>
      </c>
      <c r="J697" t="s">
        <v>1029</v>
      </c>
      <c r="K697" t="s">
        <v>1400</v>
      </c>
      <c r="L697" t="s">
        <v>1094</v>
      </c>
      <c r="M697" t="s">
        <v>1064</v>
      </c>
      <c r="N697" t="s">
        <v>2414</v>
      </c>
      <c r="O697" t="s">
        <v>1094</v>
      </c>
      <c r="P697" t="s">
        <v>1065</v>
      </c>
      <c r="Q697" t="s">
        <v>984</v>
      </c>
      <c r="R697" t="s">
        <v>1055</v>
      </c>
      <c r="S697" t="s">
        <v>1119</v>
      </c>
      <c r="T697" t="s">
        <v>934</v>
      </c>
      <c r="U697" t="s">
        <v>1494</v>
      </c>
      <c r="V697" t="s">
        <v>991</v>
      </c>
      <c r="W697" t="s">
        <v>918</v>
      </c>
      <c r="X697" t="s">
        <v>1195</v>
      </c>
      <c r="Y697" t="s">
        <v>991</v>
      </c>
      <c r="Z697" t="s">
        <v>934</v>
      </c>
      <c r="AA697" t="s">
        <v>934</v>
      </c>
      <c r="AB697" t="s">
        <v>1094</v>
      </c>
      <c r="AC697" t="s">
        <v>969</v>
      </c>
      <c r="AD697" t="s">
        <v>1029</v>
      </c>
      <c r="AE697">
        <v>1.6</v>
      </c>
      <c r="AF697">
        <v>1.5535000000000003</v>
      </c>
    </row>
    <row r="698" spans="1:32" x14ac:dyDescent="0.25">
      <c r="A698" s="191" t="s">
        <v>2780</v>
      </c>
      <c r="B698" s="191" t="s">
        <v>2781</v>
      </c>
      <c r="C698" s="191" t="s">
        <v>995</v>
      </c>
      <c r="D698" t="s">
        <v>108</v>
      </c>
      <c r="E698" t="s">
        <v>93</v>
      </c>
      <c r="F698" t="s">
        <v>1031</v>
      </c>
      <c r="G698" t="s">
        <v>1717</v>
      </c>
      <c r="H698" t="s">
        <v>916</v>
      </c>
      <c r="I698" t="s">
        <v>969</v>
      </c>
      <c r="J698" t="s">
        <v>1081</v>
      </c>
      <c r="K698" t="s">
        <v>2486</v>
      </c>
      <c r="L698" t="s">
        <v>1600</v>
      </c>
      <c r="M698" t="s">
        <v>956</v>
      </c>
      <c r="N698" t="s">
        <v>1646</v>
      </c>
      <c r="O698" t="s">
        <v>969</v>
      </c>
      <c r="P698" t="s">
        <v>925</v>
      </c>
      <c r="Q698" t="s">
        <v>2414</v>
      </c>
      <c r="R698" t="s">
        <v>2486</v>
      </c>
      <c r="S698" t="s">
        <v>991</v>
      </c>
      <c r="T698" t="s">
        <v>991</v>
      </c>
      <c r="U698" t="s">
        <v>2146</v>
      </c>
      <c r="V698" t="s">
        <v>991</v>
      </c>
      <c r="W698" t="s">
        <v>945</v>
      </c>
      <c r="X698" t="s">
        <v>1029</v>
      </c>
      <c r="Y698" t="s">
        <v>991</v>
      </c>
      <c r="Z698" t="s">
        <v>934</v>
      </c>
      <c r="AA698" t="s">
        <v>991</v>
      </c>
      <c r="AB698" t="s">
        <v>934</v>
      </c>
      <c r="AC698" t="s">
        <v>934</v>
      </c>
      <c r="AD698" t="s">
        <v>1029</v>
      </c>
      <c r="AE698">
        <v>1.6</v>
      </c>
      <c r="AF698">
        <v>1.6012000000000004</v>
      </c>
    </row>
    <row r="699" spans="1:32" x14ac:dyDescent="0.25">
      <c r="A699" s="191" t="s">
        <v>2782</v>
      </c>
      <c r="B699" s="191" t="s">
        <v>2783</v>
      </c>
      <c r="C699" s="191" t="s">
        <v>1238</v>
      </c>
      <c r="D699" t="s">
        <v>974</v>
      </c>
      <c r="E699" t="s">
        <v>47</v>
      </c>
      <c r="F699" t="s">
        <v>995</v>
      </c>
      <c r="G699" t="s">
        <v>1717</v>
      </c>
      <c r="H699" t="s">
        <v>962</v>
      </c>
      <c r="I699" t="s">
        <v>969</v>
      </c>
      <c r="J699" t="s">
        <v>1230</v>
      </c>
      <c r="K699" t="s">
        <v>1784</v>
      </c>
      <c r="L699" t="s">
        <v>1119</v>
      </c>
      <c r="M699" t="s">
        <v>969</v>
      </c>
      <c r="N699" t="s">
        <v>1216</v>
      </c>
      <c r="O699" t="s">
        <v>1065</v>
      </c>
      <c r="P699" t="s">
        <v>987</v>
      </c>
      <c r="Q699" t="s">
        <v>1911</v>
      </c>
      <c r="R699" t="s">
        <v>1466</v>
      </c>
      <c r="S699" t="s">
        <v>1119</v>
      </c>
      <c r="T699" t="s">
        <v>991</v>
      </c>
      <c r="U699" t="s">
        <v>1666</v>
      </c>
      <c r="V699" t="s">
        <v>991</v>
      </c>
      <c r="W699" t="s">
        <v>969</v>
      </c>
      <c r="X699" t="s">
        <v>923</v>
      </c>
      <c r="Y699" t="s">
        <v>1008</v>
      </c>
      <c r="Z699" t="s">
        <v>1119</v>
      </c>
      <c r="AA699" t="s">
        <v>1600</v>
      </c>
      <c r="AB699" t="s">
        <v>1065</v>
      </c>
      <c r="AC699" t="s">
        <v>1065</v>
      </c>
      <c r="AD699" t="s">
        <v>1310</v>
      </c>
      <c r="AE699">
        <v>1.4000000000000001</v>
      </c>
      <c r="AF699">
        <v>1.4897999999999998</v>
      </c>
    </row>
    <row r="700" spans="1:32" x14ac:dyDescent="0.25">
      <c r="A700" s="191" t="s">
        <v>2782</v>
      </c>
      <c r="B700" s="191" t="s">
        <v>2783</v>
      </c>
      <c r="C700" s="191" t="s">
        <v>1238</v>
      </c>
      <c r="D700" t="s">
        <v>70</v>
      </c>
      <c r="E700" t="s">
        <v>47</v>
      </c>
      <c r="F700" t="s">
        <v>1212</v>
      </c>
      <c r="G700" t="s">
        <v>1717</v>
      </c>
      <c r="H700" t="s">
        <v>1048</v>
      </c>
      <c r="I700" t="s">
        <v>1065</v>
      </c>
      <c r="J700" t="s">
        <v>1064</v>
      </c>
      <c r="K700" t="s">
        <v>1131</v>
      </c>
      <c r="L700" t="s">
        <v>934</v>
      </c>
      <c r="M700" t="s">
        <v>991</v>
      </c>
      <c r="N700" t="s">
        <v>1729</v>
      </c>
      <c r="O700" t="s">
        <v>991</v>
      </c>
      <c r="P700" t="s">
        <v>969</v>
      </c>
      <c r="Q700" t="s">
        <v>1713</v>
      </c>
      <c r="R700" t="s">
        <v>1494</v>
      </c>
      <c r="S700" t="s">
        <v>1119</v>
      </c>
      <c r="T700" t="s">
        <v>991</v>
      </c>
      <c r="U700" t="s">
        <v>2388</v>
      </c>
      <c r="V700" t="s">
        <v>934</v>
      </c>
      <c r="W700" t="s">
        <v>991</v>
      </c>
      <c r="X700" t="s">
        <v>969</v>
      </c>
      <c r="Y700" t="s">
        <v>991</v>
      </c>
      <c r="Z700" t="s">
        <v>1119</v>
      </c>
      <c r="AA700" t="s">
        <v>1600</v>
      </c>
      <c r="AB700" t="s">
        <v>1119</v>
      </c>
      <c r="AC700" t="s">
        <v>991</v>
      </c>
      <c r="AD700" t="s">
        <v>1195</v>
      </c>
      <c r="AE700">
        <v>1.3000000000000003</v>
      </c>
      <c r="AF700">
        <v>1.3446</v>
      </c>
    </row>
    <row r="701" spans="1:32" x14ac:dyDescent="0.25">
      <c r="A701" s="191" t="s">
        <v>2782</v>
      </c>
      <c r="B701" s="191" t="s">
        <v>2783</v>
      </c>
      <c r="C701" s="191" t="s">
        <v>1238</v>
      </c>
      <c r="D701" t="s">
        <v>95</v>
      </c>
      <c r="E701" t="s">
        <v>47</v>
      </c>
      <c r="F701" t="s">
        <v>1031</v>
      </c>
      <c r="G701" t="s">
        <v>1717</v>
      </c>
      <c r="H701" t="s">
        <v>1380</v>
      </c>
      <c r="I701" t="s">
        <v>987</v>
      </c>
      <c r="J701" t="s">
        <v>924</v>
      </c>
      <c r="K701" t="s">
        <v>1666</v>
      </c>
      <c r="L701" t="s">
        <v>1600</v>
      </c>
      <c r="M701" t="s">
        <v>945</v>
      </c>
      <c r="N701" t="s">
        <v>1646</v>
      </c>
      <c r="O701" t="s">
        <v>987</v>
      </c>
      <c r="P701" t="s">
        <v>945</v>
      </c>
      <c r="Q701" t="s">
        <v>1696</v>
      </c>
      <c r="R701" t="s">
        <v>1666</v>
      </c>
      <c r="S701" t="s">
        <v>991</v>
      </c>
      <c r="T701" t="s">
        <v>969</v>
      </c>
      <c r="U701" t="s">
        <v>1696</v>
      </c>
      <c r="V701" t="s">
        <v>923</v>
      </c>
      <c r="W701" t="s">
        <v>945</v>
      </c>
      <c r="X701" t="s">
        <v>925</v>
      </c>
      <c r="Y701" t="s">
        <v>968</v>
      </c>
      <c r="Z701" t="s">
        <v>934</v>
      </c>
      <c r="AA701" t="s">
        <v>934</v>
      </c>
      <c r="AB701" t="s">
        <v>968</v>
      </c>
      <c r="AC701" t="s">
        <v>987</v>
      </c>
      <c r="AD701" t="s">
        <v>956</v>
      </c>
      <c r="AE701">
        <v>2</v>
      </c>
      <c r="AF701">
        <v>2.0009999999999999</v>
      </c>
    </row>
    <row r="702" spans="1:32" x14ac:dyDescent="0.25">
      <c r="A702" s="191" t="s">
        <v>2784</v>
      </c>
      <c r="B702" s="191" t="s">
        <v>2785</v>
      </c>
      <c r="C702" s="191" t="s">
        <v>1245</v>
      </c>
      <c r="D702" t="s">
        <v>151</v>
      </c>
      <c r="E702" t="s">
        <v>56</v>
      </c>
      <c r="F702" t="s">
        <v>1202</v>
      </c>
      <c r="G702" t="s">
        <v>1717</v>
      </c>
      <c r="H702" t="s">
        <v>992</v>
      </c>
      <c r="I702" t="s">
        <v>969</v>
      </c>
      <c r="J702" t="s">
        <v>1230</v>
      </c>
      <c r="K702" t="s">
        <v>1595</v>
      </c>
      <c r="L702" t="s">
        <v>1094</v>
      </c>
      <c r="M702" t="s">
        <v>1008</v>
      </c>
      <c r="N702" t="s">
        <v>1870</v>
      </c>
      <c r="O702" t="s">
        <v>1094</v>
      </c>
      <c r="P702" t="s">
        <v>987</v>
      </c>
      <c r="Q702" t="s">
        <v>958</v>
      </c>
      <c r="R702" t="s">
        <v>1157</v>
      </c>
      <c r="S702" t="s">
        <v>1119</v>
      </c>
      <c r="T702" t="s">
        <v>1094</v>
      </c>
      <c r="U702" t="s">
        <v>1131</v>
      </c>
      <c r="V702" t="s">
        <v>1119</v>
      </c>
      <c r="W702" t="s">
        <v>1094</v>
      </c>
      <c r="X702" t="s">
        <v>1094</v>
      </c>
      <c r="Y702" t="s">
        <v>991</v>
      </c>
      <c r="Z702" t="s">
        <v>1119</v>
      </c>
      <c r="AA702" t="s">
        <v>1119</v>
      </c>
      <c r="AB702" t="s">
        <v>1094</v>
      </c>
      <c r="AC702" t="s">
        <v>969</v>
      </c>
      <c r="AD702" t="s">
        <v>1310</v>
      </c>
      <c r="AE702">
        <v>1.6</v>
      </c>
      <c r="AF702">
        <v>1.4981999999999998</v>
      </c>
    </row>
    <row r="703" spans="1:32" x14ac:dyDescent="0.25">
      <c r="A703" s="191" t="s">
        <v>2786</v>
      </c>
      <c r="B703" s="191" t="s">
        <v>2787</v>
      </c>
      <c r="C703" s="191" t="s">
        <v>1032</v>
      </c>
      <c r="D703" t="s">
        <v>129</v>
      </c>
      <c r="E703" t="s">
        <v>47</v>
      </c>
      <c r="F703" t="s">
        <v>972</v>
      </c>
      <c r="G703" t="s">
        <v>1717</v>
      </c>
      <c r="H703" t="s">
        <v>1118</v>
      </c>
      <c r="I703" t="s">
        <v>1065</v>
      </c>
      <c r="J703" t="s">
        <v>968</v>
      </c>
      <c r="K703" t="s">
        <v>1785</v>
      </c>
      <c r="L703" t="s">
        <v>1600</v>
      </c>
      <c r="M703" t="s">
        <v>1094</v>
      </c>
      <c r="N703" t="s">
        <v>1646</v>
      </c>
      <c r="O703" t="s">
        <v>1065</v>
      </c>
      <c r="P703" t="s">
        <v>1310</v>
      </c>
      <c r="Q703" t="s">
        <v>1666</v>
      </c>
      <c r="R703" t="s">
        <v>1785</v>
      </c>
      <c r="S703" t="s">
        <v>1065</v>
      </c>
      <c r="T703" t="s">
        <v>1065</v>
      </c>
      <c r="U703" t="s">
        <v>2146</v>
      </c>
      <c r="V703" t="s">
        <v>1600</v>
      </c>
      <c r="W703" t="s">
        <v>956</v>
      </c>
      <c r="X703" t="s">
        <v>956</v>
      </c>
      <c r="Y703" t="s">
        <v>1065</v>
      </c>
      <c r="Z703" t="s">
        <v>1094</v>
      </c>
      <c r="AA703" t="s">
        <v>1094</v>
      </c>
      <c r="AB703" t="s">
        <v>1600</v>
      </c>
      <c r="AC703" t="s">
        <v>1310</v>
      </c>
      <c r="AD703" t="s">
        <v>1310</v>
      </c>
      <c r="AE703">
        <v>1.5</v>
      </c>
      <c r="AF703">
        <v>1.4990000000000001</v>
      </c>
    </row>
    <row r="704" spans="1:32" x14ac:dyDescent="0.25">
      <c r="A704" s="191" t="s">
        <v>2788</v>
      </c>
      <c r="B704" s="191" t="s">
        <v>2789</v>
      </c>
      <c r="C704" s="191" t="s">
        <v>1245</v>
      </c>
      <c r="D704" t="s">
        <v>102</v>
      </c>
      <c r="E704" t="s">
        <v>47</v>
      </c>
      <c r="F704" t="s">
        <v>1147</v>
      </c>
      <c r="G704" t="s">
        <v>1717</v>
      </c>
      <c r="H704" t="s">
        <v>993</v>
      </c>
      <c r="I704" t="s">
        <v>1065</v>
      </c>
      <c r="J704" t="s">
        <v>945</v>
      </c>
      <c r="K704" t="s">
        <v>1719</v>
      </c>
      <c r="L704" t="s">
        <v>1600</v>
      </c>
      <c r="M704" t="s">
        <v>991</v>
      </c>
      <c r="N704" t="s">
        <v>1646</v>
      </c>
      <c r="O704" t="s">
        <v>1065</v>
      </c>
      <c r="P704" t="s">
        <v>987</v>
      </c>
      <c r="Q704" t="s">
        <v>1836</v>
      </c>
      <c r="R704" t="s">
        <v>1719</v>
      </c>
      <c r="S704" t="s">
        <v>969</v>
      </c>
      <c r="T704" t="s">
        <v>969</v>
      </c>
      <c r="U704" t="s">
        <v>2146</v>
      </c>
      <c r="V704" t="s">
        <v>934</v>
      </c>
      <c r="W704" t="s">
        <v>969</v>
      </c>
      <c r="X704" t="s">
        <v>987</v>
      </c>
      <c r="Y704" t="s">
        <v>1600</v>
      </c>
      <c r="Z704" t="s">
        <v>934</v>
      </c>
      <c r="AA704" t="s">
        <v>1119</v>
      </c>
      <c r="AB704" t="s">
        <v>934</v>
      </c>
      <c r="AC704" t="s">
        <v>934</v>
      </c>
      <c r="AD704" t="s">
        <v>1310</v>
      </c>
      <c r="AE704">
        <v>1.6</v>
      </c>
      <c r="AF704">
        <v>1.5599999999999998</v>
      </c>
    </row>
    <row r="705" spans="1:32" x14ac:dyDescent="0.25">
      <c r="A705" s="191" t="s">
        <v>2790</v>
      </c>
      <c r="B705" s="191" t="s">
        <v>2791</v>
      </c>
      <c r="C705" s="191" t="s">
        <v>1032</v>
      </c>
      <c r="D705" t="s">
        <v>1014</v>
      </c>
      <c r="E705" t="s">
        <v>56</v>
      </c>
      <c r="F705" t="s">
        <v>928</v>
      </c>
      <c r="G705" t="s">
        <v>1717</v>
      </c>
      <c r="H705" t="s">
        <v>920</v>
      </c>
      <c r="I705" t="s">
        <v>1065</v>
      </c>
      <c r="J705" t="s">
        <v>993</v>
      </c>
      <c r="K705" t="s">
        <v>2251</v>
      </c>
      <c r="L705" t="s">
        <v>1065</v>
      </c>
      <c r="M705" t="s">
        <v>993</v>
      </c>
      <c r="N705" t="s">
        <v>2251</v>
      </c>
      <c r="O705" t="s">
        <v>1600</v>
      </c>
      <c r="P705" t="s">
        <v>1600</v>
      </c>
      <c r="Q705" t="s">
        <v>927</v>
      </c>
      <c r="R705" t="s">
        <v>2341</v>
      </c>
      <c r="S705" t="s">
        <v>1600</v>
      </c>
      <c r="T705" t="s">
        <v>1600</v>
      </c>
      <c r="U705" t="s">
        <v>927</v>
      </c>
      <c r="V705" t="s">
        <v>1600</v>
      </c>
      <c r="W705" t="s">
        <v>1600</v>
      </c>
      <c r="X705" t="s">
        <v>1600</v>
      </c>
      <c r="Y705" t="s">
        <v>1065</v>
      </c>
      <c r="Z705" t="s">
        <v>1600</v>
      </c>
      <c r="AA705" t="s">
        <v>1600</v>
      </c>
      <c r="AB705" t="s">
        <v>1065</v>
      </c>
      <c r="AC705" t="s">
        <v>1600</v>
      </c>
      <c r="AD705" t="s">
        <v>1310</v>
      </c>
      <c r="AE705">
        <v>1.5</v>
      </c>
      <c r="AF705" t="e">
        <v>#VALUE!</v>
      </c>
    </row>
    <row r="706" spans="1:32" x14ac:dyDescent="0.25">
      <c r="A706" s="191" t="s">
        <v>2792</v>
      </c>
      <c r="B706" s="191" t="s">
        <v>2793</v>
      </c>
      <c r="C706" s="191" t="s">
        <v>1293</v>
      </c>
      <c r="D706" t="s">
        <v>129</v>
      </c>
      <c r="E706" t="s">
        <v>47</v>
      </c>
      <c r="F706" t="s">
        <v>1232</v>
      </c>
      <c r="G706" t="s">
        <v>1717</v>
      </c>
      <c r="H706" t="s">
        <v>992</v>
      </c>
      <c r="I706" t="s">
        <v>1065</v>
      </c>
      <c r="J706" t="s">
        <v>1029</v>
      </c>
      <c r="K706" t="s">
        <v>1750</v>
      </c>
      <c r="L706" t="s">
        <v>1094</v>
      </c>
      <c r="M706" t="s">
        <v>923</v>
      </c>
      <c r="N706" t="s">
        <v>2530</v>
      </c>
      <c r="O706" t="s">
        <v>934</v>
      </c>
      <c r="P706" t="s">
        <v>969</v>
      </c>
      <c r="Q706" t="s">
        <v>1666</v>
      </c>
      <c r="R706" t="s">
        <v>1761</v>
      </c>
      <c r="S706" t="s">
        <v>1119</v>
      </c>
      <c r="T706" t="s">
        <v>1119</v>
      </c>
      <c r="U706" t="s">
        <v>2146</v>
      </c>
      <c r="V706" t="s">
        <v>1600</v>
      </c>
      <c r="W706" t="s">
        <v>991</v>
      </c>
      <c r="X706" t="s">
        <v>991</v>
      </c>
      <c r="Y706" t="s">
        <v>934</v>
      </c>
      <c r="Z706" t="s">
        <v>1119</v>
      </c>
      <c r="AA706" t="s">
        <v>1600</v>
      </c>
      <c r="AB706" t="s">
        <v>934</v>
      </c>
      <c r="AC706" t="s">
        <v>1119</v>
      </c>
      <c r="AD706" t="s">
        <v>1310</v>
      </c>
      <c r="AE706">
        <v>1.4</v>
      </c>
      <c r="AF706">
        <v>1.4476</v>
      </c>
    </row>
    <row r="707" spans="1:32" x14ac:dyDescent="0.25">
      <c r="A707" s="191" t="s">
        <v>2794</v>
      </c>
      <c r="B707" s="191" t="s">
        <v>2795</v>
      </c>
      <c r="C707" s="191" t="s">
        <v>1084</v>
      </c>
      <c r="D707" t="s">
        <v>974</v>
      </c>
      <c r="E707" t="s">
        <v>47</v>
      </c>
      <c r="F707" t="s">
        <v>1212</v>
      </c>
      <c r="G707" t="s">
        <v>1717</v>
      </c>
      <c r="H707" t="s">
        <v>1047</v>
      </c>
      <c r="I707" t="s">
        <v>1065</v>
      </c>
      <c r="J707" t="s">
        <v>1195</v>
      </c>
      <c r="K707" t="s">
        <v>1564</v>
      </c>
      <c r="L707" t="s">
        <v>1094</v>
      </c>
      <c r="M707" t="s">
        <v>969</v>
      </c>
      <c r="N707" t="s">
        <v>1131</v>
      </c>
      <c r="O707" t="s">
        <v>934</v>
      </c>
      <c r="P707" t="s">
        <v>1008</v>
      </c>
      <c r="Q707" t="s">
        <v>1666</v>
      </c>
      <c r="R707" t="s">
        <v>1339</v>
      </c>
      <c r="S707" t="s">
        <v>1600</v>
      </c>
      <c r="T707" t="s">
        <v>1600</v>
      </c>
      <c r="U707" t="s">
        <v>927</v>
      </c>
      <c r="V707" t="s">
        <v>934</v>
      </c>
      <c r="W707" t="s">
        <v>1008</v>
      </c>
      <c r="X707" t="s">
        <v>918</v>
      </c>
      <c r="Y707" t="s">
        <v>991</v>
      </c>
      <c r="Z707" t="s">
        <v>1119</v>
      </c>
      <c r="AA707" t="s">
        <v>1600</v>
      </c>
      <c r="AB707" t="s">
        <v>934</v>
      </c>
      <c r="AC707" t="s">
        <v>934</v>
      </c>
      <c r="AD707" t="s">
        <v>1230</v>
      </c>
      <c r="AE707">
        <v>1.2999999999999998</v>
      </c>
      <c r="AF707" t="e">
        <v>#VALUE!</v>
      </c>
    </row>
    <row r="708" spans="1:32" x14ac:dyDescent="0.25">
      <c r="A708" s="191" t="s">
        <v>2794</v>
      </c>
      <c r="B708" s="191" t="s">
        <v>2795</v>
      </c>
      <c r="C708" s="191" t="s">
        <v>1084</v>
      </c>
      <c r="D708" t="s">
        <v>129</v>
      </c>
      <c r="E708" t="s">
        <v>47</v>
      </c>
      <c r="F708" t="s">
        <v>1202</v>
      </c>
      <c r="G708" t="s">
        <v>1717</v>
      </c>
      <c r="H708" t="s">
        <v>946</v>
      </c>
      <c r="I708" t="s">
        <v>934</v>
      </c>
      <c r="J708" t="s">
        <v>969</v>
      </c>
      <c r="K708" t="s">
        <v>2341</v>
      </c>
      <c r="L708" t="s">
        <v>1600</v>
      </c>
      <c r="M708" t="s">
        <v>1119</v>
      </c>
      <c r="N708" t="s">
        <v>1646</v>
      </c>
      <c r="O708" t="s">
        <v>934</v>
      </c>
      <c r="P708" t="s">
        <v>1065</v>
      </c>
      <c r="Q708" t="s">
        <v>910</v>
      </c>
      <c r="R708" t="s">
        <v>2341</v>
      </c>
      <c r="S708" t="s">
        <v>1600</v>
      </c>
      <c r="T708" t="s">
        <v>1600</v>
      </c>
      <c r="U708" t="s">
        <v>927</v>
      </c>
      <c r="V708" t="s">
        <v>1119</v>
      </c>
      <c r="W708" t="s">
        <v>969</v>
      </c>
      <c r="X708" t="s">
        <v>1008</v>
      </c>
      <c r="Y708" t="s">
        <v>1094</v>
      </c>
      <c r="Z708" t="s">
        <v>1119</v>
      </c>
      <c r="AA708" t="s">
        <v>1600</v>
      </c>
      <c r="AB708" t="s">
        <v>1119</v>
      </c>
      <c r="AC708" t="s">
        <v>934</v>
      </c>
      <c r="AD708" t="s">
        <v>991</v>
      </c>
      <c r="AE708">
        <v>0.4</v>
      </c>
      <c r="AF708" t="e">
        <v>#VALUE!</v>
      </c>
    </row>
    <row r="709" spans="1:32" x14ac:dyDescent="0.25">
      <c r="A709" s="191" t="s">
        <v>2794</v>
      </c>
      <c r="B709" s="191" t="s">
        <v>2795</v>
      </c>
      <c r="C709" s="191" t="s">
        <v>1084</v>
      </c>
      <c r="D709" t="s">
        <v>111</v>
      </c>
      <c r="E709" t="s">
        <v>47</v>
      </c>
      <c r="F709" t="s">
        <v>901</v>
      </c>
      <c r="G709" t="s">
        <v>1717</v>
      </c>
      <c r="H709" t="s">
        <v>1894</v>
      </c>
      <c r="I709" t="s">
        <v>1063</v>
      </c>
      <c r="J709" t="s">
        <v>1380</v>
      </c>
      <c r="K709" t="s">
        <v>1131</v>
      </c>
      <c r="L709" t="s">
        <v>920</v>
      </c>
      <c r="M709" t="s">
        <v>1061</v>
      </c>
      <c r="N709" t="s">
        <v>1842</v>
      </c>
      <c r="O709" t="s">
        <v>923</v>
      </c>
      <c r="P709" t="s">
        <v>1228</v>
      </c>
      <c r="Q709" t="s">
        <v>2152</v>
      </c>
      <c r="R709" t="s">
        <v>1939</v>
      </c>
      <c r="S709" t="s">
        <v>1600</v>
      </c>
      <c r="T709" t="s">
        <v>1600</v>
      </c>
      <c r="U709" t="s">
        <v>927</v>
      </c>
      <c r="V709" t="s">
        <v>923</v>
      </c>
      <c r="W709" t="s">
        <v>1135</v>
      </c>
      <c r="X709" t="s">
        <v>1228</v>
      </c>
      <c r="Y709" t="s">
        <v>956</v>
      </c>
      <c r="Z709" t="s">
        <v>1600</v>
      </c>
      <c r="AA709" t="s">
        <v>1600</v>
      </c>
      <c r="AB709" t="s">
        <v>923</v>
      </c>
      <c r="AC709" t="s">
        <v>1600</v>
      </c>
      <c r="AD709" t="s">
        <v>1357</v>
      </c>
      <c r="AE709">
        <v>17</v>
      </c>
      <c r="AF709" t="e">
        <v>#VALUE!</v>
      </c>
    </row>
    <row r="710" spans="1:32" x14ac:dyDescent="0.25">
      <c r="A710" s="191" t="s">
        <v>2796</v>
      </c>
      <c r="B710" s="191" t="s">
        <v>2797</v>
      </c>
      <c r="C710" s="191" t="s">
        <v>1232</v>
      </c>
      <c r="D710" t="s">
        <v>79</v>
      </c>
      <c r="E710" t="s">
        <v>63</v>
      </c>
      <c r="F710" t="s">
        <v>1147</v>
      </c>
      <c r="G710" t="s">
        <v>1717</v>
      </c>
      <c r="H710" t="s">
        <v>1047</v>
      </c>
      <c r="I710" t="s">
        <v>1065</v>
      </c>
      <c r="J710" t="s">
        <v>968</v>
      </c>
      <c r="K710" t="s">
        <v>2798</v>
      </c>
      <c r="L710" t="s">
        <v>934</v>
      </c>
      <c r="M710" t="s">
        <v>923</v>
      </c>
      <c r="N710" t="s">
        <v>2601</v>
      </c>
      <c r="O710" t="s">
        <v>991</v>
      </c>
      <c r="P710" t="s">
        <v>987</v>
      </c>
      <c r="Q710" t="s">
        <v>1665</v>
      </c>
      <c r="R710" t="s">
        <v>1666</v>
      </c>
      <c r="S710" t="s">
        <v>934</v>
      </c>
      <c r="T710" t="s">
        <v>1094</v>
      </c>
      <c r="U710" t="s">
        <v>1131</v>
      </c>
      <c r="V710" t="s">
        <v>934</v>
      </c>
      <c r="W710" t="s">
        <v>1008</v>
      </c>
      <c r="X710" t="s">
        <v>918</v>
      </c>
      <c r="Y710" t="s">
        <v>1065</v>
      </c>
      <c r="Z710" t="s">
        <v>991</v>
      </c>
      <c r="AA710" t="s">
        <v>1119</v>
      </c>
      <c r="AB710" t="s">
        <v>934</v>
      </c>
      <c r="AC710" t="s">
        <v>1094</v>
      </c>
      <c r="AD710" t="s">
        <v>1230</v>
      </c>
      <c r="AE710">
        <v>1.4000000000000001</v>
      </c>
      <c r="AF710">
        <v>1.3399999999999999</v>
      </c>
    </row>
    <row r="711" spans="1:32" x14ac:dyDescent="0.25">
      <c r="A711" s="191" t="s">
        <v>2799</v>
      </c>
      <c r="B711" s="191" t="s">
        <v>2800</v>
      </c>
      <c r="C711" s="191" t="s">
        <v>1245</v>
      </c>
      <c r="D711" t="s">
        <v>105</v>
      </c>
      <c r="E711" t="s">
        <v>47</v>
      </c>
      <c r="F711" t="s">
        <v>1245</v>
      </c>
      <c r="G711" t="s">
        <v>901</v>
      </c>
      <c r="H711" t="s">
        <v>920</v>
      </c>
      <c r="I711" t="s">
        <v>991</v>
      </c>
      <c r="J711" t="s">
        <v>1195</v>
      </c>
      <c r="K711" t="s">
        <v>1666</v>
      </c>
      <c r="L711" t="s">
        <v>1600</v>
      </c>
      <c r="M711" t="s">
        <v>991</v>
      </c>
      <c r="N711" t="s">
        <v>1646</v>
      </c>
      <c r="O711" t="s">
        <v>991</v>
      </c>
      <c r="P711" t="s">
        <v>918</v>
      </c>
      <c r="Q711" t="s">
        <v>1268</v>
      </c>
      <c r="R711" t="s">
        <v>1666</v>
      </c>
      <c r="S711" t="s">
        <v>969</v>
      </c>
      <c r="T711" t="s">
        <v>987</v>
      </c>
      <c r="U711" t="s">
        <v>2049</v>
      </c>
      <c r="V711" t="s">
        <v>1065</v>
      </c>
      <c r="W711" t="s">
        <v>945</v>
      </c>
      <c r="X711" t="s">
        <v>922</v>
      </c>
      <c r="Y711" t="s">
        <v>934</v>
      </c>
      <c r="Z711" t="s">
        <v>934</v>
      </c>
      <c r="AA711" t="s">
        <v>1600</v>
      </c>
      <c r="AB711" t="s">
        <v>1094</v>
      </c>
      <c r="AC711" t="s">
        <v>991</v>
      </c>
      <c r="AD711" t="s">
        <v>1230</v>
      </c>
      <c r="AE711">
        <v>1.4</v>
      </c>
      <c r="AF711">
        <v>1.4532</v>
      </c>
    </row>
    <row r="712" spans="1:32" x14ac:dyDescent="0.25">
      <c r="A712" s="191" t="s">
        <v>2801</v>
      </c>
      <c r="B712" s="191" t="s">
        <v>2802</v>
      </c>
      <c r="C712" s="191" t="s">
        <v>1245</v>
      </c>
      <c r="D712" t="s">
        <v>148</v>
      </c>
      <c r="E712" t="s">
        <v>63</v>
      </c>
      <c r="F712" t="s">
        <v>1084</v>
      </c>
      <c r="G712" t="s">
        <v>1717</v>
      </c>
      <c r="H712" t="s">
        <v>1046</v>
      </c>
      <c r="I712" t="s">
        <v>1065</v>
      </c>
      <c r="J712" t="s">
        <v>922</v>
      </c>
      <c r="K712" t="s">
        <v>2305</v>
      </c>
      <c r="L712" t="s">
        <v>1119</v>
      </c>
      <c r="M712" t="s">
        <v>1008</v>
      </c>
      <c r="N712" t="s">
        <v>1890</v>
      </c>
      <c r="O712" t="s">
        <v>991</v>
      </c>
      <c r="P712" t="s">
        <v>923</v>
      </c>
      <c r="Q712" t="s">
        <v>958</v>
      </c>
      <c r="R712" t="s">
        <v>1001</v>
      </c>
      <c r="S712" t="s">
        <v>1119</v>
      </c>
      <c r="T712" t="s">
        <v>934</v>
      </c>
      <c r="U712" t="s">
        <v>2049</v>
      </c>
      <c r="V712" t="s">
        <v>1600</v>
      </c>
      <c r="W712" t="s">
        <v>1065</v>
      </c>
      <c r="X712" t="s">
        <v>1065</v>
      </c>
      <c r="Y712" t="s">
        <v>1065</v>
      </c>
      <c r="Z712" t="s">
        <v>1119</v>
      </c>
      <c r="AA712" t="s">
        <v>1600</v>
      </c>
      <c r="AB712" t="s">
        <v>934</v>
      </c>
      <c r="AC712" t="s">
        <v>991</v>
      </c>
      <c r="AD712" t="s">
        <v>1195</v>
      </c>
      <c r="AE712">
        <v>1.2000000000000002</v>
      </c>
      <c r="AF712">
        <v>1.3536000000000001</v>
      </c>
    </row>
    <row r="713" spans="1:32" x14ac:dyDescent="0.25">
      <c r="A713" s="191" t="s">
        <v>2803</v>
      </c>
      <c r="B713" s="191" t="s">
        <v>2804</v>
      </c>
      <c r="C713" s="191" t="s">
        <v>1032</v>
      </c>
      <c r="D713" t="s">
        <v>148</v>
      </c>
      <c r="E713" t="s">
        <v>47</v>
      </c>
      <c r="F713" t="s">
        <v>1238</v>
      </c>
      <c r="G713" t="s">
        <v>1717</v>
      </c>
      <c r="H713" t="s">
        <v>1044</v>
      </c>
      <c r="I713" t="s">
        <v>969</v>
      </c>
      <c r="J713" t="s">
        <v>922</v>
      </c>
      <c r="K713" t="s">
        <v>1351</v>
      </c>
      <c r="L713" t="s">
        <v>1119</v>
      </c>
      <c r="M713" t="s">
        <v>918</v>
      </c>
      <c r="N713" t="s">
        <v>2165</v>
      </c>
      <c r="O713" t="s">
        <v>1065</v>
      </c>
      <c r="P713" t="s">
        <v>918</v>
      </c>
      <c r="Q713" t="s">
        <v>1911</v>
      </c>
      <c r="R713" t="s">
        <v>1835</v>
      </c>
      <c r="S713" t="s">
        <v>934</v>
      </c>
      <c r="T713" t="s">
        <v>934</v>
      </c>
      <c r="U713" t="s">
        <v>2146</v>
      </c>
      <c r="V713" t="s">
        <v>991</v>
      </c>
      <c r="W713" t="s">
        <v>1065</v>
      </c>
      <c r="X713" t="s">
        <v>918</v>
      </c>
      <c r="Y713" t="s">
        <v>1094</v>
      </c>
      <c r="Z713" t="s">
        <v>1094</v>
      </c>
      <c r="AA713" t="s">
        <v>1094</v>
      </c>
      <c r="AB713" t="s">
        <v>1094</v>
      </c>
      <c r="AC713" t="s">
        <v>918</v>
      </c>
      <c r="AD713" t="s">
        <v>1195</v>
      </c>
      <c r="AE713">
        <v>1.5</v>
      </c>
      <c r="AF713">
        <v>1.3000999999999998</v>
      </c>
    </row>
    <row r="714" spans="1:32" x14ac:dyDescent="0.25">
      <c r="A714" s="191" t="s">
        <v>2805</v>
      </c>
      <c r="B714" s="191" t="s">
        <v>2806</v>
      </c>
      <c r="C714" s="191" t="s">
        <v>1015</v>
      </c>
      <c r="D714" t="s">
        <v>121</v>
      </c>
      <c r="E714" t="s">
        <v>93</v>
      </c>
      <c r="F714" t="s">
        <v>972</v>
      </c>
      <c r="G714" t="s">
        <v>1717</v>
      </c>
      <c r="H714" t="s">
        <v>1135</v>
      </c>
      <c r="I714" t="s">
        <v>1065</v>
      </c>
      <c r="J714" t="s">
        <v>923</v>
      </c>
      <c r="K714" t="s">
        <v>1131</v>
      </c>
      <c r="L714" t="s">
        <v>1094</v>
      </c>
      <c r="M714" t="s">
        <v>1094</v>
      </c>
      <c r="N714" t="s">
        <v>2146</v>
      </c>
      <c r="O714" t="s">
        <v>1094</v>
      </c>
      <c r="P714" t="s">
        <v>987</v>
      </c>
      <c r="Q714" t="s">
        <v>1666</v>
      </c>
      <c r="R714" t="s">
        <v>1842</v>
      </c>
      <c r="S714" t="s">
        <v>1600</v>
      </c>
      <c r="T714" t="s">
        <v>1600</v>
      </c>
      <c r="U714" t="s">
        <v>927</v>
      </c>
      <c r="V714" t="s">
        <v>1094</v>
      </c>
      <c r="W714" t="s">
        <v>1065</v>
      </c>
      <c r="X714" t="s">
        <v>987</v>
      </c>
      <c r="Y714" t="s">
        <v>1094</v>
      </c>
      <c r="Z714" t="s">
        <v>1600</v>
      </c>
      <c r="AA714" t="s">
        <v>1600</v>
      </c>
      <c r="AB714" t="s">
        <v>1600</v>
      </c>
      <c r="AC714" t="s">
        <v>1094</v>
      </c>
      <c r="AD714" t="s">
        <v>1195</v>
      </c>
      <c r="AE714">
        <v>1.2999999999999998</v>
      </c>
      <c r="AF714" t="e">
        <v>#VALUE!</v>
      </c>
    </row>
    <row r="715" spans="1:32" x14ac:dyDescent="0.25">
      <c r="A715" s="191" t="s">
        <v>2807</v>
      </c>
      <c r="B715" s="191" t="s">
        <v>2808</v>
      </c>
      <c r="C715" s="191" t="s">
        <v>1032</v>
      </c>
      <c r="D715" t="s">
        <v>1069</v>
      </c>
      <c r="E715" t="s">
        <v>47</v>
      </c>
      <c r="F715" t="s">
        <v>1083</v>
      </c>
      <c r="G715" t="s">
        <v>1717</v>
      </c>
      <c r="H715" t="s">
        <v>1155</v>
      </c>
      <c r="I715" t="s">
        <v>1094</v>
      </c>
      <c r="J715" t="s">
        <v>918</v>
      </c>
      <c r="K715" t="s">
        <v>1785</v>
      </c>
      <c r="L715" t="s">
        <v>1094</v>
      </c>
      <c r="M715" t="s">
        <v>918</v>
      </c>
      <c r="N715" t="s">
        <v>1785</v>
      </c>
      <c r="O715" t="s">
        <v>1600</v>
      </c>
      <c r="P715" t="s">
        <v>1600</v>
      </c>
      <c r="Q715" t="s">
        <v>927</v>
      </c>
      <c r="R715" t="s">
        <v>1729</v>
      </c>
      <c r="S715" t="s">
        <v>991</v>
      </c>
      <c r="T715" t="s">
        <v>1065</v>
      </c>
      <c r="U715" t="s">
        <v>2049</v>
      </c>
      <c r="V715" t="s">
        <v>1600</v>
      </c>
      <c r="W715" t="s">
        <v>1065</v>
      </c>
      <c r="X715" t="s">
        <v>1065</v>
      </c>
      <c r="Y715" t="s">
        <v>1600</v>
      </c>
      <c r="Z715" t="s">
        <v>1600</v>
      </c>
      <c r="AA715" t="s">
        <v>1600</v>
      </c>
      <c r="AB715" t="s">
        <v>1065</v>
      </c>
      <c r="AC715" t="s">
        <v>1600</v>
      </c>
      <c r="AD715" t="s">
        <v>1064</v>
      </c>
      <c r="AE715">
        <v>1.2999999999999998</v>
      </c>
      <c r="AF715" t="e">
        <v>#VALUE!</v>
      </c>
    </row>
    <row r="716" spans="1:32" x14ac:dyDescent="0.25">
      <c r="A716" s="191" t="s">
        <v>2640</v>
      </c>
      <c r="B716" t="s">
        <v>2641</v>
      </c>
      <c r="C716" t="s">
        <v>973</v>
      </c>
      <c r="D716" t="s">
        <v>65</v>
      </c>
      <c r="E716" t="s">
        <v>63</v>
      </c>
      <c r="F716" t="s">
        <v>1238</v>
      </c>
      <c r="G716" t="s">
        <v>1717</v>
      </c>
      <c r="H716" t="s">
        <v>988</v>
      </c>
      <c r="I716" t="s">
        <v>1230</v>
      </c>
      <c r="J716" t="s">
        <v>946</v>
      </c>
      <c r="K716" t="s">
        <v>1718</v>
      </c>
      <c r="L716" t="s">
        <v>1094</v>
      </c>
      <c r="M716" t="s">
        <v>1195</v>
      </c>
      <c r="N716" t="s">
        <v>1216</v>
      </c>
      <c r="O716" t="s">
        <v>1064</v>
      </c>
      <c r="P716" t="s">
        <v>968</v>
      </c>
      <c r="Q716" t="s">
        <v>1494</v>
      </c>
      <c r="R716" t="s">
        <v>1200</v>
      </c>
      <c r="S716" t="s">
        <v>1094</v>
      </c>
      <c r="T716" t="s">
        <v>991</v>
      </c>
      <c r="U716" t="s">
        <v>1842</v>
      </c>
      <c r="V716" t="s">
        <v>1094</v>
      </c>
      <c r="W716" t="s">
        <v>991</v>
      </c>
      <c r="X716" t="s">
        <v>1008</v>
      </c>
      <c r="Y716" t="s">
        <v>1065</v>
      </c>
      <c r="Z716" t="s">
        <v>991</v>
      </c>
      <c r="AA716" t="s">
        <v>934</v>
      </c>
      <c r="AB716" t="s">
        <v>1008</v>
      </c>
      <c r="AC716" t="s">
        <v>987</v>
      </c>
      <c r="AD716" t="s">
        <v>970</v>
      </c>
      <c r="AE716">
        <v>3.3999999999999995</v>
      </c>
      <c r="AF716">
        <v>3.2496999999999998</v>
      </c>
    </row>
    <row r="717" spans="1:32" x14ac:dyDescent="0.25">
      <c r="A717" s="191" t="s">
        <v>2811</v>
      </c>
      <c r="B717" s="191" t="s">
        <v>2812</v>
      </c>
      <c r="C717" s="191" t="s">
        <v>1032</v>
      </c>
      <c r="D717" t="s">
        <v>97</v>
      </c>
      <c r="E717" t="s">
        <v>56</v>
      </c>
      <c r="F717" t="s">
        <v>1067</v>
      </c>
      <c r="G717" t="s">
        <v>1717</v>
      </c>
      <c r="H717" t="s">
        <v>970</v>
      </c>
      <c r="I717" t="s">
        <v>991</v>
      </c>
      <c r="J717" t="s">
        <v>1230</v>
      </c>
      <c r="K717" t="s">
        <v>2341</v>
      </c>
      <c r="L717" t="s">
        <v>1119</v>
      </c>
      <c r="M717" t="s">
        <v>923</v>
      </c>
      <c r="N717" t="s">
        <v>2486</v>
      </c>
      <c r="O717" t="s">
        <v>1094</v>
      </c>
      <c r="P717" t="s">
        <v>991</v>
      </c>
      <c r="Q717" t="s">
        <v>1696</v>
      </c>
      <c r="R717" t="s">
        <v>1406</v>
      </c>
      <c r="S717" t="s">
        <v>1600</v>
      </c>
      <c r="T717" t="s">
        <v>1094</v>
      </c>
      <c r="U717" t="s">
        <v>1646</v>
      </c>
      <c r="V717" t="s">
        <v>1600</v>
      </c>
      <c r="W717" t="s">
        <v>1094</v>
      </c>
      <c r="X717" t="s">
        <v>1094</v>
      </c>
      <c r="Y717" t="s">
        <v>991</v>
      </c>
      <c r="Z717" t="s">
        <v>1600</v>
      </c>
      <c r="AA717" t="s">
        <v>1600</v>
      </c>
      <c r="AB717" t="s">
        <v>1119</v>
      </c>
      <c r="AC717" t="s">
        <v>1094</v>
      </c>
      <c r="AD717" t="s">
        <v>923</v>
      </c>
      <c r="AE717">
        <v>0.90000000000000013</v>
      </c>
      <c r="AF717">
        <v>0.9625999999999999</v>
      </c>
    </row>
    <row r="718" spans="1:32" x14ac:dyDescent="0.25">
      <c r="A718" s="191" t="s">
        <v>2774</v>
      </c>
      <c r="B718" s="191" t="s">
        <v>2775</v>
      </c>
      <c r="C718" s="191" t="s">
        <v>1015</v>
      </c>
      <c r="D718" t="s">
        <v>65</v>
      </c>
      <c r="E718" t="s">
        <v>93</v>
      </c>
      <c r="F718" t="s">
        <v>1096</v>
      </c>
      <c r="G718" t="s">
        <v>1717</v>
      </c>
      <c r="H718" t="s">
        <v>1134</v>
      </c>
      <c r="I718" t="s">
        <v>969</v>
      </c>
      <c r="J718" t="s">
        <v>1049</v>
      </c>
      <c r="K718" t="s">
        <v>2420</v>
      </c>
      <c r="L718" t="s">
        <v>991</v>
      </c>
      <c r="M718" t="s">
        <v>1230</v>
      </c>
      <c r="N718" t="s">
        <v>1567</v>
      </c>
      <c r="O718" t="s">
        <v>1119</v>
      </c>
      <c r="P718" t="s">
        <v>991</v>
      </c>
      <c r="Q718" t="s">
        <v>2152</v>
      </c>
      <c r="R718" t="s">
        <v>1467</v>
      </c>
      <c r="S718" t="s">
        <v>1600</v>
      </c>
      <c r="T718" t="s">
        <v>1600</v>
      </c>
      <c r="U718" t="s">
        <v>927</v>
      </c>
      <c r="V718" t="s">
        <v>934</v>
      </c>
      <c r="W718" t="s">
        <v>1094</v>
      </c>
      <c r="X718" t="s">
        <v>969</v>
      </c>
      <c r="Y718" t="s">
        <v>1119</v>
      </c>
      <c r="Z718" t="s">
        <v>1600</v>
      </c>
      <c r="AA718" t="s">
        <v>934</v>
      </c>
      <c r="AB718" t="s">
        <v>934</v>
      </c>
      <c r="AC718" t="s">
        <v>1094</v>
      </c>
      <c r="AD718" t="s">
        <v>1029</v>
      </c>
      <c r="AE718">
        <v>1.6</v>
      </c>
      <c r="AF718" t="e">
        <v>#VALUE!</v>
      </c>
    </row>
    <row r="719" spans="1:32" x14ac:dyDescent="0.25">
      <c r="A719" s="191" t="s">
        <v>2815</v>
      </c>
      <c r="B719" s="191" t="s">
        <v>2816</v>
      </c>
      <c r="C719" s="191" t="s">
        <v>995</v>
      </c>
      <c r="D719" t="s">
        <v>95</v>
      </c>
      <c r="E719" t="s">
        <v>63</v>
      </c>
      <c r="F719" t="s">
        <v>1147</v>
      </c>
      <c r="G719" t="s">
        <v>1717</v>
      </c>
      <c r="H719" t="s">
        <v>993</v>
      </c>
      <c r="I719" t="s">
        <v>1094</v>
      </c>
      <c r="J719" t="s">
        <v>1064</v>
      </c>
      <c r="K719" t="s">
        <v>1785</v>
      </c>
      <c r="L719" t="s">
        <v>1600</v>
      </c>
      <c r="M719" t="s">
        <v>1094</v>
      </c>
      <c r="N719" t="s">
        <v>1646</v>
      </c>
      <c r="O719" t="s">
        <v>1094</v>
      </c>
      <c r="P719" t="s">
        <v>987</v>
      </c>
      <c r="Q719" t="s">
        <v>1719</v>
      </c>
      <c r="R719" t="s">
        <v>1785</v>
      </c>
      <c r="S719" t="s">
        <v>991</v>
      </c>
      <c r="T719" t="s">
        <v>1065</v>
      </c>
      <c r="U719" t="s">
        <v>1765</v>
      </c>
      <c r="V719" t="s">
        <v>934</v>
      </c>
      <c r="W719" t="s">
        <v>1119</v>
      </c>
      <c r="X719" t="s">
        <v>934</v>
      </c>
      <c r="Y719" t="s">
        <v>934</v>
      </c>
      <c r="Z719" t="s">
        <v>1119</v>
      </c>
      <c r="AA719" t="s">
        <v>1600</v>
      </c>
      <c r="AB719" t="s">
        <v>1094</v>
      </c>
      <c r="AC719" t="s">
        <v>934</v>
      </c>
      <c r="AD719" t="s">
        <v>923</v>
      </c>
      <c r="AE719">
        <v>1</v>
      </c>
      <c r="AF719">
        <v>1.0565000000000002</v>
      </c>
    </row>
    <row r="720" spans="1:32" x14ac:dyDescent="0.25">
      <c r="A720" s="191" t="s">
        <v>2817</v>
      </c>
      <c r="B720" s="191" t="s">
        <v>2818</v>
      </c>
      <c r="C720" s="191" t="s">
        <v>902</v>
      </c>
      <c r="D720" t="s">
        <v>113</v>
      </c>
      <c r="E720" t="s">
        <v>72</v>
      </c>
      <c r="F720" t="s">
        <v>1355</v>
      </c>
      <c r="G720" t="s">
        <v>928</v>
      </c>
      <c r="H720" t="s">
        <v>1023</v>
      </c>
      <c r="I720" t="s">
        <v>991</v>
      </c>
      <c r="J720" t="s">
        <v>1029</v>
      </c>
      <c r="K720" t="s">
        <v>1948</v>
      </c>
      <c r="L720" t="s">
        <v>934</v>
      </c>
      <c r="M720" t="s">
        <v>923</v>
      </c>
      <c r="N720" t="s">
        <v>2300</v>
      </c>
      <c r="O720" t="s">
        <v>934</v>
      </c>
      <c r="P720" t="s">
        <v>969</v>
      </c>
      <c r="Q720" t="s">
        <v>1679</v>
      </c>
      <c r="R720" t="s">
        <v>2798</v>
      </c>
      <c r="S720" t="s">
        <v>1119</v>
      </c>
      <c r="T720" t="s">
        <v>1119</v>
      </c>
      <c r="U720" t="s">
        <v>2049</v>
      </c>
      <c r="V720" t="s">
        <v>1094</v>
      </c>
      <c r="W720" t="s">
        <v>923</v>
      </c>
      <c r="X720" t="s">
        <v>1195</v>
      </c>
      <c r="Y720" t="s">
        <v>934</v>
      </c>
      <c r="Z720" t="s">
        <v>1094</v>
      </c>
      <c r="AA720" t="s">
        <v>934</v>
      </c>
      <c r="AB720" t="s">
        <v>991</v>
      </c>
      <c r="AC720" t="s">
        <v>1065</v>
      </c>
      <c r="AD720" t="s">
        <v>923</v>
      </c>
      <c r="AE720">
        <v>1.1000000000000001</v>
      </c>
      <c r="AF720">
        <v>1.0002</v>
      </c>
    </row>
    <row r="721" spans="1:32" x14ac:dyDescent="0.25">
      <c r="A721" s="191" t="s">
        <v>2819</v>
      </c>
      <c r="B721" s="191" t="s">
        <v>488</v>
      </c>
      <c r="C721" s="191" t="s">
        <v>1032</v>
      </c>
      <c r="D721" t="s">
        <v>85</v>
      </c>
      <c r="E721" t="s">
        <v>63</v>
      </c>
      <c r="F721" t="s">
        <v>1137</v>
      </c>
      <c r="G721" t="s">
        <v>1717</v>
      </c>
      <c r="H721" t="s">
        <v>1118</v>
      </c>
      <c r="I721" t="s">
        <v>991</v>
      </c>
      <c r="J721" t="s">
        <v>922</v>
      </c>
      <c r="K721" t="s">
        <v>2152</v>
      </c>
      <c r="L721" t="s">
        <v>1600</v>
      </c>
      <c r="M721" t="s">
        <v>987</v>
      </c>
      <c r="N721" t="s">
        <v>1646</v>
      </c>
      <c r="O721" t="s">
        <v>991</v>
      </c>
      <c r="P721" t="s">
        <v>918</v>
      </c>
      <c r="Q721" t="s">
        <v>1665</v>
      </c>
      <c r="R721" t="s">
        <v>2152</v>
      </c>
      <c r="S721" t="s">
        <v>934</v>
      </c>
      <c r="T721" t="s">
        <v>934</v>
      </c>
      <c r="U721" t="s">
        <v>2146</v>
      </c>
      <c r="V721" t="s">
        <v>1008</v>
      </c>
      <c r="W721" t="s">
        <v>923</v>
      </c>
      <c r="X721" t="s">
        <v>922</v>
      </c>
      <c r="Y721" t="s">
        <v>1008</v>
      </c>
      <c r="Z721" t="s">
        <v>1119</v>
      </c>
      <c r="AA721" t="s">
        <v>1119</v>
      </c>
      <c r="AB721" t="s">
        <v>1008</v>
      </c>
      <c r="AC721" t="s">
        <v>1065</v>
      </c>
      <c r="AD721" t="s">
        <v>923</v>
      </c>
      <c r="AE721">
        <v>1</v>
      </c>
      <c r="AF721">
        <v>1.0189999999999999</v>
      </c>
    </row>
    <row r="722" spans="1:32" x14ac:dyDescent="0.25">
      <c r="A722" s="191" t="s">
        <v>2820</v>
      </c>
      <c r="B722" s="191" t="s">
        <v>2821</v>
      </c>
      <c r="C722" s="191" t="s">
        <v>1032</v>
      </c>
      <c r="D722" t="s">
        <v>121</v>
      </c>
      <c r="E722" t="s">
        <v>47</v>
      </c>
      <c r="F722" t="s">
        <v>1175</v>
      </c>
      <c r="G722" t="s">
        <v>1717</v>
      </c>
      <c r="H722" t="s">
        <v>946</v>
      </c>
      <c r="I722" t="s">
        <v>1094</v>
      </c>
      <c r="J722" t="s">
        <v>1008</v>
      </c>
      <c r="K722" t="s">
        <v>1665</v>
      </c>
      <c r="L722" t="s">
        <v>1119</v>
      </c>
      <c r="M722" t="s">
        <v>1094</v>
      </c>
      <c r="N722" t="s">
        <v>2251</v>
      </c>
      <c r="O722" t="s">
        <v>1094</v>
      </c>
      <c r="P722" t="s">
        <v>991</v>
      </c>
      <c r="Q722" t="s">
        <v>1696</v>
      </c>
      <c r="R722" t="s">
        <v>1131</v>
      </c>
      <c r="S722" t="s">
        <v>1119</v>
      </c>
      <c r="T722" t="s">
        <v>1094</v>
      </c>
      <c r="U722" t="s">
        <v>1131</v>
      </c>
      <c r="V722" t="s">
        <v>1119</v>
      </c>
      <c r="W722" t="s">
        <v>1065</v>
      </c>
      <c r="X722" t="s">
        <v>1065</v>
      </c>
      <c r="Y722" t="s">
        <v>1119</v>
      </c>
      <c r="Z722" t="s">
        <v>1119</v>
      </c>
      <c r="AA722" t="s">
        <v>1119</v>
      </c>
      <c r="AB722" t="s">
        <v>1119</v>
      </c>
      <c r="AC722" t="s">
        <v>1119</v>
      </c>
      <c r="AD722" t="s">
        <v>918</v>
      </c>
      <c r="AE722">
        <v>0.79999999999999993</v>
      </c>
      <c r="AF722">
        <v>0.86360000000000003</v>
      </c>
    </row>
    <row r="723" spans="1:32" x14ac:dyDescent="0.25">
      <c r="A723" s="191" t="s">
        <v>2822</v>
      </c>
      <c r="B723" s="191" t="s">
        <v>2823</v>
      </c>
      <c r="C723" s="191" t="s">
        <v>973</v>
      </c>
      <c r="D723" t="s">
        <v>95</v>
      </c>
      <c r="E723" t="s">
        <v>47</v>
      </c>
      <c r="F723" t="s">
        <v>1232</v>
      </c>
      <c r="G723" t="s">
        <v>1717</v>
      </c>
      <c r="H723" t="s">
        <v>1043</v>
      </c>
      <c r="I723" t="s">
        <v>991</v>
      </c>
      <c r="J723" t="s">
        <v>1064</v>
      </c>
      <c r="K723" t="s">
        <v>1679</v>
      </c>
      <c r="L723" t="s">
        <v>1119</v>
      </c>
      <c r="M723" t="s">
        <v>1065</v>
      </c>
      <c r="N723" t="s">
        <v>2251</v>
      </c>
      <c r="O723" t="s">
        <v>1094</v>
      </c>
      <c r="P723" t="s">
        <v>969</v>
      </c>
      <c r="Q723" t="s">
        <v>1713</v>
      </c>
      <c r="R723" t="s">
        <v>1729</v>
      </c>
      <c r="S723" t="s">
        <v>1600</v>
      </c>
      <c r="T723" t="s">
        <v>1119</v>
      </c>
      <c r="U723" t="s">
        <v>1646</v>
      </c>
      <c r="V723" t="s">
        <v>1094</v>
      </c>
      <c r="W723" t="s">
        <v>1094</v>
      </c>
      <c r="X723" t="s">
        <v>1065</v>
      </c>
      <c r="Y723" t="s">
        <v>991</v>
      </c>
      <c r="Z723" t="s">
        <v>1094</v>
      </c>
      <c r="AA723" t="s">
        <v>1119</v>
      </c>
      <c r="AB723" t="s">
        <v>1094</v>
      </c>
      <c r="AC723" t="s">
        <v>969</v>
      </c>
      <c r="AD723" t="s">
        <v>918</v>
      </c>
      <c r="AE723">
        <v>0.90000000000000013</v>
      </c>
      <c r="AF723">
        <v>0.95400000000000018</v>
      </c>
    </row>
    <row r="724" spans="1:32" x14ac:dyDescent="0.25">
      <c r="A724" s="191" t="s">
        <v>2824</v>
      </c>
      <c r="B724" s="191" t="s">
        <v>414</v>
      </c>
      <c r="C724" s="191" t="s">
        <v>1084</v>
      </c>
      <c r="D724" t="s">
        <v>129</v>
      </c>
      <c r="E724" t="s">
        <v>47</v>
      </c>
      <c r="F724" t="s">
        <v>1096</v>
      </c>
      <c r="G724" t="s">
        <v>1717</v>
      </c>
      <c r="H724" t="s">
        <v>924</v>
      </c>
      <c r="I724" t="s">
        <v>991</v>
      </c>
      <c r="J724" t="s">
        <v>923</v>
      </c>
      <c r="K724" t="s">
        <v>1297</v>
      </c>
      <c r="L724" t="s">
        <v>1600</v>
      </c>
      <c r="M724" t="s">
        <v>1119</v>
      </c>
      <c r="N724" t="s">
        <v>1646</v>
      </c>
      <c r="O724" t="s">
        <v>991</v>
      </c>
      <c r="P724" t="s">
        <v>918</v>
      </c>
      <c r="Q724" t="s">
        <v>1131</v>
      </c>
      <c r="R724" t="s">
        <v>1297</v>
      </c>
      <c r="S724" t="s">
        <v>1600</v>
      </c>
      <c r="T724" t="s">
        <v>1600</v>
      </c>
      <c r="U724" t="s">
        <v>927</v>
      </c>
      <c r="V724" t="s">
        <v>1119</v>
      </c>
      <c r="W724" t="s">
        <v>934</v>
      </c>
      <c r="X724" t="s">
        <v>1094</v>
      </c>
      <c r="Y724" t="s">
        <v>934</v>
      </c>
      <c r="Z724" t="s">
        <v>1119</v>
      </c>
      <c r="AA724" t="s">
        <v>1600</v>
      </c>
      <c r="AB724" t="s">
        <v>934</v>
      </c>
      <c r="AC724" t="s">
        <v>1094</v>
      </c>
      <c r="AD724" t="s">
        <v>918</v>
      </c>
      <c r="AE724">
        <v>0.8</v>
      </c>
      <c r="AF724" t="e">
        <v>#VALUE!</v>
      </c>
    </row>
    <row r="725" spans="1:32" x14ac:dyDescent="0.25">
      <c r="A725" s="191" t="s">
        <v>2825</v>
      </c>
      <c r="B725" s="191" t="s">
        <v>2826</v>
      </c>
      <c r="C725" s="191" t="s">
        <v>1084</v>
      </c>
      <c r="D725" t="s">
        <v>163</v>
      </c>
      <c r="E725" t="s">
        <v>63</v>
      </c>
      <c r="F725" t="s">
        <v>972</v>
      </c>
      <c r="G725" t="s">
        <v>1717</v>
      </c>
      <c r="H725" t="s">
        <v>1010</v>
      </c>
      <c r="I725" t="s">
        <v>1094</v>
      </c>
      <c r="J725" t="s">
        <v>968</v>
      </c>
      <c r="K725" t="s">
        <v>2486</v>
      </c>
      <c r="L725" t="s">
        <v>1600</v>
      </c>
      <c r="M725" t="s">
        <v>987</v>
      </c>
      <c r="N725" t="s">
        <v>1646</v>
      </c>
      <c r="O725" t="s">
        <v>1094</v>
      </c>
      <c r="P725" t="s">
        <v>923</v>
      </c>
      <c r="Q725" t="s">
        <v>2152</v>
      </c>
      <c r="R725" t="s">
        <v>2486</v>
      </c>
      <c r="S725" t="s">
        <v>1094</v>
      </c>
      <c r="T725" t="s">
        <v>1094</v>
      </c>
      <c r="U725" t="s">
        <v>2146</v>
      </c>
      <c r="V725" t="s">
        <v>1600</v>
      </c>
      <c r="W725" t="s">
        <v>923</v>
      </c>
      <c r="X725" t="s">
        <v>923</v>
      </c>
      <c r="Y725" t="s">
        <v>987</v>
      </c>
      <c r="Z725" t="s">
        <v>1065</v>
      </c>
      <c r="AA725" t="s">
        <v>1600</v>
      </c>
      <c r="AB725" t="s">
        <v>923</v>
      </c>
      <c r="AC725" t="s">
        <v>1094</v>
      </c>
      <c r="AD725" t="s">
        <v>987</v>
      </c>
      <c r="AE725">
        <v>0.89999999999999991</v>
      </c>
      <c r="AF725">
        <v>0.8</v>
      </c>
    </row>
    <row r="726" spans="1:32" x14ac:dyDescent="0.25">
      <c r="A726" s="191" t="s">
        <v>2827</v>
      </c>
      <c r="B726" s="191" t="s">
        <v>2828</v>
      </c>
      <c r="C726" s="191" t="s">
        <v>1015</v>
      </c>
      <c r="D726" t="s">
        <v>102</v>
      </c>
      <c r="E726" t="s">
        <v>63</v>
      </c>
      <c r="F726" t="s">
        <v>1096</v>
      </c>
      <c r="G726" t="s">
        <v>1717</v>
      </c>
      <c r="H726" t="s">
        <v>1160</v>
      </c>
      <c r="I726" t="s">
        <v>934</v>
      </c>
      <c r="J726" t="s">
        <v>1094</v>
      </c>
      <c r="K726" t="s">
        <v>1696</v>
      </c>
      <c r="L726" t="s">
        <v>934</v>
      </c>
      <c r="M726" t="s">
        <v>1094</v>
      </c>
      <c r="N726" t="s">
        <v>1696</v>
      </c>
      <c r="O726" t="s">
        <v>1600</v>
      </c>
      <c r="P726" t="s">
        <v>1600</v>
      </c>
      <c r="Q726" t="s">
        <v>927</v>
      </c>
      <c r="R726" t="s">
        <v>2146</v>
      </c>
      <c r="S726" t="s">
        <v>1119</v>
      </c>
      <c r="T726" t="s">
        <v>1008</v>
      </c>
      <c r="U726" t="s">
        <v>2388</v>
      </c>
      <c r="V726" t="s">
        <v>1119</v>
      </c>
      <c r="W726" t="s">
        <v>991</v>
      </c>
      <c r="X726" t="s">
        <v>969</v>
      </c>
      <c r="Y726" t="s">
        <v>969</v>
      </c>
      <c r="Z726" t="s">
        <v>1119</v>
      </c>
      <c r="AA726" t="s">
        <v>1600</v>
      </c>
      <c r="AB726" t="s">
        <v>1119</v>
      </c>
      <c r="AC726" t="s">
        <v>1094</v>
      </c>
      <c r="AD726" t="s">
        <v>987</v>
      </c>
      <c r="AE726">
        <v>0.70000000000000007</v>
      </c>
      <c r="AF726" t="e">
        <v>#VALUE!</v>
      </c>
    </row>
    <row r="727" spans="1:32" x14ac:dyDescent="0.25">
      <c r="A727" s="191" t="s">
        <v>2829</v>
      </c>
      <c r="B727" s="191" t="s">
        <v>2830</v>
      </c>
      <c r="C727" s="191" t="s">
        <v>1376</v>
      </c>
      <c r="D727" t="s">
        <v>102</v>
      </c>
      <c r="E727" t="s">
        <v>47</v>
      </c>
      <c r="F727" t="s">
        <v>1232</v>
      </c>
      <c r="G727" t="s">
        <v>901</v>
      </c>
      <c r="H727" t="s">
        <v>1063</v>
      </c>
      <c r="I727" t="s">
        <v>1094</v>
      </c>
      <c r="J727" t="s">
        <v>945</v>
      </c>
      <c r="K727" t="s">
        <v>2831</v>
      </c>
      <c r="L727" t="s">
        <v>934</v>
      </c>
      <c r="M727" t="s">
        <v>987</v>
      </c>
      <c r="N727" t="s">
        <v>2251</v>
      </c>
      <c r="O727" t="s">
        <v>934</v>
      </c>
      <c r="P727" t="s">
        <v>991</v>
      </c>
      <c r="Q727" t="s">
        <v>910</v>
      </c>
      <c r="R727" t="s">
        <v>1977</v>
      </c>
      <c r="S727" t="s">
        <v>1600</v>
      </c>
      <c r="T727" t="s">
        <v>1600</v>
      </c>
      <c r="U727" t="s">
        <v>927</v>
      </c>
      <c r="V727" t="s">
        <v>1119</v>
      </c>
      <c r="W727" t="s">
        <v>1065</v>
      </c>
      <c r="X727" t="s">
        <v>969</v>
      </c>
      <c r="Y727" t="s">
        <v>945</v>
      </c>
      <c r="Z727" t="s">
        <v>1119</v>
      </c>
      <c r="AA727" t="s">
        <v>1600</v>
      </c>
      <c r="AB727" t="s">
        <v>1065</v>
      </c>
      <c r="AC727" t="s">
        <v>969</v>
      </c>
      <c r="AD727" t="s">
        <v>987</v>
      </c>
      <c r="AE727">
        <v>0.8</v>
      </c>
      <c r="AF727" t="e">
        <v>#VALUE!</v>
      </c>
    </row>
    <row r="728" spans="1:32" x14ac:dyDescent="0.25">
      <c r="A728" s="191" t="s">
        <v>2832</v>
      </c>
      <c r="B728" s="191" t="s">
        <v>2833</v>
      </c>
      <c r="C728" s="191" t="s">
        <v>995</v>
      </c>
      <c r="D728" t="s">
        <v>70</v>
      </c>
      <c r="E728" t="s">
        <v>47</v>
      </c>
      <c r="F728" t="s">
        <v>1031</v>
      </c>
      <c r="G728" t="s">
        <v>1717</v>
      </c>
      <c r="H728" t="s">
        <v>1023</v>
      </c>
      <c r="I728" t="s">
        <v>991</v>
      </c>
      <c r="J728" t="s">
        <v>987</v>
      </c>
      <c r="K728" t="s">
        <v>1131</v>
      </c>
      <c r="L728" t="s">
        <v>1600</v>
      </c>
      <c r="M728" t="s">
        <v>934</v>
      </c>
      <c r="N728" t="s">
        <v>1646</v>
      </c>
      <c r="O728" t="s">
        <v>991</v>
      </c>
      <c r="P728" t="s">
        <v>969</v>
      </c>
      <c r="Q728" t="s">
        <v>1696</v>
      </c>
      <c r="R728" t="s">
        <v>1131</v>
      </c>
      <c r="S728" t="s">
        <v>1600</v>
      </c>
      <c r="T728" t="s">
        <v>1600</v>
      </c>
      <c r="U728" t="s">
        <v>927</v>
      </c>
      <c r="V728" t="s">
        <v>991</v>
      </c>
      <c r="W728" t="s">
        <v>1230</v>
      </c>
      <c r="X728" t="s">
        <v>968</v>
      </c>
      <c r="Y728" t="s">
        <v>969</v>
      </c>
      <c r="Z728" t="s">
        <v>969</v>
      </c>
      <c r="AA728" t="s">
        <v>1600</v>
      </c>
      <c r="AB728" t="s">
        <v>934</v>
      </c>
      <c r="AC728" t="s">
        <v>991</v>
      </c>
      <c r="AD728" t="s">
        <v>987</v>
      </c>
      <c r="AE728">
        <v>0.8</v>
      </c>
      <c r="AF728" t="e">
        <v>#VALUE!</v>
      </c>
    </row>
    <row r="729" spans="1:32" x14ac:dyDescent="0.25">
      <c r="A729" s="191" t="s">
        <v>2834</v>
      </c>
      <c r="B729" s="191" t="s">
        <v>2835</v>
      </c>
      <c r="C729" s="191" t="s">
        <v>1232</v>
      </c>
      <c r="D729" t="s">
        <v>163</v>
      </c>
      <c r="E729" t="s">
        <v>93</v>
      </c>
      <c r="F729" t="s">
        <v>1067</v>
      </c>
      <c r="G729" t="s">
        <v>1717</v>
      </c>
      <c r="H729" t="s">
        <v>1211</v>
      </c>
      <c r="I729" t="s">
        <v>1094</v>
      </c>
      <c r="J729" t="s">
        <v>1008</v>
      </c>
      <c r="K729" t="s">
        <v>1719</v>
      </c>
      <c r="L729" t="s">
        <v>1600</v>
      </c>
      <c r="M729" t="s">
        <v>1600</v>
      </c>
      <c r="N729" t="s">
        <v>927</v>
      </c>
      <c r="O729" t="s">
        <v>1094</v>
      </c>
      <c r="P729" t="s">
        <v>1008</v>
      </c>
      <c r="Q729" t="s">
        <v>1719</v>
      </c>
      <c r="R729" t="s">
        <v>1719</v>
      </c>
      <c r="S729" t="s">
        <v>1119</v>
      </c>
      <c r="T729" t="s">
        <v>1094</v>
      </c>
      <c r="U729" t="s">
        <v>1131</v>
      </c>
      <c r="V729" t="s">
        <v>969</v>
      </c>
      <c r="W729" t="s">
        <v>969</v>
      </c>
      <c r="X729" t="s">
        <v>1064</v>
      </c>
      <c r="Y729" t="s">
        <v>1094</v>
      </c>
      <c r="Z729" t="s">
        <v>1600</v>
      </c>
      <c r="AA729" t="s">
        <v>1119</v>
      </c>
      <c r="AB729" t="s">
        <v>1094</v>
      </c>
      <c r="AC729" t="s">
        <v>1008</v>
      </c>
      <c r="AD729" t="s">
        <v>1008</v>
      </c>
      <c r="AE729">
        <v>0.7</v>
      </c>
      <c r="AF729" t="e">
        <v>#VALUE!</v>
      </c>
    </row>
    <row r="730" spans="1:32" x14ac:dyDescent="0.25">
      <c r="A730" s="191" t="s">
        <v>2836</v>
      </c>
      <c r="B730" s="191" t="s">
        <v>2837</v>
      </c>
      <c r="C730" s="191" t="s">
        <v>1376</v>
      </c>
      <c r="D730" t="s">
        <v>170</v>
      </c>
      <c r="E730" t="s">
        <v>93</v>
      </c>
      <c r="F730" t="s">
        <v>1137</v>
      </c>
      <c r="G730" t="s">
        <v>1717</v>
      </c>
      <c r="H730" t="s">
        <v>946</v>
      </c>
      <c r="I730" t="s">
        <v>1094</v>
      </c>
      <c r="J730" t="s">
        <v>918</v>
      </c>
      <c r="K730" t="s">
        <v>1870</v>
      </c>
      <c r="L730" t="s">
        <v>1600</v>
      </c>
      <c r="M730" t="s">
        <v>1094</v>
      </c>
      <c r="N730" t="s">
        <v>1646</v>
      </c>
      <c r="O730" t="s">
        <v>1094</v>
      </c>
      <c r="P730" t="s">
        <v>1008</v>
      </c>
      <c r="Q730" t="s">
        <v>1131</v>
      </c>
      <c r="R730" t="s">
        <v>1870</v>
      </c>
      <c r="S730" t="s">
        <v>1600</v>
      </c>
      <c r="T730" t="s">
        <v>1119</v>
      </c>
      <c r="U730" t="s">
        <v>1646</v>
      </c>
      <c r="V730" t="s">
        <v>1600</v>
      </c>
      <c r="W730" t="s">
        <v>1065</v>
      </c>
      <c r="X730" t="s">
        <v>1065</v>
      </c>
      <c r="Y730" t="s">
        <v>1094</v>
      </c>
      <c r="Z730" t="s">
        <v>1600</v>
      </c>
      <c r="AA730" t="s">
        <v>934</v>
      </c>
      <c r="AB730" t="s">
        <v>1094</v>
      </c>
      <c r="AC730" t="s">
        <v>991</v>
      </c>
      <c r="AD730" t="s">
        <v>1008</v>
      </c>
      <c r="AE730">
        <v>0.6</v>
      </c>
      <c r="AF730">
        <v>0.60000000000000009</v>
      </c>
    </row>
    <row r="731" spans="1:32" x14ac:dyDescent="0.25">
      <c r="A731" s="191" t="s">
        <v>2838</v>
      </c>
      <c r="B731" s="191" t="s">
        <v>2839</v>
      </c>
      <c r="C731" s="191" t="s">
        <v>973</v>
      </c>
      <c r="D731" t="s">
        <v>105</v>
      </c>
      <c r="E731" t="s">
        <v>72</v>
      </c>
      <c r="F731" t="s">
        <v>1147</v>
      </c>
      <c r="G731" t="s">
        <v>1717</v>
      </c>
      <c r="H731" t="s">
        <v>1103</v>
      </c>
      <c r="I731" t="s">
        <v>934</v>
      </c>
      <c r="J731" t="s">
        <v>969</v>
      </c>
      <c r="K731" t="s">
        <v>2152</v>
      </c>
      <c r="L731" t="s">
        <v>1600</v>
      </c>
      <c r="M731" t="s">
        <v>934</v>
      </c>
      <c r="N731" t="s">
        <v>1646</v>
      </c>
      <c r="O731" t="s">
        <v>934</v>
      </c>
      <c r="P731" t="s">
        <v>1065</v>
      </c>
      <c r="Q731" t="s">
        <v>1666</v>
      </c>
      <c r="R731" t="s">
        <v>2152</v>
      </c>
      <c r="S731" t="s">
        <v>991</v>
      </c>
      <c r="T731" t="s">
        <v>987</v>
      </c>
      <c r="U731" t="s">
        <v>1131</v>
      </c>
      <c r="V731" t="s">
        <v>1065</v>
      </c>
      <c r="W731" t="s">
        <v>991</v>
      </c>
      <c r="X731" t="s">
        <v>918</v>
      </c>
      <c r="Y731" t="s">
        <v>934</v>
      </c>
      <c r="Z731" t="s">
        <v>934</v>
      </c>
      <c r="AA731" t="s">
        <v>934</v>
      </c>
      <c r="AB731" t="s">
        <v>1065</v>
      </c>
      <c r="AC731" t="s">
        <v>1008</v>
      </c>
      <c r="AD731" t="s">
        <v>1008</v>
      </c>
      <c r="AE731">
        <v>0.8</v>
      </c>
      <c r="AF731">
        <v>0.66639999999999999</v>
      </c>
    </row>
    <row r="732" spans="1:32" x14ac:dyDescent="0.25">
      <c r="A732" s="191" t="s">
        <v>2840</v>
      </c>
      <c r="B732" s="191" t="s">
        <v>2841</v>
      </c>
      <c r="C732" s="191" t="s">
        <v>973</v>
      </c>
      <c r="D732" t="s">
        <v>105</v>
      </c>
      <c r="E732" t="s">
        <v>63</v>
      </c>
      <c r="F732" t="s">
        <v>995</v>
      </c>
      <c r="G732" t="s">
        <v>1717</v>
      </c>
      <c r="H732" t="s">
        <v>1160</v>
      </c>
      <c r="I732" t="s">
        <v>934</v>
      </c>
      <c r="J732" t="s">
        <v>945</v>
      </c>
      <c r="K732" t="s">
        <v>2842</v>
      </c>
      <c r="L732" t="s">
        <v>1119</v>
      </c>
      <c r="M732" t="s">
        <v>1008</v>
      </c>
      <c r="N732" t="s">
        <v>2251</v>
      </c>
      <c r="O732" t="s">
        <v>1119</v>
      </c>
      <c r="P732" t="s">
        <v>1065</v>
      </c>
      <c r="Q732" t="s">
        <v>2485</v>
      </c>
      <c r="R732" t="s">
        <v>2152</v>
      </c>
      <c r="S732" t="s">
        <v>1119</v>
      </c>
      <c r="T732" t="s">
        <v>934</v>
      </c>
      <c r="U732" t="s">
        <v>1131</v>
      </c>
      <c r="V732" t="s">
        <v>934</v>
      </c>
      <c r="W732" t="s">
        <v>969</v>
      </c>
      <c r="X732" t="s">
        <v>987</v>
      </c>
      <c r="Y732" t="s">
        <v>934</v>
      </c>
      <c r="Z732" t="s">
        <v>1119</v>
      </c>
      <c r="AA732" t="s">
        <v>1094</v>
      </c>
      <c r="AB732" t="s">
        <v>1119</v>
      </c>
      <c r="AC732" t="s">
        <v>991</v>
      </c>
      <c r="AD732" t="s">
        <v>1008</v>
      </c>
      <c r="AE732">
        <v>0.6</v>
      </c>
      <c r="AF732">
        <v>0.70199999999999985</v>
      </c>
    </row>
    <row r="733" spans="1:32" x14ac:dyDescent="0.25">
      <c r="A733" s="191" t="s">
        <v>2843</v>
      </c>
      <c r="B733" s="191" t="s">
        <v>2844</v>
      </c>
      <c r="C733" s="191" t="s">
        <v>1245</v>
      </c>
      <c r="D733" t="s">
        <v>1279</v>
      </c>
      <c r="E733" t="s">
        <v>63</v>
      </c>
      <c r="F733" t="s">
        <v>1031</v>
      </c>
      <c r="G733" t="s">
        <v>1717</v>
      </c>
      <c r="H733" t="s">
        <v>956</v>
      </c>
      <c r="I733" t="s">
        <v>934</v>
      </c>
      <c r="J733" t="s">
        <v>1230</v>
      </c>
      <c r="K733" t="s">
        <v>2486</v>
      </c>
      <c r="L733" t="s">
        <v>1600</v>
      </c>
      <c r="M733" t="s">
        <v>969</v>
      </c>
      <c r="N733" t="s">
        <v>1646</v>
      </c>
      <c r="O733" t="s">
        <v>934</v>
      </c>
      <c r="P733" t="s">
        <v>987</v>
      </c>
      <c r="Q733" t="s">
        <v>2152</v>
      </c>
      <c r="R733" t="s">
        <v>2486</v>
      </c>
      <c r="S733" t="s">
        <v>934</v>
      </c>
      <c r="T733" t="s">
        <v>991</v>
      </c>
      <c r="U733" t="s">
        <v>1131</v>
      </c>
      <c r="V733" t="s">
        <v>1600</v>
      </c>
      <c r="W733" t="s">
        <v>991</v>
      </c>
      <c r="X733" t="s">
        <v>991</v>
      </c>
      <c r="Y733" t="s">
        <v>1600</v>
      </c>
      <c r="Z733" t="s">
        <v>1600</v>
      </c>
      <c r="AA733" t="s">
        <v>1600</v>
      </c>
      <c r="AB733" t="s">
        <v>1600</v>
      </c>
      <c r="AC733" t="s">
        <v>1600</v>
      </c>
      <c r="AD733" t="s">
        <v>969</v>
      </c>
      <c r="AE733">
        <v>0.60000000000000009</v>
      </c>
      <c r="AF733">
        <v>0.6</v>
      </c>
    </row>
    <row r="734" spans="1:32" x14ac:dyDescent="0.25">
      <c r="A734" s="191" t="s">
        <v>2845</v>
      </c>
      <c r="B734" s="191" t="s">
        <v>2846</v>
      </c>
      <c r="C734" s="191" t="s">
        <v>1032</v>
      </c>
      <c r="D734" t="s">
        <v>974</v>
      </c>
      <c r="E734" t="s">
        <v>63</v>
      </c>
      <c r="F734" t="s">
        <v>1083</v>
      </c>
      <c r="G734" t="s">
        <v>1717</v>
      </c>
      <c r="H734" t="s">
        <v>956</v>
      </c>
      <c r="I734" t="s">
        <v>1119</v>
      </c>
      <c r="J734" t="s">
        <v>923</v>
      </c>
      <c r="K734" t="s">
        <v>2480</v>
      </c>
      <c r="L734" t="s">
        <v>1600</v>
      </c>
      <c r="M734" t="s">
        <v>991</v>
      </c>
      <c r="N734" t="s">
        <v>1646</v>
      </c>
      <c r="O734" t="s">
        <v>1119</v>
      </c>
      <c r="P734" t="s">
        <v>969</v>
      </c>
      <c r="Q734" t="s">
        <v>2251</v>
      </c>
      <c r="R734" t="s">
        <v>2480</v>
      </c>
      <c r="S734" t="s">
        <v>1119</v>
      </c>
      <c r="T734" t="s">
        <v>1119</v>
      </c>
      <c r="U734" t="s">
        <v>2146</v>
      </c>
      <c r="V734" t="s">
        <v>1094</v>
      </c>
      <c r="W734" t="s">
        <v>1094</v>
      </c>
      <c r="X734" t="s">
        <v>1065</v>
      </c>
      <c r="Y734" t="s">
        <v>1094</v>
      </c>
      <c r="Z734" t="s">
        <v>1119</v>
      </c>
      <c r="AA734" t="s">
        <v>1600</v>
      </c>
      <c r="AB734" t="s">
        <v>1094</v>
      </c>
      <c r="AC734" t="s">
        <v>1065</v>
      </c>
      <c r="AD734" t="s">
        <v>991</v>
      </c>
      <c r="AE734">
        <v>0.30000000000000004</v>
      </c>
      <c r="AF734">
        <v>0.33999999999999997</v>
      </c>
    </row>
    <row r="735" spans="1:32" x14ac:dyDescent="0.25">
      <c r="A735" s="191" t="s">
        <v>2845</v>
      </c>
      <c r="B735" s="191" t="s">
        <v>2846</v>
      </c>
      <c r="C735" s="191" t="s">
        <v>1032</v>
      </c>
      <c r="D735" t="s">
        <v>170</v>
      </c>
      <c r="E735" t="s">
        <v>63</v>
      </c>
      <c r="F735" t="s">
        <v>1031</v>
      </c>
      <c r="G735" t="s">
        <v>1717</v>
      </c>
      <c r="H735" t="s">
        <v>1029</v>
      </c>
      <c r="I735" t="s">
        <v>934</v>
      </c>
      <c r="J735" t="s">
        <v>945</v>
      </c>
      <c r="K735" t="s">
        <v>2388</v>
      </c>
      <c r="L735" t="s">
        <v>1600</v>
      </c>
      <c r="M735" t="s">
        <v>969</v>
      </c>
      <c r="N735" t="s">
        <v>1646</v>
      </c>
      <c r="O735" t="s">
        <v>934</v>
      </c>
      <c r="P735" t="s">
        <v>969</v>
      </c>
      <c r="Q735" t="s">
        <v>1666</v>
      </c>
      <c r="R735" t="s">
        <v>2388</v>
      </c>
      <c r="S735" t="s">
        <v>934</v>
      </c>
      <c r="T735" t="s">
        <v>934</v>
      </c>
      <c r="U735" t="s">
        <v>2146</v>
      </c>
      <c r="V735" t="s">
        <v>1600</v>
      </c>
      <c r="W735" t="s">
        <v>1600</v>
      </c>
      <c r="X735" t="s">
        <v>1600</v>
      </c>
      <c r="Y735" t="s">
        <v>934</v>
      </c>
      <c r="Z735" t="s">
        <v>1600</v>
      </c>
      <c r="AA735" t="s">
        <v>1600</v>
      </c>
      <c r="AB735" t="s">
        <v>934</v>
      </c>
      <c r="AC735" t="s">
        <v>991</v>
      </c>
      <c r="AD735" t="s">
        <v>969</v>
      </c>
      <c r="AE735">
        <v>0.60000000000000009</v>
      </c>
      <c r="AF735">
        <v>0.59960000000000002</v>
      </c>
    </row>
    <row r="736" spans="1:32" x14ac:dyDescent="0.25">
      <c r="A736" s="191" t="s">
        <v>2845</v>
      </c>
      <c r="B736" s="191" t="s">
        <v>2846</v>
      </c>
      <c r="C736" s="191" t="s">
        <v>1032</v>
      </c>
      <c r="D736" t="s">
        <v>102</v>
      </c>
      <c r="E736" t="s">
        <v>63</v>
      </c>
      <c r="F736" t="s">
        <v>949</v>
      </c>
      <c r="G736" t="s">
        <v>1717</v>
      </c>
      <c r="H736" t="s">
        <v>1220</v>
      </c>
      <c r="I736" t="s">
        <v>1600</v>
      </c>
      <c r="J736" t="s">
        <v>1008</v>
      </c>
      <c r="K736" t="s">
        <v>1646</v>
      </c>
      <c r="L736" t="s">
        <v>1600</v>
      </c>
      <c r="M736" t="s">
        <v>1600</v>
      </c>
      <c r="N736" t="s">
        <v>927</v>
      </c>
      <c r="O736" t="s">
        <v>1600</v>
      </c>
      <c r="P736" t="s">
        <v>1008</v>
      </c>
      <c r="Q736" t="s">
        <v>1646</v>
      </c>
      <c r="R736" t="s">
        <v>1646</v>
      </c>
      <c r="S736" t="s">
        <v>1600</v>
      </c>
      <c r="T736" t="s">
        <v>1600</v>
      </c>
      <c r="U736" t="s">
        <v>927</v>
      </c>
      <c r="V736" t="s">
        <v>1008</v>
      </c>
      <c r="W736" t="s">
        <v>1008</v>
      </c>
      <c r="X736" t="s">
        <v>1195</v>
      </c>
      <c r="Y736" t="s">
        <v>1094</v>
      </c>
      <c r="Z736" t="s">
        <v>1094</v>
      </c>
      <c r="AA736" t="s">
        <v>1600</v>
      </c>
      <c r="AB736" t="s">
        <v>1094</v>
      </c>
      <c r="AC736" t="s">
        <v>1008</v>
      </c>
      <c r="AD736" t="s">
        <v>1600</v>
      </c>
      <c r="AE736">
        <v>0</v>
      </c>
      <c r="AF736" t="e">
        <v>#VALUE!</v>
      </c>
    </row>
    <row r="737" spans="1:32" x14ac:dyDescent="0.25">
      <c r="A737" s="191" t="s">
        <v>2847</v>
      </c>
      <c r="B737" s="191" t="s">
        <v>2848</v>
      </c>
      <c r="C737" s="191" t="s">
        <v>973</v>
      </c>
      <c r="D737" t="s">
        <v>48</v>
      </c>
      <c r="E737" t="s">
        <v>47</v>
      </c>
      <c r="F737" t="s">
        <v>1051</v>
      </c>
      <c r="G737" t="s">
        <v>1717</v>
      </c>
      <c r="H737" t="s">
        <v>979</v>
      </c>
      <c r="I737" t="s">
        <v>1600</v>
      </c>
      <c r="J737" t="s">
        <v>1094</v>
      </c>
      <c r="K737" t="s">
        <v>1646</v>
      </c>
      <c r="L737" t="s">
        <v>1600</v>
      </c>
      <c r="M737" t="s">
        <v>934</v>
      </c>
      <c r="N737" t="s">
        <v>1646</v>
      </c>
      <c r="O737" t="s">
        <v>1600</v>
      </c>
      <c r="P737" t="s">
        <v>934</v>
      </c>
      <c r="Q737" t="s">
        <v>1646</v>
      </c>
      <c r="R737" t="s">
        <v>1646</v>
      </c>
      <c r="S737" t="s">
        <v>1094</v>
      </c>
      <c r="T737" t="s">
        <v>1008</v>
      </c>
      <c r="U737" t="s">
        <v>1131</v>
      </c>
      <c r="V737" t="s">
        <v>934</v>
      </c>
      <c r="W737" t="s">
        <v>1094</v>
      </c>
      <c r="X737" t="s">
        <v>1065</v>
      </c>
      <c r="Y737" t="s">
        <v>934</v>
      </c>
      <c r="Z737" t="s">
        <v>1600</v>
      </c>
      <c r="AA737" t="s">
        <v>1600</v>
      </c>
      <c r="AB737" t="s">
        <v>934</v>
      </c>
      <c r="AC737" t="s">
        <v>1008</v>
      </c>
      <c r="AD737" t="s">
        <v>1094</v>
      </c>
      <c r="AE737">
        <v>0.3</v>
      </c>
      <c r="AF737">
        <v>0.35</v>
      </c>
    </row>
    <row r="738" spans="1:32" x14ac:dyDescent="0.25">
      <c r="A738" s="191" t="s">
        <v>2849</v>
      </c>
      <c r="B738" s="191" t="s">
        <v>2850</v>
      </c>
      <c r="C738" s="191" t="s">
        <v>995</v>
      </c>
      <c r="D738" t="s">
        <v>102</v>
      </c>
      <c r="E738" t="s">
        <v>56</v>
      </c>
      <c r="F738" t="s">
        <v>949</v>
      </c>
      <c r="G738" t="s">
        <v>1717</v>
      </c>
      <c r="H738" t="s">
        <v>1170</v>
      </c>
      <c r="I738" t="s">
        <v>1600</v>
      </c>
      <c r="J738" t="s">
        <v>1094</v>
      </c>
      <c r="K738" t="s">
        <v>1646</v>
      </c>
      <c r="L738" t="s">
        <v>1600</v>
      </c>
      <c r="M738" t="s">
        <v>1094</v>
      </c>
      <c r="N738" t="s">
        <v>1646</v>
      </c>
      <c r="O738" t="s">
        <v>1600</v>
      </c>
      <c r="P738" t="s">
        <v>1600</v>
      </c>
      <c r="Q738" t="s">
        <v>927</v>
      </c>
      <c r="R738" t="s">
        <v>1646</v>
      </c>
      <c r="S738" t="s">
        <v>1094</v>
      </c>
      <c r="T738" t="s">
        <v>1008</v>
      </c>
      <c r="U738" t="s">
        <v>1131</v>
      </c>
      <c r="V738" t="s">
        <v>1600</v>
      </c>
      <c r="W738" t="s">
        <v>1195</v>
      </c>
      <c r="X738" t="s">
        <v>1195</v>
      </c>
      <c r="Y738" t="s">
        <v>923</v>
      </c>
      <c r="Z738" t="s">
        <v>1600</v>
      </c>
      <c r="AA738" t="s">
        <v>1600</v>
      </c>
      <c r="AB738" t="s">
        <v>1195</v>
      </c>
      <c r="AC738" t="s">
        <v>1094</v>
      </c>
      <c r="AD738" t="s">
        <v>1094</v>
      </c>
      <c r="AE738">
        <v>0.3</v>
      </c>
      <c r="AF738" t="e">
        <v>#VALUE!</v>
      </c>
    </row>
    <row r="739" spans="1:32" x14ac:dyDescent="0.25">
      <c r="A739" s="191" t="s">
        <v>2851</v>
      </c>
      <c r="B739" s="191" t="s">
        <v>2852</v>
      </c>
      <c r="C739" s="191" t="s">
        <v>1293</v>
      </c>
      <c r="D739" t="s">
        <v>121</v>
      </c>
      <c r="E739" t="s">
        <v>63</v>
      </c>
      <c r="F739" t="s">
        <v>901</v>
      </c>
      <c r="G739" t="s">
        <v>1717</v>
      </c>
      <c r="H739" t="s">
        <v>1061</v>
      </c>
      <c r="I739" t="s">
        <v>1600</v>
      </c>
      <c r="J739" t="s">
        <v>956</v>
      </c>
      <c r="K739" t="s">
        <v>1646</v>
      </c>
      <c r="L739" t="s">
        <v>1600</v>
      </c>
      <c r="M739" t="s">
        <v>923</v>
      </c>
      <c r="N739" t="s">
        <v>1646</v>
      </c>
      <c r="O739" t="s">
        <v>1600</v>
      </c>
      <c r="P739" t="s">
        <v>923</v>
      </c>
      <c r="Q739" t="s">
        <v>1646</v>
      </c>
      <c r="R739" t="s">
        <v>1646</v>
      </c>
      <c r="S739" t="s">
        <v>1600</v>
      </c>
      <c r="T739" t="s">
        <v>1600</v>
      </c>
      <c r="U739" t="s">
        <v>927</v>
      </c>
      <c r="V739" t="s">
        <v>1600</v>
      </c>
      <c r="W739" t="s">
        <v>923</v>
      </c>
      <c r="X739" t="s">
        <v>923</v>
      </c>
      <c r="Y739" t="s">
        <v>923</v>
      </c>
      <c r="Z739" t="s">
        <v>1600</v>
      </c>
      <c r="AA739" t="s">
        <v>1600</v>
      </c>
      <c r="AB739" t="s">
        <v>1600</v>
      </c>
      <c r="AC739" t="s">
        <v>1600</v>
      </c>
      <c r="AD739" t="s">
        <v>1600</v>
      </c>
      <c r="AE739">
        <v>0</v>
      </c>
      <c r="AF739" t="e">
        <v>#VALUE!</v>
      </c>
    </row>
    <row r="740" spans="1:32" x14ac:dyDescent="0.25">
      <c r="A740" s="191" t="s">
        <v>2853</v>
      </c>
      <c r="B740" s="191" t="s">
        <v>2854</v>
      </c>
      <c r="C740" s="191" t="s">
        <v>1084</v>
      </c>
      <c r="D740" t="s">
        <v>102</v>
      </c>
      <c r="E740" t="s">
        <v>72</v>
      </c>
      <c r="F740" t="s">
        <v>928</v>
      </c>
      <c r="G740" t="s">
        <v>1717</v>
      </c>
      <c r="H740" t="s">
        <v>993</v>
      </c>
      <c r="I740" t="s">
        <v>1600</v>
      </c>
      <c r="J740" t="s">
        <v>1600</v>
      </c>
      <c r="K740" t="s">
        <v>927</v>
      </c>
      <c r="L740" t="s">
        <v>1600</v>
      </c>
      <c r="M740" t="s">
        <v>1600</v>
      </c>
      <c r="N740" t="s">
        <v>927</v>
      </c>
      <c r="O740" t="s">
        <v>1600</v>
      </c>
      <c r="P740" t="s">
        <v>1600</v>
      </c>
      <c r="Q740" t="s">
        <v>927</v>
      </c>
      <c r="R740" t="s">
        <v>927</v>
      </c>
      <c r="S740" t="s">
        <v>1600</v>
      </c>
      <c r="T740" t="s">
        <v>1600</v>
      </c>
      <c r="U740" t="s">
        <v>927</v>
      </c>
      <c r="V740" t="s">
        <v>1600</v>
      </c>
      <c r="W740" t="s">
        <v>1600</v>
      </c>
      <c r="X740" t="s">
        <v>1600</v>
      </c>
      <c r="Y740" t="s">
        <v>1065</v>
      </c>
      <c r="Z740" t="s">
        <v>1600</v>
      </c>
      <c r="AA740" t="s">
        <v>1600</v>
      </c>
      <c r="AB740" t="s">
        <v>1600</v>
      </c>
      <c r="AC740" t="s">
        <v>923</v>
      </c>
      <c r="AD740" t="s">
        <v>1600</v>
      </c>
      <c r="AE740">
        <v>0</v>
      </c>
      <c r="AF740" t="e">
        <v>#VALUE!</v>
      </c>
    </row>
    <row r="741" spans="1:32" x14ac:dyDescent="0.25">
      <c r="A741" s="191" t="s">
        <v>2855</v>
      </c>
      <c r="B741" s="191" t="s">
        <v>2856</v>
      </c>
      <c r="C741" s="191" t="s">
        <v>902</v>
      </c>
      <c r="D741" t="s">
        <v>142</v>
      </c>
      <c r="E741" t="s">
        <v>63</v>
      </c>
      <c r="F741" t="s">
        <v>928</v>
      </c>
      <c r="G741" t="s">
        <v>1717</v>
      </c>
      <c r="H741" t="s">
        <v>920</v>
      </c>
      <c r="I741" t="s">
        <v>1600</v>
      </c>
      <c r="J741" t="s">
        <v>923</v>
      </c>
      <c r="K741" t="s">
        <v>1646</v>
      </c>
      <c r="L741" t="s">
        <v>1600</v>
      </c>
      <c r="M741" t="s">
        <v>1065</v>
      </c>
      <c r="N741" t="s">
        <v>1646</v>
      </c>
      <c r="O741" t="s">
        <v>1600</v>
      </c>
      <c r="P741" t="s">
        <v>1065</v>
      </c>
      <c r="Q741" t="s">
        <v>1646</v>
      </c>
      <c r="R741" t="s">
        <v>1646</v>
      </c>
      <c r="S741" t="s">
        <v>1600</v>
      </c>
      <c r="T741" t="s">
        <v>1600</v>
      </c>
      <c r="U741" t="s">
        <v>927</v>
      </c>
      <c r="V741" t="s">
        <v>1600</v>
      </c>
      <c r="W741" t="s">
        <v>1065</v>
      </c>
      <c r="X741" t="s">
        <v>1065</v>
      </c>
      <c r="Y741" t="s">
        <v>1310</v>
      </c>
      <c r="Z741" t="s">
        <v>1600</v>
      </c>
      <c r="AA741" t="s">
        <v>1600</v>
      </c>
      <c r="AB741" t="s">
        <v>1600</v>
      </c>
      <c r="AC741" t="s">
        <v>923</v>
      </c>
      <c r="AD741" t="s">
        <v>1600</v>
      </c>
      <c r="AE741">
        <v>0</v>
      </c>
      <c r="AF741" t="e">
        <v>#VALUE!</v>
      </c>
    </row>
    <row r="742" spans="1:32" x14ac:dyDescent="0.25">
      <c r="A742" s="191" t="s">
        <v>2857</v>
      </c>
      <c r="B742" s="191" t="s">
        <v>2858</v>
      </c>
      <c r="C742" s="191" t="s">
        <v>1293</v>
      </c>
      <c r="D742" t="s">
        <v>77</v>
      </c>
      <c r="E742" t="s">
        <v>47</v>
      </c>
      <c r="F742" t="s">
        <v>972</v>
      </c>
      <c r="G742" t="s">
        <v>1717</v>
      </c>
      <c r="H742" t="s">
        <v>968</v>
      </c>
      <c r="I742" t="s">
        <v>1600</v>
      </c>
      <c r="J742" t="s">
        <v>1600</v>
      </c>
      <c r="K742" t="s">
        <v>927</v>
      </c>
      <c r="L742" t="s">
        <v>1600</v>
      </c>
      <c r="M742" t="s">
        <v>1600</v>
      </c>
      <c r="N742" t="s">
        <v>927</v>
      </c>
      <c r="O742" t="s">
        <v>1600</v>
      </c>
      <c r="P742" t="s">
        <v>1600</v>
      </c>
      <c r="Q742" t="s">
        <v>927</v>
      </c>
      <c r="R742" t="s">
        <v>927</v>
      </c>
      <c r="S742" t="s">
        <v>1600</v>
      </c>
      <c r="T742" t="s">
        <v>1600</v>
      </c>
      <c r="U742" t="s">
        <v>927</v>
      </c>
      <c r="V742" t="s">
        <v>1600</v>
      </c>
      <c r="W742" t="s">
        <v>1600</v>
      </c>
      <c r="X742" t="s">
        <v>1600</v>
      </c>
      <c r="Y742" t="s">
        <v>1094</v>
      </c>
      <c r="Z742" t="s">
        <v>1094</v>
      </c>
      <c r="AA742" t="s">
        <v>1600</v>
      </c>
      <c r="AB742" t="s">
        <v>1600</v>
      </c>
      <c r="AC742" t="s">
        <v>1600</v>
      </c>
      <c r="AD742" t="s">
        <v>1600</v>
      </c>
      <c r="AE742">
        <v>0</v>
      </c>
      <c r="AF742" t="e">
        <v>#VALUE!</v>
      </c>
    </row>
    <row r="743" spans="1:32" x14ac:dyDescent="0.25">
      <c r="A743" s="191" t="s">
        <v>2859</v>
      </c>
      <c r="B743" s="191" t="s">
        <v>2860</v>
      </c>
      <c r="C743" s="191" t="s">
        <v>1084</v>
      </c>
      <c r="D743" t="s">
        <v>70</v>
      </c>
      <c r="E743" t="s">
        <v>47</v>
      </c>
      <c r="F743" t="s">
        <v>901</v>
      </c>
      <c r="G743" t="s">
        <v>1717</v>
      </c>
      <c r="H743" t="s">
        <v>1023</v>
      </c>
      <c r="I743" t="s">
        <v>1600</v>
      </c>
      <c r="J743" t="s">
        <v>923</v>
      </c>
      <c r="K743" t="s">
        <v>1646</v>
      </c>
      <c r="L743" t="s">
        <v>1600</v>
      </c>
      <c r="M743" t="s">
        <v>923</v>
      </c>
      <c r="N743" t="s">
        <v>1646</v>
      </c>
      <c r="O743" t="s">
        <v>1600</v>
      </c>
      <c r="P743" t="s">
        <v>1600</v>
      </c>
      <c r="Q743" t="s">
        <v>927</v>
      </c>
      <c r="R743" t="s">
        <v>1646</v>
      </c>
      <c r="S743" t="s">
        <v>1600</v>
      </c>
      <c r="T743" t="s">
        <v>1600</v>
      </c>
      <c r="U743" t="s">
        <v>927</v>
      </c>
      <c r="V743" t="s">
        <v>1600</v>
      </c>
      <c r="W743" t="s">
        <v>956</v>
      </c>
      <c r="X743" t="s">
        <v>956</v>
      </c>
      <c r="Y743" t="s">
        <v>1600</v>
      </c>
      <c r="Z743" t="s">
        <v>1600</v>
      </c>
      <c r="AA743" t="s">
        <v>1600</v>
      </c>
      <c r="AB743" t="s">
        <v>1600</v>
      </c>
      <c r="AC743" t="s">
        <v>1600</v>
      </c>
      <c r="AD743" t="s">
        <v>1600</v>
      </c>
      <c r="AE743">
        <v>0</v>
      </c>
      <c r="AF743" t="e">
        <v>#VALUE!</v>
      </c>
    </row>
    <row r="744" spans="1:32" x14ac:dyDescent="0.25">
      <c r="A744" s="191" t="s">
        <v>2861</v>
      </c>
      <c r="B744" s="191" t="s">
        <v>2862</v>
      </c>
      <c r="C744" s="191" t="s">
        <v>950</v>
      </c>
      <c r="D744" t="s">
        <v>170</v>
      </c>
      <c r="E744" t="s">
        <v>72</v>
      </c>
      <c r="F744" t="s">
        <v>901</v>
      </c>
      <c r="G744" t="s">
        <v>1717</v>
      </c>
      <c r="H744" t="s">
        <v>1135</v>
      </c>
      <c r="I744" t="s">
        <v>1600</v>
      </c>
      <c r="J744" t="s">
        <v>1600</v>
      </c>
      <c r="K744" t="s">
        <v>927</v>
      </c>
      <c r="L744" t="s">
        <v>1600</v>
      </c>
      <c r="M744" t="s">
        <v>1600</v>
      </c>
      <c r="N744" t="s">
        <v>927</v>
      </c>
      <c r="O744" t="s">
        <v>1600</v>
      </c>
      <c r="P744" t="s">
        <v>1600</v>
      </c>
      <c r="Q744" t="s">
        <v>927</v>
      </c>
      <c r="R744" t="s">
        <v>927</v>
      </c>
      <c r="S744" t="s">
        <v>1600</v>
      </c>
      <c r="T744" t="s">
        <v>1600</v>
      </c>
      <c r="U744" t="s">
        <v>927</v>
      </c>
      <c r="V744" t="s">
        <v>1600</v>
      </c>
      <c r="W744" t="s">
        <v>923</v>
      </c>
      <c r="X744" t="s">
        <v>923</v>
      </c>
      <c r="Y744" t="s">
        <v>923</v>
      </c>
      <c r="Z744" t="s">
        <v>1600</v>
      </c>
      <c r="AA744" t="s">
        <v>1600</v>
      </c>
      <c r="AB744" t="s">
        <v>1600</v>
      </c>
      <c r="AC744" t="s">
        <v>1600</v>
      </c>
      <c r="AD744" t="s">
        <v>1600</v>
      </c>
      <c r="AE744">
        <v>0</v>
      </c>
      <c r="AF744" t="e">
        <v>#VALUE!</v>
      </c>
    </row>
    <row r="745" spans="1:32" x14ac:dyDescent="0.25">
      <c r="A745" s="191" t="s">
        <v>2863</v>
      </c>
      <c r="B745" s="191" t="s">
        <v>2864</v>
      </c>
      <c r="C745" s="191" t="s">
        <v>1032</v>
      </c>
      <c r="D745" t="s">
        <v>156</v>
      </c>
      <c r="E745" t="s">
        <v>63</v>
      </c>
      <c r="F745" t="s">
        <v>949</v>
      </c>
      <c r="G745" t="s">
        <v>1717</v>
      </c>
      <c r="H745" t="s">
        <v>923</v>
      </c>
      <c r="I745" t="s">
        <v>1600</v>
      </c>
      <c r="J745" t="s">
        <v>1094</v>
      </c>
      <c r="K745" t="s">
        <v>1646</v>
      </c>
      <c r="L745" t="s">
        <v>1600</v>
      </c>
      <c r="M745" t="s">
        <v>1600</v>
      </c>
      <c r="N745" t="s">
        <v>927</v>
      </c>
      <c r="O745" t="s">
        <v>1600</v>
      </c>
      <c r="P745" t="s">
        <v>1094</v>
      </c>
      <c r="Q745" t="s">
        <v>1646</v>
      </c>
      <c r="R745" t="s">
        <v>1646</v>
      </c>
      <c r="S745" t="s">
        <v>1600</v>
      </c>
      <c r="T745" t="s">
        <v>1600</v>
      </c>
      <c r="U745" t="s">
        <v>927</v>
      </c>
      <c r="V745" t="s">
        <v>1600</v>
      </c>
      <c r="W745" t="s">
        <v>1600</v>
      </c>
      <c r="X745" t="s">
        <v>1600</v>
      </c>
      <c r="Y745" t="s">
        <v>1600</v>
      </c>
      <c r="Z745" t="s">
        <v>1600</v>
      </c>
      <c r="AA745" t="s">
        <v>1600</v>
      </c>
      <c r="AB745" t="s">
        <v>1600</v>
      </c>
      <c r="AC745" t="s">
        <v>1600</v>
      </c>
      <c r="AD745" t="s">
        <v>1600</v>
      </c>
      <c r="AE745">
        <v>0</v>
      </c>
      <c r="AF745" t="e">
        <v>#VALUE!</v>
      </c>
    </row>
    <row r="746" spans="1:32" x14ac:dyDescent="0.25">
      <c r="A746" s="191" t="s">
        <v>2865</v>
      </c>
      <c r="B746" s="191" t="s">
        <v>2866</v>
      </c>
      <c r="C746" s="191" t="s">
        <v>1084</v>
      </c>
      <c r="D746" t="s">
        <v>133</v>
      </c>
      <c r="E746" t="s">
        <v>56</v>
      </c>
      <c r="F746" t="s">
        <v>949</v>
      </c>
      <c r="G746" t="s">
        <v>1717</v>
      </c>
      <c r="H746" t="s">
        <v>956</v>
      </c>
      <c r="I746" t="s">
        <v>1600</v>
      </c>
      <c r="J746" t="s">
        <v>1008</v>
      </c>
      <c r="K746" t="s">
        <v>1646</v>
      </c>
      <c r="L746" t="s">
        <v>1600</v>
      </c>
      <c r="M746" t="s">
        <v>1094</v>
      </c>
      <c r="N746" t="s">
        <v>1646</v>
      </c>
      <c r="O746" t="s">
        <v>1600</v>
      </c>
      <c r="P746" t="s">
        <v>1094</v>
      </c>
      <c r="Q746" t="s">
        <v>1646</v>
      </c>
      <c r="R746" t="s">
        <v>1646</v>
      </c>
      <c r="S746" t="s">
        <v>1600</v>
      </c>
      <c r="T746" t="s">
        <v>1600</v>
      </c>
      <c r="U746" t="s">
        <v>927</v>
      </c>
      <c r="V746" t="s">
        <v>1600</v>
      </c>
      <c r="W746" t="s">
        <v>1008</v>
      </c>
      <c r="X746" t="s">
        <v>1008</v>
      </c>
      <c r="Y746" t="s">
        <v>1600</v>
      </c>
      <c r="Z746" t="s">
        <v>1094</v>
      </c>
      <c r="AA746" t="s">
        <v>1600</v>
      </c>
      <c r="AB746" t="s">
        <v>1600</v>
      </c>
      <c r="AC746" t="s">
        <v>1600</v>
      </c>
      <c r="AD746" t="s">
        <v>1600</v>
      </c>
      <c r="AE746">
        <v>0</v>
      </c>
      <c r="AF746" t="e">
        <v>#VALUE!</v>
      </c>
    </row>
    <row r="747" spans="1:32" x14ac:dyDescent="0.25">
      <c r="A747" s="191" t="s">
        <v>2867</v>
      </c>
      <c r="B747" s="191" t="s">
        <v>2868</v>
      </c>
      <c r="C747" s="191" t="s">
        <v>973</v>
      </c>
      <c r="D747" t="s">
        <v>121</v>
      </c>
      <c r="E747" t="s">
        <v>93</v>
      </c>
      <c r="F747" t="s">
        <v>949</v>
      </c>
      <c r="G747" t="s">
        <v>1717</v>
      </c>
      <c r="H747" t="s">
        <v>956</v>
      </c>
      <c r="I747" t="s">
        <v>1600</v>
      </c>
      <c r="J747" t="s">
        <v>1094</v>
      </c>
      <c r="K747" t="s">
        <v>1646</v>
      </c>
      <c r="L747" t="s">
        <v>1600</v>
      </c>
      <c r="M747" t="s">
        <v>1600</v>
      </c>
      <c r="N747" t="s">
        <v>927</v>
      </c>
      <c r="O747" t="s">
        <v>1600</v>
      </c>
      <c r="P747" t="s">
        <v>1094</v>
      </c>
      <c r="Q747" t="s">
        <v>1646</v>
      </c>
      <c r="R747" t="s">
        <v>1646</v>
      </c>
      <c r="S747" t="s">
        <v>1600</v>
      </c>
      <c r="T747" t="s">
        <v>1600</v>
      </c>
      <c r="U747" t="s">
        <v>927</v>
      </c>
      <c r="V747" t="s">
        <v>1094</v>
      </c>
      <c r="W747" t="s">
        <v>1600</v>
      </c>
      <c r="X747" t="s">
        <v>1094</v>
      </c>
      <c r="Y747" t="s">
        <v>1008</v>
      </c>
      <c r="Z747" t="s">
        <v>1600</v>
      </c>
      <c r="AA747" t="s">
        <v>1600</v>
      </c>
      <c r="AB747" t="s">
        <v>1600</v>
      </c>
      <c r="AC747" t="s">
        <v>1600</v>
      </c>
      <c r="AD747" t="s">
        <v>1600</v>
      </c>
      <c r="AE747">
        <v>0</v>
      </c>
      <c r="AF747" t="e">
        <v>#VALUE!</v>
      </c>
    </row>
    <row r="748" spans="1:32" x14ac:dyDescent="0.25">
      <c r="A748" s="191"/>
      <c r="B748" s="191"/>
      <c r="C748" s="191"/>
    </row>
    <row r="749" spans="1:32" x14ac:dyDescent="0.25">
      <c r="A749" s="191"/>
      <c r="B749" s="191"/>
      <c r="C749" s="191"/>
    </row>
    <row r="750" spans="1:32" x14ac:dyDescent="0.25">
      <c r="A750" s="191"/>
      <c r="B750" s="191"/>
      <c r="C750" s="191"/>
    </row>
    <row r="751" spans="1:32" x14ac:dyDescent="0.25">
      <c r="A751" s="191"/>
      <c r="B751" s="191"/>
      <c r="C751" s="191"/>
    </row>
    <row r="752" spans="1:32" x14ac:dyDescent="0.25">
      <c r="A752" s="191"/>
      <c r="B752" s="191"/>
      <c r="C752" s="191"/>
    </row>
    <row r="753" spans="1:3" x14ac:dyDescent="0.25">
      <c r="A753" s="191"/>
      <c r="B753" s="191"/>
      <c r="C753" s="191"/>
    </row>
    <row r="754" spans="1:3" x14ac:dyDescent="0.25">
      <c r="A754" s="191"/>
      <c r="B754" s="191"/>
      <c r="C754" s="191"/>
    </row>
    <row r="755" spans="1:3" x14ac:dyDescent="0.25">
      <c r="A755" s="191"/>
      <c r="B755" s="191"/>
      <c r="C755" s="191"/>
    </row>
    <row r="756" spans="1:3" x14ac:dyDescent="0.25">
      <c r="A756" s="191"/>
      <c r="B756" s="191"/>
      <c r="C756" s="191"/>
    </row>
    <row r="757" spans="1:3" x14ac:dyDescent="0.25">
      <c r="A757" s="191"/>
      <c r="B757" s="191"/>
      <c r="C757" s="191"/>
    </row>
    <row r="758" spans="1:3" x14ac:dyDescent="0.25">
      <c r="A758" s="191"/>
      <c r="B758" s="191"/>
      <c r="C758" s="191"/>
    </row>
    <row r="759" spans="1:3" x14ac:dyDescent="0.25">
      <c r="A759" s="191"/>
      <c r="B759" s="191"/>
      <c r="C759" s="191"/>
    </row>
    <row r="760" spans="1:3" x14ac:dyDescent="0.25">
      <c r="A760" s="191"/>
      <c r="B760" s="191"/>
      <c r="C760" s="191"/>
    </row>
    <row r="761" spans="1:3" x14ac:dyDescent="0.25">
      <c r="A761" s="191"/>
      <c r="B761" s="191"/>
      <c r="C761" s="191"/>
    </row>
    <row r="762" spans="1:3" x14ac:dyDescent="0.25">
      <c r="A762" s="191"/>
      <c r="B762" s="191"/>
      <c r="C762" s="191"/>
    </row>
    <row r="763" spans="1:3" x14ac:dyDescent="0.25">
      <c r="A763" s="191"/>
      <c r="B763" s="191"/>
      <c r="C763" s="191"/>
    </row>
    <row r="764" spans="1:3" x14ac:dyDescent="0.25">
      <c r="A764" s="191"/>
      <c r="B764" s="191"/>
      <c r="C764" s="191"/>
    </row>
    <row r="765" spans="1:3" x14ac:dyDescent="0.25">
      <c r="A765" s="191"/>
      <c r="B765" s="191"/>
      <c r="C765" s="191"/>
    </row>
    <row r="766" spans="1:3" x14ac:dyDescent="0.25">
      <c r="A766" s="191"/>
      <c r="B766" s="191"/>
      <c r="C766" s="191"/>
    </row>
    <row r="767" spans="1:3" x14ac:dyDescent="0.25">
      <c r="A767" s="191"/>
      <c r="B767" s="191"/>
      <c r="C767" s="191"/>
    </row>
    <row r="768" spans="1:3" x14ac:dyDescent="0.25">
      <c r="A768" s="191"/>
      <c r="B768" s="191"/>
      <c r="C768" s="191"/>
    </row>
    <row r="769" spans="1:3" x14ac:dyDescent="0.25">
      <c r="A769" s="191"/>
      <c r="B769" s="191"/>
      <c r="C769" s="191"/>
    </row>
    <row r="770" spans="1:3" x14ac:dyDescent="0.25">
      <c r="A770" s="191"/>
      <c r="B770" s="191"/>
      <c r="C770" s="191"/>
    </row>
    <row r="771" spans="1:3" x14ac:dyDescent="0.25">
      <c r="A771" s="191"/>
      <c r="B771" s="191"/>
      <c r="C771" s="191"/>
    </row>
    <row r="772" spans="1:3" x14ac:dyDescent="0.25">
      <c r="A772" s="191"/>
      <c r="B772" s="191"/>
      <c r="C772" s="191"/>
    </row>
    <row r="773" spans="1:3" x14ac:dyDescent="0.25">
      <c r="A773" s="191"/>
      <c r="B773" s="191"/>
      <c r="C773" s="191"/>
    </row>
    <row r="774" spans="1:3" x14ac:dyDescent="0.25">
      <c r="A774" s="191"/>
      <c r="B774" s="191"/>
      <c r="C774" s="191"/>
    </row>
    <row r="775" spans="1:3" x14ac:dyDescent="0.25">
      <c r="A775" s="191"/>
      <c r="B775" s="191"/>
      <c r="C775" s="191"/>
    </row>
    <row r="776" spans="1:3" x14ac:dyDescent="0.25">
      <c r="A776" s="191"/>
      <c r="B776" s="191"/>
      <c r="C776" s="191"/>
    </row>
    <row r="777" spans="1:3" x14ac:dyDescent="0.25">
      <c r="A777" s="191"/>
      <c r="B777" s="191"/>
      <c r="C777" s="191"/>
    </row>
    <row r="778" spans="1:3" x14ac:dyDescent="0.25">
      <c r="A778" s="191"/>
      <c r="B778" s="191"/>
      <c r="C778" s="191"/>
    </row>
    <row r="779" spans="1:3" x14ac:dyDescent="0.25">
      <c r="A779" s="191"/>
      <c r="B779" s="191"/>
      <c r="C779" s="191"/>
    </row>
    <row r="780" spans="1:3" x14ac:dyDescent="0.25">
      <c r="A780" s="191"/>
      <c r="B780" s="191"/>
      <c r="C780" s="191"/>
    </row>
    <row r="781" spans="1:3" x14ac:dyDescent="0.25">
      <c r="A781" s="191"/>
      <c r="B781" s="191"/>
      <c r="C781" s="191"/>
    </row>
    <row r="782" spans="1:3" x14ac:dyDescent="0.25">
      <c r="A782" s="191"/>
      <c r="B782" s="191"/>
      <c r="C782" s="191"/>
    </row>
    <row r="783" spans="1:3" x14ac:dyDescent="0.25">
      <c r="A783" s="191"/>
      <c r="B783" s="191"/>
      <c r="C783" s="191"/>
    </row>
    <row r="784" spans="1:3" x14ac:dyDescent="0.25">
      <c r="A784" s="191"/>
      <c r="B784" s="191"/>
      <c r="C784" s="191"/>
    </row>
    <row r="785" spans="1:3" x14ac:dyDescent="0.25">
      <c r="A785" s="191"/>
      <c r="B785" s="191"/>
      <c r="C785" s="191"/>
    </row>
    <row r="786" spans="1:3" x14ac:dyDescent="0.25">
      <c r="A786" s="191"/>
      <c r="B786" s="191"/>
      <c r="C786" s="191"/>
    </row>
    <row r="787" spans="1:3" x14ac:dyDescent="0.25">
      <c r="A787" s="191"/>
      <c r="B787" s="191"/>
      <c r="C787" s="191"/>
    </row>
    <row r="788" spans="1:3" x14ac:dyDescent="0.25">
      <c r="A788" s="191"/>
      <c r="B788" s="191"/>
      <c r="C788" s="191"/>
    </row>
    <row r="789" spans="1:3" x14ac:dyDescent="0.25">
      <c r="A789" s="191"/>
      <c r="B789" s="191"/>
      <c r="C789" s="191"/>
    </row>
    <row r="790" spans="1:3" x14ac:dyDescent="0.25">
      <c r="A790" s="191"/>
      <c r="B790" s="191"/>
      <c r="C790" s="191"/>
    </row>
    <row r="791" spans="1:3" x14ac:dyDescent="0.25">
      <c r="A791" s="191"/>
      <c r="B791" s="191"/>
      <c r="C791" s="191"/>
    </row>
    <row r="792" spans="1:3" x14ac:dyDescent="0.25">
      <c r="A792" s="191"/>
      <c r="B792" s="191"/>
      <c r="C792" s="191"/>
    </row>
    <row r="793" spans="1:3" x14ac:dyDescent="0.25">
      <c r="A793" s="191"/>
      <c r="B793" s="191"/>
      <c r="C793" s="191"/>
    </row>
    <row r="794" spans="1:3" x14ac:dyDescent="0.25">
      <c r="A794" s="191"/>
      <c r="B794" s="191"/>
      <c r="C794" s="191"/>
    </row>
    <row r="795" spans="1:3" x14ac:dyDescent="0.25">
      <c r="A795" s="191"/>
      <c r="B795" s="191"/>
      <c r="C795" s="191"/>
    </row>
    <row r="796" spans="1:3" x14ac:dyDescent="0.25">
      <c r="A796" s="191"/>
      <c r="B796" s="191"/>
      <c r="C796" s="191"/>
    </row>
    <row r="797" spans="1:3" x14ac:dyDescent="0.25">
      <c r="A797" s="191"/>
      <c r="B797" s="191"/>
      <c r="C797" s="191"/>
    </row>
    <row r="798" spans="1:3" x14ac:dyDescent="0.25">
      <c r="A798" s="191"/>
      <c r="B798" s="191"/>
      <c r="C798" s="191"/>
    </row>
    <row r="799" spans="1:3" x14ac:dyDescent="0.25">
      <c r="A799" s="191"/>
      <c r="B799" s="191"/>
      <c r="C799" s="191"/>
    </row>
    <row r="800" spans="1:3" x14ac:dyDescent="0.25">
      <c r="A800" s="191"/>
      <c r="B800" s="191"/>
      <c r="C800" s="191"/>
    </row>
    <row r="801" spans="1:3" x14ac:dyDescent="0.25">
      <c r="A801" s="191"/>
      <c r="B801" s="191"/>
      <c r="C801" s="191"/>
    </row>
    <row r="802" spans="1:3" x14ac:dyDescent="0.25">
      <c r="A802" s="191"/>
      <c r="B802" s="191"/>
      <c r="C802" s="191"/>
    </row>
    <row r="803" spans="1:3" x14ac:dyDescent="0.25">
      <c r="A803" s="191"/>
      <c r="B803" s="191"/>
      <c r="C803" s="191"/>
    </row>
    <row r="804" spans="1:3" x14ac:dyDescent="0.25">
      <c r="A804" s="191"/>
      <c r="B804" s="191"/>
      <c r="C804" s="191"/>
    </row>
    <row r="805" spans="1:3" x14ac:dyDescent="0.25">
      <c r="A805" s="191"/>
      <c r="B805" s="191"/>
      <c r="C805" s="191"/>
    </row>
    <row r="806" spans="1:3" x14ac:dyDescent="0.25">
      <c r="A806" s="191"/>
      <c r="B806" s="191"/>
      <c r="C806" s="191"/>
    </row>
    <row r="807" spans="1:3" x14ac:dyDescent="0.25">
      <c r="A807" s="191"/>
      <c r="B807" s="191"/>
      <c r="C807" s="191"/>
    </row>
    <row r="808" spans="1:3" x14ac:dyDescent="0.25">
      <c r="A808" s="191"/>
      <c r="B808" s="191"/>
      <c r="C808" s="191"/>
    </row>
    <row r="809" spans="1:3" x14ac:dyDescent="0.25">
      <c r="A809" s="191"/>
      <c r="B809" s="191"/>
      <c r="C809" s="191"/>
    </row>
    <row r="810" spans="1:3" x14ac:dyDescent="0.25">
      <c r="A810" s="191"/>
      <c r="B810" s="191"/>
      <c r="C810" s="191"/>
    </row>
    <row r="811" spans="1:3" x14ac:dyDescent="0.25">
      <c r="A811" s="191"/>
      <c r="B811" s="191"/>
      <c r="C811" s="191"/>
    </row>
    <row r="812" spans="1:3" x14ac:dyDescent="0.25">
      <c r="A812" s="191"/>
      <c r="B812" s="191"/>
      <c r="C812" s="191"/>
    </row>
    <row r="813" spans="1:3" x14ac:dyDescent="0.25">
      <c r="A813" s="191"/>
      <c r="B813" s="191"/>
      <c r="C813" s="191"/>
    </row>
    <row r="814" spans="1:3" x14ac:dyDescent="0.25">
      <c r="A814" s="191"/>
      <c r="B814" s="191"/>
      <c r="C814" s="191"/>
    </row>
    <row r="815" spans="1:3" x14ac:dyDescent="0.25">
      <c r="A815" s="191"/>
      <c r="B815" s="191"/>
      <c r="C815" s="191"/>
    </row>
    <row r="816" spans="1:3" x14ac:dyDescent="0.25">
      <c r="A816" s="191"/>
      <c r="B816" s="191"/>
      <c r="C816" s="191"/>
    </row>
    <row r="817" spans="1:3" x14ac:dyDescent="0.25">
      <c r="A817" s="191"/>
      <c r="B817" s="191"/>
      <c r="C817" s="8"/>
    </row>
    <row r="819" spans="1:3" x14ac:dyDescent="0.25">
      <c r="A819" s="191"/>
    </row>
    <row r="820" spans="1:3" x14ac:dyDescent="0.25">
      <c r="A820" s="191"/>
    </row>
    <row r="821" spans="1:3" x14ac:dyDescent="0.25">
      <c r="A821" s="191"/>
    </row>
    <row r="822" spans="1:3" x14ac:dyDescent="0.25">
      <c r="A822" s="191"/>
    </row>
    <row r="823" spans="1:3" x14ac:dyDescent="0.25">
      <c r="A823" s="191"/>
    </row>
    <row r="824" spans="1:3" x14ac:dyDescent="0.25">
      <c r="A824" s="191"/>
    </row>
    <row r="825" spans="1:3" x14ac:dyDescent="0.25">
      <c r="A825" s="191"/>
    </row>
    <row r="826" spans="1:3" x14ac:dyDescent="0.25">
      <c r="A826" s="191"/>
    </row>
    <row r="827" spans="1:3" x14ac:dyDescent="0.25">
      <c r="A827" s="191"/>
    </row>
    <row r="828" spans="1:3" x14ac:dyDescent="0.25">
      <c r="A828" s="191"/>
    </row>
    <row r="829" spans="1:3" x14ac:dyDescent="0.25">
      <c r="A829" s="191"/>
    </row>
    <row r="830" spans="1:3" x14ac:dyDescent="0.25">
      <c r="A830" s="191"/>
    </row>
    <row r="831" spans="1:3" x14ac:dyDescent="0.25">
      <c r="A831" s="191"/>
    </row>
    <row r="832" spans="1:3" x14ac:dyDescent="0.25">
      <c r="A832" s="191"/>
    </row>
    <row r="833" spans="1:1" x14ac:dyDescent="0.25">
      <c r="A833" s="191"/>
    </row>
    <row r="834" spans="1:1" x14ac:dyDescent="0.25">
      <c r="A834" s="191"/>
    </row>
    <row r="835" spans="1:1" x14ac:dyDescent="0.25">
      <c r="A835" s="191"/>
    </row>
    <row r="836" spans="1:1" x14ac:dyDescent="0.25">
      <c r="A836" s="191"/>
    </row>
    <row r="837" spans="1:1" x14ac:dyDescent="0.25">
      <c r="A837" s="191"/>
    </row>
    <row r="838" spans="1:1" x14ac:dyDescent="0.25">
      <c r="A838" s="191"/>
    </row>
    <row r="839" spans="1:1" x14ac:dyDescent="0.25">
      <c r="A839" s="191"/>
    </row>
    <row r="840" spans="1:1" x14ac:dyDescent="0.25">
      <c r="A840" s="191"/>
    </row>
    <row r="841" spans="1:1" x14ac:dyDescent="0.25">
      <c r="A841" s="191"/>
    </row>
    <row r="842" spans="1:1" x14ac:dyDescent="0.25">
      <c r="A842" s="191"/>
    </row>
    <row r="843" spans="1:1" x14ac:dyDescent="0.25">
      <c r="A843" s="191"/>
    </row>
    <row r="844" spans="1:1" x14ac:dyDescent="0.25">
      <c r="A844" s="191"/>
    </row>
    <row r="845" spans="1:1" x14ac:dyDescent="0.25">
      <c r="A845" s="191"/>
    </row>
    <row r="846" spans="1:1" x14ac:dyDescent="0.25">
      <c r="A846" s="194"/>
    </row>
    <row r="847" spans="1:1" x14ac:dyDescent="0.25">
      <c r="A847" s="191"/>
    </row>
    <row r="848" spans="1:1" x14ac:dyDescent="0.25">
      <c r="A848" s="191"/>
    </row>
    <row r="849" spans="1:1" x14ac:dyDescent="0.25">
      <c r="A849" s="191"/>
    </row>
    <row r="850" spans="1:1" x14ac:dyDescent="0.25">
      <c r="A850" s="191"/>
    </row>
    <row r="851" spans="1:1" x14ac:dyDescent="0.25">
      <c r="A851" s="191"/>
    </row>
    <row r="852" spans="1:1" x14ac:dyDescent="0.25">
      <c r="A852" s="191"/>
    </row>
    <row r="853" spans="1:1" x14ac:dyDescent="0.25">
      <c r="A853" s="191"/>
    </row>
    <row r="854" spans="1:1" x14ac:dyDescent="0.25">
      <c r="A854" s="191"/>
    </row>
    <row r="855" spans="1:1" x14ac:dyDescent="0.25">
      <c r="A855" s="191"/>
    </row>
    <row r="856" spans="1:1" x14ac:dyDescent="0.25">
      <c r="A856" s="191"/>
    </row>
    <row r="857" spans="1:1" x14ac:dyDescent="0.25">
      <c r="A857" s="191"/>
    </row>
    <row r="858" spans="1:1" x14ac:dyDescent="0.25">
      <c r="A858" s="191"/>
    </row>
    <row r="859" spans="1:1" x14ac:dyDescent="0.25">
      <c r="A859" s="191"/>
    </row>
    <row r="860" spans="1:1" x14ac:dyDescent="0.25">
      <c r="A860" s="191"/>
    </row>
    <row r="861" spans="1:1" x14ac:dyDescent="0.25">
      <c r="A861" s="191"/>
    </row>
    <row r="862" spans="1:1" x14ac:dyDescent="0.25">
      <c r="A862" s="191"/>
    </row>
    <row r="863" spans="1:1" x14ac:dyDescent="0.25">
      <c r="A863" s="191"/>
    </row>
    <row r="864" spans="1:1" x14ac:dyDescent="0.25">
      <c r="A864" s="191"/>
    </row>
    <row r="865" spans="1:1" x14ac:dyDescent="0.25">
      <c r="A865" s="191"/>
    </row>
    <row r="866" spans="1:1" x14ac:dyDescent="0.25">
      <c r="A866" s="194"/>
    </row>
    <row r="867" spans="1:1" x14ac:dyDescent="0.25">
      <c r="A867" s="191"/>
    </row>
    <row r="868" spans="1:1" x14ac:dyDescent="0.25">
      <c r="A868" s="191"/>
    </row>
    <row r="869" spans="1:1" x14ac:dyDescent="0.25">
      <c r="A869" s="191"/>
    </row>
    <row r="870" spans="1:1" x14ac:dyDescent="0.25">
      <c r="A870" s="191"/>
    </row>
    <row r="871" spans="1:1" x14ac:dyDescent="0.25">
      <c r="A871" s="191"/>
    </row>
    <row r="872" spans="1:1" x14ac:dyDescent="0.25">
      <c r="A872" s="191"/>
    </row>
    <row r="873" spans="1:1" x14ac:dyDescent="0.25">
      <c r="A873" s="191"/>
    </row>
    <row r="874" spans="1:1" x14ac:dyDescent="0.25">
      <c r="A874" s="191"/>
    </row>
    <row r="875" spans="1:1" x14ac:dyDescent="0.25">
      <c r="A875" s="191"/>
    </row>
    <row r="876" spans="1:1" x14ac:dyDescent="0.25">
      <c r="A876" s="194"/>
    </row>
    <row r="877" spans="1:1" x14ac:dyDescent="0.25">
      <c r="A877" s="191"/>
    </row>
    <row r="878" spans="1:1" x14ac:dyDescent="0.25">
      <c r="A878" s="191"/>
    </row>
    <row r="879" spans="1:1" x14ac:dyDescent="0.25">
      <c r="A879" s="191"/>
    </row>
    <row r="880" spans="1:1" x14ac:dyDescent="0.25">
      <c r="A880" s="191"/>
    </row>
    <row r="881" spans="1:1" x14ac:dyDescent="0.25">
      <c r="A881" s="194"/>
    </row>
    <row r="882" spans="1:1" x14ac:dyDescent="0.25">
      <c r="A882" s="191"/>
    </row>
    <row r="883" spans="1:1" x14ac:dyDescent="0.25">
      <c r="A883" s="191"/>
    </row>
    <row r="884" spans="1:1" x14ac:dyDescent="0.25">
      <c r="A884" s="191"/>
    </row>
    <row r="885" spans="1:1" x14ac:dyDescent="0.25">
      <c r="A885" s="191"/>
    </row>
    <row r="886" spans="1:1" x14ac:dyDescent="0.25">
      <c r="A886" s="191"/>
    </row>
    <row r="887" spans="1:1" x14ac:dyDescent="0.25">
      <c r="A887" s="191"/>
    </row>
    <row r="888" spans="1:1" x14ac:dyDescent="0.25">
      <c r="A888" s="191"/>
    </row>
    <row r="889" spans="1:1" x14ac:dyDescent="0.25">
      <c r="A889" s="191"/>
    </row>
    <row r="890" spans="1:1" x14ac:dyDescent="0.25">
      <c r="A890" s="191"/>
    </row>
    <row r="891" spans="1:1" x14ac:dyDescent="0.25">
      <c r="A891" s="191"/>
    </row>
    <row r="892" spans="1:1" x14ac:dyDescent="0.25">
      <c r="A892" s="191"/>
    </row>
    <row r="893" spans="1:1" x14ac:dyDescent="0.25">
      <c r="A893" s="191"/>
    </row>
    <row r="894" spans="1:1" x14ac:dyDescent="0.25">
      <c r="A894" s="191"/>
    </row>
    <row r="895" spans="1:1" x14ac:dyDescent="0.25">
      <c r="A895" s="191"/>
    </row>
    <row r="896" spans="1:1" x14ac:dyDescent="0.25">
      <c r="A896" s="191"/>
    </row>
    <row r="897" spans="1:1" x14ac:dyDescent="0.25">
      <c r="A897" s="194"/>
    </row>
    <row r="898" spans="1:1" x14ac:dyDescent="0.25">
      <c r="A898" s="191"/>
    </row>
    <row r="899" spans="1:1" x14ac:dyDescent="0.25">
      <c r="A899" s="191"/>
    </row>
    <row r="900" spans="1:1" x14ac:dyDescent="0.25">
      <c r="A900" s="191"/>
    </row>
    <row r="901" spans="1:1" x14ac:dyDescent="0.25">
      <c r="A901" s="191"/>
    </row>
    <row r="902" spans="1:1" x14ac:dyDescent="0.25">
      <c r="A902" s="191"/>
    </row>
    <row r="903" spans="1:1" x14ac:dyDescent="0.25">
      <c r="A903" s="191"/>
    </row>
    <row r="904" spans="1:1" x14ac:dyDescent="0.25">
      <c r="A904" s="191"/>
    </row>
    <row r="905" spans="1:1" x14ac:dyDescent="0.25">
      <c r="A905" s="191"/>
    </row>
    <row r="906" spans="1:1" x14ac:dyDescent="0.25">
      <c r="A906" s="191"/>
    </row>
    <row r="907" spans="1:1" x14ac:dyDescent="0.25">
      <c r="A907" s="191"/>
    </row>
    <row r="908" spans="1:1" x14ac:dyDescent="0.25">
      <c r="A908" s="191"/>
    </row>
    <row r="909" spans="1:1" x14ac:dyDescent="0.25">
      <c r="A909" s="191"/>
    </row>
    <row r="910" spans="1:1" x14ac:dyDescent="0.25">
      <c r="A910" s="191"/>
    </row>
    <row r="911" spans="1:1" x14ac:dyDescent="0.25">
      <c r="A911" s="191"/>
    </row>
    <row r="912" spans="1:1" x14ac:dyDescent="0.25">
      <c r="A912" s="191"/>
    </row>
    <row r="913" spans="1:1" x14ac:dyDescent="0.25">
      <c r="A913" s="194"/>
    </row>
    <row r="914" spans="1:1" x14ac:dyDescent="0.25">
      <c r="A914" s="191"/>
    </row>
    <row r="915" spans="1:1" x14ac:dyDescent="0.25">
      <c r="A915" s="191"/>
    </row>
    <row r="916" spans="1:1" x14ac:dyDescent="0.25">
      <c r="A916" s="191"/>
    </row>
    <row r="917" spans="1:1" x14ac:dyDescent="0.25">
      <c r="A917" s="191"/>
    </row>
    <row r="918" spans="1:1" x14ac:dyDescent="0.25">
      <c r="A918" s="194"/>
    </row>
    <row r="919" spans="1:1" x14ac:dyDescent="0.25">
      <c r="A919" s="191"/>
    </row>
    <row r="920" spans="1:1" x14ac:dyDescent="0.25">
      <c r="A920" s="191"/>
    </row>
    <row r="921" spans="1:1" x14ac:dyDescent="0.25">
      <c r="A921" s="191"/>
    </row>
    <row r="922" spans="1:1" x14ac:dyDescent="0.25">
      <c r="A922" s="191"/>
    </row>
    <row r="923" spans="1:1" x14ac:dyDescent="0.25">
      <c r="A923" s="191"/>
    </row>
    <row r="924" spans="1:1" x14ac:dyDescent="0.25">
      <c r="A924" s="191"/>
    </row>
    <row r="925" spans="1:1" x14ac:dyDescent="0.25">
      <c r="A925" s="191"/>
    </row>
    <row r="926" spans="1:1" x14ac:dyDescent="0.25">
      <c r="A926" s="191"/>
    </row>
    <row r="927" spans="1:1" x14ac:dyDescent="0.25">
      <c r="A927" s="191"/>
    </row>
    <row r="928" spans="1:1" x14ac:dyDescent="0.25">
      <c r="A928" s="194"/>
    </row>
    <row r="929" spans="1:1" x14ac:dyDescent="0.25">
      <c r="A929" s="191"/>
    </row>
    <row r="930" spans="1:1" x14ac:dyDescent="0.25">
      <c r="A930" s="191"/>
    </row>
    <row r="931" spans="1:1" x14ac:dyDescent="0.25">
      <c r="A931" s="191"/>
    </row>
    <row r="932" spans="1:1" x14ac:dyDescent="0.25">
      <c r="A932" s="191"/>
    </row>
    <row r="933" spans="1:1" x14ac:dyDescent="0.25">
      <c r="A933" s="194"/>
    </row>
    <row r="934" spans="1:1" x14ac:dyDescent="0.25">
      <c r="A934" s="191"/>
    </row>
    <row r="935" spans="1:1" x14ac:dyDescent="0.25">
      <c r="A935" s="191"/>
    </row>
    <row r="936" spans="1:1" x14ac:dyDescent="0.25">
      <c r="A936" s="191"/>
    </row>
    <row r="937" spans="1:1" x14ac:dyDescent="0.25">
      <c r="A937" s="191"/>
    </row>
    <row r="938" spans="1:1" x14ac:dyDescent="0.25">
      <c r="A938" s="194"/>
    </row>
    <row r="939" spans="1:1" x14ac:dyDescent="0.25">
      <c r="A939" s="191"/>
    </row>
    <row r="940" spans="1:1" x14ac:dyDescent="0.25">
      <c r="A940" s="191"/>
    </row>
    <row r="941" spans="1:1" x14ac:dyDescent="0.25">
      <c r="A941" s="191"/>
    </row>
    <row r="942" spans="1:1" x14ac:dyDescent="0.25">
      <c r="A942" s="191"/>
    </row>
    <row r="943" spans="1:1" x14ac:dyDescent="0.25">
      <c r="A943" s="191"/>
    </row>
    <row r="944" spans="1:1" x14ac:dyDescent="0.25">
      <c r="A944" s="194"/>
    </row>
    <row r="945" spans="1:1" x14ac:dyDescent="0.25">
      <c r="A945" s="191"/>
    </row>
    <row r="946" spans="1:1" x14ac:dyDescent="0.25">
      <c r="A946" s="191"/>
    </row>
    <row r="947" spans="1:1" x14ac:dyDescent="0.25">
      <c r="A947" s="191"/>
    </row>
    <row r="948" spans="1:1" x14ac:dyDescent="0.25">
      <c r="A948" s="191"/>
    </row>
    <row r="949" spans="1:1" x14ac:dyDescent="0.25">
      <c r="A949" s="194"/>
    </row>
    <row r="950" spans="1:1" x14ac:dyDescent="0.25">
      <c r="A950" s="191"/>
    </row>
    <row r="951" spans="1:1" x14ac:dyDescent="0.25">
      <c r="A951" s="191"/>
    </row>
    <row r="952" spans="1:1" x14ac:dyDescent="0.25">
      <c r="A952" s="191"/>
    </row>
    <row r="953" spans="1:1" x14ac:dyDescent="0.25">
      <c r="A953" s="191"/>
    </row>
    <row r="954" spans="1:1" x14ac:dyDescent="0.25">
      <c r="A954" s="194"/>
    </row>
    <row r="955" spans="1:1" x14ac:dyDescent="0.25">
      <c r="A955" s="191"/>
    </row>
    <row r="956" spans="1:1" x14ac:dyDescent="0.25">
      <c r="A956" s="191"/>
    </row>
    <row r="957" spans="1:1" x14ac:dyDescent="0.25">
      <c r="A957" s="191"/>
    </row>
    <row r="958" spans="1:1" x14ac:dyDescent="0.25">
      <c r="A958" s="191"/>
    </row>
    <row r="959" spans="1:1" x14ac:dyDescent="0.25">
      <c r="A959" s="194"/>
    </row>
    <row r="960" spans="1:1" x14ac:dyDescent="0.25">
      <c r="A960" s="191"/>
    </row>
    <row r="961" spans="1:1" x14ac:dyDescent="0.25">
      <c r="A961" s="191"/>
    </row>
    <row r="962" spans="1:1" x14ac:dyDescent="0.25">
      <c r="A962" s="191"/>
    </row>
    <row r="963" spans="1:1" x14ac:dyDescent="0.25">
      <c r="A963" s="191"/>
    </row>
    <row r="964" spans="1:1" x14ac:dyDescent="0.25">
      <c r="A964" s="194"/>
    </row>
    <row r="965" spans="1:1" x14ac:dyDescent="0.25">
      <c r="A965" s="191"/>
    </row>
    <row r="966" spans="1:1" x14ac:dyDescent="0.25">
      <c r="A966" s="191"/>
    </row>
    <row r="967" spans="1:1" x14ac:dyDescent="0.25">
      <c r="A967" s="191"/>
    </row>
    <row r="968" spans="1:1" x14ac:dyDescent="0.25">
      <c r="A968" s="191"/>
    </row>
    <row r="969" spans="1:1" x14ac:dyDescent="0.25">
      <c r="A969" s="194"/>
    </row>
    <row r="970" spans="1:1" x14ac:dyDescent="0.25">
      <c r="A970" s="191"/>
    </row>
    <row r="971" spans="1:1" x14ac:dyDescent="0.25">
      <c r="A971" s="191"/>
    </row>
    <row r="972" spans="1:1" x14ac:dyDescent="0.25">
      <c r="A972" s="191"/>
    </row>
    <row r="973" spans="1:1" x14ac:dyDescent="0.25">
      <c r="A973" s="191"/>
    </row>
    <row r="974" spans="1:1" x14ac:dyDescent="0.25">
      <c r="A974" s="191"/>
    </row>
    <row r="975" spans="1:1" x14ac:dyDescent="0.25">
      <c r="A975" s="191"/>
    </row>
    <row r="976" spans="1:1" x14ac:dyDescent="0.25">
      <c r="A976" s="191"/>
    </row>
    <row r="977" spans="1:1" x14ac:dyDescent="0.25">
      <c r="A977" s="191"/>
    </row>
    <row r="978" spans="1:1" x14ac:dyDescent="0.25">
      <c r="A978" s="191"/>
    </row>
    <row r="979" spans="1:1" x14ac:dyDescent="0.25">
      <c r="A979" s="191"/>
    </row>
    <row r="980" spans="1:1" x14ac:dyDescent="0.25">
      <c r="A980" s="191"/>
    </row>
    <row r="981" spans="1:1" x14ac:dyDescent="0.25">
      <c r="A981" s="191"/>
    </row>
    <row r="982" spans="1:1" x14ac:dyDescent="0.25">
      <c r="A982" s="191"/>
    </row>
    <row r="983" spans="1:1" x14ac:dyDescent="0.25">
      <c r="A983" s="191"/>
    </row>
    <row r="984" spans="1:1" x14ac:dyDescent="0.25">
      <c r="A984" s="194"/>
    </row>
    <row r="985" spans="1:1" x14ac:dyDescent="0.25">
      <c r="A985" s="191"/>
    </row>
    <row r="986" spans="1:1" x14ac:dyDescent="0.25">
      <c r="A986" s="191"/>
    </row>
    <row r="987" spans="1:1" x14ac:dyDescent="0.25">
      <c r="A987" s="191"/>
    </row>
    <row r="988" spans="1:1" x14ac:dyDescent="0.25">
      <c r="A988" s="191"/>
    </row>
    <row r="989" spans="1:1" x14ac:dyDescent="0.25">
      <c r="A989" s="194"/>
    </row>
    <row r="990" spans="1:1" x14ac:dyDescent="0.25">
      <c r="A990" s="191"/>
    </row>
    <row r="991" spans="1:1" x14ac:dyDescent="0.25">
      <c r="A991" s="191"/>
    </row>
    <row r="992" spans="1:1" x14ac:dyDescent="0.25">
      <c r="A992" s="191"/>
    </row>
    <row r="993" spans="1:1" x14ac:dyDescent="0.25">
      <c r="A993" s="191"/>
    </row>
    <row r="994" spans="1:1" x14ac:dyDescent="0.25">
      <c r="A994" s="194"/>
    </row>
    <row r="995" spans="1:1" x14ac:dyDescent="0.25">
      <c r="A995" s="191"/>
    </row>
    <row r="996" spans="1:1" x14ac:dyDescent="0.25">
      <c r="A996" s="191"/>
    </row>
    <row r="997" spans="1:1" x14ac:dyDescent="0.25">
      <c r="A997" s="191"/>
    </row>
    <row r="998" spans="1:1" x14ac:dyDescent="0.25">
      <c r="A998" s="191"/>
    </row>
    <row r="999" spans="1:1" x14ac:dyDescent="0.25">
      <c r="A999" s="191"/>
    </row>
    <row r="1000" spans="1:1" x14ac:dyDescent="0.25">
      <c r="A1000" s="191"/>
    </row>
    <row r="1001" spans="1:1" x14ac:dyDescent="0.25">
      <c r="A1001" s="191"/>
    </row>
    <row r="1002" spans="1:1" x14ac:dyDescent="0.25">
      <c r="A1002" s="191"/>
    </row>
    <row r="1003" spans="1:1" x14ac:dyDescent="0.25">
      <c r="A1003" s="191"/>
    </row>
    <row r="1004" spans="1:1" x14ac:dyDescent="0.25">
      <c r="A1004" s="191"/>
    </row>
    <row r="1005" spans="1:1" x14ac:dyDescent="0.25">
      <c r="A1005" s="191"/>
    </row>
    <row r="1006" spans="1:1" x14ac:dyDescent="0.25">
      <c r="A1006" s="191"/>
    </row>
    <row r="1007" spans="1:1" x14ac:dyDescent="0.25">
      <c r="A1007" s="191"/>
    </row>
    <row r="1008" spans="1:1" x14ac:dyDescent="0.25">
      <c r="A1008" s="191"/>
    </row>
    <row r="1009" spans="1:1" x14ac:dyDescent="0.25">
      <c r="A1009" s="191"/>
    </row>
    <row r="1010" spans="1:1" x14ac:dyDescent="0.25">
      <c r="A1010" s="191"/>
    </row>
    <row r="1011" spans="1:1" x14ac:dyDescent="0.25">
      <c r="A1011" s="191"/>
    </row>
    <row r="1012" spans="1:1" x14ac:dyDescent="0.25">
      <c r="A1012" s="191"/>
    </row>
    <row r="1013" spans="1:1" x14ac:dyDescent="0.25">
      <c r="A1013" s="191"/>
    </row>
    <row r="1014" spans="1:1" x14ac:dyDescent="0.25">
      <c r="A1014" s="191"/>
    </row>
    <row r="1015" spans="1:1" x14ac:dyDescent="0.25">
      <c r="A1015" s="191"/>
    </row>
    <row r="1016" spans="1:1" x14ac:dyDescent="0.25">
      <c r="A1016" s="191"/>
    </row>
    <row r="1017" spans="1:1" x14ac:dyDescent="0.25">
      <c r="A1017" s="191"/>
    </row>
    <row r="1018" spans="1:1" x14ac:dyDescent="0.25">
      <c r="A1018" s="191"/>
    </row>
    <row r="1019" spans="1:1" x14ac:dyDescent="0.25">
      <c r="A1019" s="191"/>
    </row>
    <row r="1020" spans="1:1" x14ac:dyDescent="0.25">
      <c r="A1020" s="191"/>
    </row>
    <row r="1021" spans="1:1" x14ac:dyDescent="0.25">
      <c r="A1021" s="191"/>
    </row>
    <row r="1022" spans="1:1" x14ac:dyDescent="0.25">
      <c r="A1022" s="191"/>
    </row>
    <row r="1023" spans="1:1" x14ac:dyDescent="0.25">
      <c r="A1023" s="191"/>
    </row>
    <row r="1024" spans="1:1" x14ac:dyDescent="0.25">
      <c r="A1024" s="191"/>
    </row>
    <row r="1025" spans="1:1" x14ac:dyDescent="0.25">
      <c r="A1025" s="194"/>
    </row>
    <row r="1026" spans="1:1" x14ac:dyDescent="0.25">
      <c r="A1026" s="191"/>
    </row>
    <row r="1027" spans="1:1" x14ac:dyDescent="0.25">
      <c r="A1027" s="191"/>
    </row>
    <row r="1028" spans="1:1" x14ac:dyDescent="0.25">
      <c r="A1028" s="191"/>
    </row>
    <row r="1029" spans="1:1" x14ac:dyDescent="0.25">
      <c r="A1029" s="191"/>
    </row>
    <row r="1030" spans="1:1" x14ac:dyDescent="0.25">
      <c r="A1030" s="191"/>
    </row>
    <row r="1031" spans="1:1" x14ac:dyDescent="0.25">
      <c r="A1031" s="191"/>
    </row>
    <row r="1032" spans="1:1" x14ac:dyDescent="0.25">
      <c r="A1032" s="191"/>
    </row>
    <row r="1033" spans="1:1" x14ac:dyDescent="0.25">
      <c r="A1033" s="191"/>
    </row>
    <row r="1034" spans="1:1" x14ac:dyDescent="0.25">
      <c r="A1034" s="191"/>
    </row>
    <row r="1035" spans="1:1" x14ac:dyDescent="0.25">
      <c r="A1035" s="191"/>
    </row>
    <row r="1036" spans="1:1" x14ac:dyDescent="0.25">
      <c r="A1036" s="191"/>
    </row>
    <row r="1037" spans="1:1" x14ac:dyDescent="0.25">
      <c r="A1037" s="191"/>
    </row>
    <row r="1038" spans="1:1" x14ac:dyDescent="0.25">
      <c r="A1038" s="191"/>
    </row>
    <row r="1039" spans="1:1" x14ac:dyDescent="0.25">
      <c r="A1039" s="191"/>
    </row>
    <row r="1040" spans="1:1" x14ac:dyDescent="0.25">
      <c r="A1040" s="191"/>
    </row>
    <row r="1041" spans="1:1" x14ac:dyDescent="0.25">
      <c r="A1041" s="191"/>
    </row>
    <row r="1042" spans="1:1" x14ac:dyDescent="0.25">
      <c r="A1042" s="191"/>
    </row>
    <row r="1043" spans="1:1" x14ac:dyDescent="0.25">
      <c r="A1043" s="191"/>
    </row>
    <row r="1044" spans="1:1" x14ac:dyDescent="0.25">
      <c r="A1044" s="191"/>
    </row>
    <row r="1045" spans="1:1" x14ac:dyDescent="0.25">
      <c r="A1045" s="194"/>
    </row>
    <row r="1046" spans="1:1" x14ac:dyDescent="0.25">
      <c r="A1046" s="191"/>
    </row>
    <row r="1047" spans="1:1" x14ac:dyDescent="0.25">
      <c r="A1047" s="191"/>
    </row>
    <row r="1048" spans="1:1" x14ac:dyDescent="0.25">
      <c r="A1048" s="191"/>
    </row>
    <row r="1049" spans="1:1" x14ac:dyDescent="0.25">
      <c r="A1049" s="191"/>
    </row>
    <row r="1050" spans="1:1" x14ac:dyDescent="0.25">
      <c r="A1050" s="191"/>
    </row>
    <row r="1051" spans="1:1" x14ac:dyDescent="0.25">
      <c r="A1051" s="191"/>
    </row>
    <row r="1052" spans="1:1" x14ac:dyDescent="0.25">
      <c r="A1052" s="191"/>
    </row>
    <row r="1053" spans="1:1" x14ac:dyDescent="0.25">
      <c r="A1053" s="191"/>
    </row>
    <row r="1054" spans="1:1" x14ac:dyDescent="0.25">
      <c r="A1054" s="191"/>
    </row>
    <row r="1055" spans="1:1" x14ac:dyDescent="0.25">
      <c r="A1055" s="191"/>
    </row>
    <row r="1056" spans="1:1" x14ac:dyDescent="0.25">
      <c r="A1056" s="191"/>
    </row>
    <row r="1057" spans="1:1" x14ac:dyDescent="0.25">
      <c r="A1057" s="191"/>
    </row>
    <row r="1058" spans="1:1" x14ac:dyDescent="0.25">
      <c r="A1058" s="191"/>
    </row>
    <row r="1059" spans="1:1" x14ac:dyDescent="0.25">
      <c r="A1059" s="191"/>
    </row>
    <row r="1060" spans="1:1" x14ac:dyDescent="0.25">
      <c r="A1060" s="191"/>
    </row>
    <row r="1061" spans="1:1" x14ac:dyDescent="0.25">
      <c r="A1061" s="191"/>
    </row>
    <row r="1062" spans="1:1" x14ac:dyDescent="0.25">
      <c r="A1062" s="191"/>
    </row>
    <row r="1063" spans="1:1" x14ac:dyDescent="0.25">
      <c r="A1063" s="191"/>
    </row>
    <row r="1064" spans="1:1" x14ac:dyDescent="0.25">
      <c r="A1064" s="191"/>
    </row>
    <row r="1065" spans="1:1" x14ac:dyDescent="0.25">
      <c r="A1065" s="194"/>
    </row>
    <row r="1066" spans="1:1" x14ac:dyDescent="0.25">
      <c r="A1066" s="191"/>
    </row>
    <row r="1067" spans="1:1" x14ac:dyDescent="0.25">
      <c r="A1067" s="191"/>
    </row>
    <row r="1068" spans="1:1" x14ac:dyDescent="0.25">
      <c r="A1068" s="191"/>
    </row>
    <row r="1069" spans="1:1" x14ac:dyDescent="0.25">
      <c r="A1069" s="191"/>
    </row>
    <row r="1070" spans="1:1" x14ac:dyDescent="0.25">
      <c r="A1070" s="191"/>
    </row>
    <row r="1071" spans="1:1" x14ac:dyDescent="0.25">
      <c r="A1071" s="191"/>
    </row>
    <row r="1072" spans="1:1" x14ac:dyDescent="0.25">
      <c r="A1072" s="191"/>
    </row>
    <row r="1073" spans="1:1" x14ac:dyDescent="0.25">
      <c r="A1073" s="191"/>
    </row>
    <row r="1074" spans="1:1" x14ac:dyDescent="0.25">
      <c r="A1074" s="191"/>
    </row>
    <row r="1075" spans="1:1" x14ac:dyDescent="0.25">
      <c r="A1075" s="194"/>
    </row>
    <row r="1076" spans="1:1" x14ac:dyDescent="0.25">
      <c r="A1076" s="191"/>
    </row>
    <row r="1077" spans="1:1" x14ac:dyDescent="0.25">
      <c r="A1077" s="191"/>
    </row>
    <row r="1078" spans="1:1" x14ac:dyDescent="0.25">
      <c r="A1078" s="191"/>
    </row>
    <row r="1079" spans="1:1" x14ac:dyDescent="0.25">
      <c r="A1079" s="191"/>
    </row>
    <row r="1080" spans="1:1" x14ac:dyDescent="0.25">
      <c r="A1080" s="194"/>
    </row>
    <row r="1081" spans="1:1" x14ac:dyDescent="0.25">
      <c r="A1081" s="191"/>
    </row>
    <row r="1082" spans="1:1" x14ac:dyDescent="0.25">
      <c r="A1082" s="191"/>
    </row>
    <row r="1083" spans="1:1" x14ac:dyDescent="0.25">
      <c r="A1083" s="191"/>
    </row>
    <row r="1084" spans="1:1" x14ac:dyDescent="0.25">
      <c r="A1084" s="191"/>
    </row>
    <row r="1085" spans="1:1" x14ac:dyDescent="0.25">
      <c r="A1085" s="194"/>
    </row>
    <row r="1086" spans="1:1" x14ac:dyDescent="0.25">
      <c r="A1086" s="191"/>
    </row>
    <row r="1087" spans="1:1" x14ac:dyDescent="0.25">
      <c r="A1087" s="191"/>
    </row>
    <row r="1088" spans="1:1" x14ac:dyDescent="0.25">
      <c r="A1088" s="191"/>
    </row>
    <row r="1089" spans="1:1" x14ac:dyDescent="0.25">
      <c r="A1089" s="191"/>
    </row>
    <row r="1090" spans="1:1" x14ac:dyDescent="0.25">
      <c r="A1090" s="191"/>
    </row>
    <row r="1091" spans="1:1" x14ac:dyDescent="0.25">
      <c r="A1091" s="191"/>
    </row>
    <row r="1092" spans="1:1" x14ac:dyDescent="0.25">
      <c r="A1092" s="191"/>
    </row>
    <row r="1093" spans="1:1" x14ac:dyDescent="0.25">
      <c r="A1093" s="191"/>
    </row>
    <row r="1094" spans="1:1" x14ac:dyDescent="0.25">
      <c r="A1094" s="191"/>
    </row>
    <row r="1095" spans="1:1" x14ac:dyDescent="0.25">
      <c r="A1095" s="191"/>
    </row>
    <row r="1096" spans="1:1" x14ac:dyDescent="0.25">
      <c r="A1096" s="191"/>
    </row>
    <row r="1097" spans="1:1" x14ac:dyDescent="0.25">
      <c r="A1097" s="191"/>
    </row>
    <row r="1098" spans="1:1" x14ac:dyDescent="0.25">
      <c r="A1098" s="191"/>
    </row>
    <row r="1099" spans="1:1" x14ac:dyDescent="0.25">
      <c r="A1099" s="191"/>
    </row>
    <row r="1100" spans="1:1" x14ac:dyDescent="0.25">
      <c r="A1100" s="194"/>
    </row>
    <row r="1101" spans="1:1" x14ac:dyDescent="0.25">
      <c r="A1101" s="191"/>
    </row>
    <row r="1102" spans="1:1" x14ac:dyDescent="0.25">
      <c r="A1102" s="191"/>
    </row>
    <row r="1103" spans="1:1" x14ac:dyDescent="0.25">
      <c r="A1103" s="191"/>
    </row>
    <row r="1104" spans="1:1" x14ac:dyDescent="0.25">
      <c r="A1104" s="191"/>
    </row>
    <row r="1105" spans="1:1" x14ac:dyDescent="0.25">
      <c r="A1105" s="194"/>
    </row>
    <row r="1106" spans="1:1" x14ac:dyDescent="0.25">
      <c r="A1106" s="191"/>
    </row>
    <row r="1107" spans="1:1" x14ac:dyDescent="0.25">
      <c r="A1107" s="191"/>
    </row>
    <row r="1108" spans="1:1" x14ac:dyDescent="0.25">
      <c r="A1108" s="191"/>
    </row>
    <row r="1109" spans="1:1" x14ac:dyDescent="0.25">
      <c r="A1109" s="191"/>
    </row>
    <row r="1110" spans="1:1" x14ac:dyDescent="0.25">
      <c r="A1110" s="194"/>
    </row>
    <row r="1111" spans="1:1" x14ac:dyDescent="0.25">
      <c r="A1111" s="191"/>
    </row>
    <row r="1112" spans="1:1" x14ac:dyDescent="0.25">
      <c r="A1112" s="191"/>
    </row>
    <row r="1113" spans="1:1" x14ac:dyDescent="0.25">
      <c r="A1113" s="191"/>
    </row>
    <row r="1114" spans="1:1" x14ac:dyDescent="0.25">
      <c r="A1114" s="191"/>
    </row>
    <row r="1115" spans="1:1" x14ac:dyDescent="0.25">
      <c r="A1115" s="194"/>
    </row>
    <row r="1116" spans="1:1" x14ac:dyDescent="0.25">
      <c r="A1116" s="191"/>
    </row>
    <row r="1117" spans="1:1" x14ac:dyDescent="0.25">
      <c r="A1117" s="191"/>
    </row>
    <row r="1118" spans="1:1" x14ac:dyDescent="0.25">
      <c r="A1118" s="191"/>
    </row>
    <row r="1119" spans="1:1" x14ac:dyDescent="0.25">
      <c r="A1119" s="191"/>
    </row>
    <row r="1120" spans="1:1" x14ac:dyDescent="0.25">
      <c r="A1120" s="194"/>
    </row>
    <row r="1121" spans="1:1" x14ac:dyDescent="0.25">
      <c r="A1121" s="191"/>
    </row>
    <row r="1122" spans="1:1" x14ac:dyDescent="0.25">
      <c r="A1122" s="191"/>
    </row>
    <row r="1123" spans="1:1" x14ac:dyDescent="0.25">
      <c r="A1123" s="191"/>
    </row>
    <row r="1124" spans="1:1" x14ac:dyDescent="0.25">
      <c r="A1124" s="191"/>
    </row>
    <row r="1125" spans="1:1" x14ac:dyDescent="0.25">
      <c r="A1125" s="194"/>
    </row>
    <row r="1126" spans="1:1" x14ac:dyDescent="0.25">
      <c r="A1126" s="191"/>
    </row>
    <row r="1127" spans="1:1" x14ac:dyDescent="0.25">
      <c r="A1127" s="191"/>
    </row>
    <row r="1128" spans="1:1" x14ac:dyDescent="0.25">
      <c r="A1128" s="191"/>
    </row>
    <row r="1129" spans="1:1" x14ac:dyDescent="0.25">
      <c r="A1129" s="191"/>
    </row>
    <row r="1130" spans="1:1" x14ac:dyDescent="0.25">
      <c r="A1130" s="194"/>
    </row>
    <row r="1131" spans="1:1" x14ac:dyDescent="0.25">
      <c r="A1131" s="191"/>
    </row>
    <row r="1132" spans="1:1" x14ac:dyDescent="0.25">
      <c r="A1132" s="191"/>
    </row>
    <row r="1133" spans="1:1" x14ac:dyDescent="0.25">
      <c r="A1133" s="191"/>
    </row>
    <row r="1134" spans="1:1" x14ac:dyDescent="0.25">
      <c r="A1134" s="191"/>
    </row>
    <row r="1135" spans="1:1" x14ac:dyDescent="0.25">
      <c r="A1135" s="194"/>
    </row>
    <row r="1136" spans="1:1" x14ac:dyDescent="0.25">
      <c r="A1136" s="191"/>
    </row>
    <row r="1137" spans="1:1" x14ac:dyDescent="0.25">
      <c r="A1137" s="191"/>
    </row>
    <row r="1138" spans="1:1" x14ac:dyDescent="0.25">
      <c r="A1138" s="191"/>
    </row>
    <row r="1139" spans="1:1" x14ac:dyDescent="0.25">
      <c r="A1139" s="191"/>
    </row>
    <row r="1140" spans="1:1" x14ac:dyDescent="0.25">
      <c r="A1140" s="194"/>
    </row>
    <row r="1141" spans="1:1" x14ac:dyDescent="0.25">
      <c r="A1141" s="191"/>
    </row>
    <row r="1142" spans="1:1" x14ac:dyDescent="0.25">
      <c r="A1142" s="191"/>
    </row>
    <row r="1143" spans="1:1" x14ac:dyDescent="0.25">
      <c r="A1143" s="191"/>
    </row>
    <row r="1144" spans="1:1" x14ac:dyDescent="0.25">
      <c r="A1144" s="191"/>
    </row>
    <row r="1145" spans="1:1" x14ac:dyDescent="0.25">
      <c r="A1145" s="194"/>
    </row>
    <row r="1146" spans="1:1" x14ac:dyDescent="0.25">
      <c r="A1146" s="191"/>
    </row>
    <row r="1147" spans="1:1" x14ac:dyDescent="0.25">
      <c r="A1147" s="191"/>
    </row>
    <row r="1148" spans="1:1" x14ac:dyDescent="0.25">
      <c r="A1148" s="191"/>
    </row>
    <row r="1149" spans="1:1" x14ac:dyDescent="0.25">
      <c r="A1149" s="191"/>
    </row>
    <row r="1150" spans="1:1" x14ac:dyDescent="0.25">
      <c r="A1150" s="191"/>
    </row>
    <row r="1151" spans="1:1" x14ac:dyDescent="0.25">
      <c r="A1151" s="191"/>
    </row>
    <row r="1152" spans="1:1" x14ac:dyDescent="0.25">
      <c r="A1152" s="191"/>
    </row>
    <row r="1153" spans="1:1" x14ac:dyDescent="0.25">
      <c r="A1153" s="191"/>
    </row>
    <row r="1154" spans="1:1" x14ac:dyDescent="0.25">
      <c r="A1154" s="191"/>
    </row>
    <row r="1155" spans="1:1" x14ac:dyDescent="0.25">
      <c r="A1155" s="191"/>
    </row>
    <row r="1156" spans="1:1" x14ac:dyDescent="0.25">
      <c r="A1156" s="191"/>
    </row>
    <row r="1157" spans="1:1" x14ac:dyDescent="0.25">
      <c r="A1157" s="191"/>
    </row>
    <row r="1158" spans="1:1" x14ac:dyDescent="0.25">
      <c r="A1158" s="191"/>
    </row>
    <row r="1159" spans="1:1" x14ac:dyDescent="0.25">
      <c r="A1159" s="191"/>
    </row>
    <row r="1160" spans="1:1" x14ac:dyDescent="0.25">
      <c r="A1160" s="194"/>
    </row>
    <row r="1161" spans="1:1" x14ac:dyDescent="0.25">
      <c r="A1161" s="191"/>
    </row>
    <row r="1162" spans="1:1" x14ac:dyDescent="0.25">
      <c r="A1162" s="191"/>
    </row>
    <row r="1163" spans="1:1" x14ac:dyDescent="0.25">
      <c r="A1163" s="191"/>
    </row>
    <row r="1164" spans="1:1" x14ac:dyDescent="0.25">
      <c r="A1164" s="191"/>
    </row>
    <row r="1165" spans="1:1" x14ac:dyDescent="0.25">
      <c r="A1165" s="194"/>
    </row>
    <row r="1166" spans="1:1" x14ac:dyDescent="0.25">
      <c r="A1166" s="191"/>
    </row>
    <row r="1167" spans="1:1" x14ac:dyDescent="0.25">
      <c r="A1167" s="191"/>
    </row>
    <row r="1168" spans="1:1" x14ac:dyDescent="0.25">
      <c r="A1168" s="191"/>
    </row>
    <row r="1169" spans="1:1" x14ac:dyDescent="0.25">
      <c r="A1169" s="191"/>
    </row>
    <row r="1170" spans="1:1" x14ac:dyDescent="0.25">
      <c r="A1170" s="191"/>
    </row>
    <row r="1171" spans="1:1" x14ac:dyDescent="0.25">
      <c r="A1171" s="191"/>
    </row>
    <row r="1172" spans="1:1" x14ac:dyDescent="0.25">
      <c r="A1172" s="191"/>
    </row>
    <row r="1173" spans="1:1" x14ac:dyDescent="0.25">
      <c r="A1173" s="191"/>
    </row>
    <row r="1174" spans="1:1" x14ac:dyDescent="0.25">
      <c r="A1174" s="191"/>
    </row>
    <row r="1175" spans="1:1" x14ac:dyDescent="0.25">
      <c r="A1175" s="191"/>
    </row>
    <row r="1176" spans="1:1" x14ac:dyDescent="0.25">
      <c r="A1176" s="191"/>
    </row>
    <row r="1177" spans="1:1" x14ac:dyDescent="0.25">
      <c r="A1177" s="191"/>
    </row>
    <row r="1178" spans="1:1" x14ac:dyDescent="0.25">
      <c r="A1178" s="191"/>
    </row>
    <row r="1179" spans="1:1" x14ac:dyDescent="0.25">
      <c r="A1179" s="191"/>
    </row>
    <row r="1180" spans="1:1" x14ac:dyDescent="0.25">
      <c r="A1180" s="194"/>
    </row>
    <row r="1181" spans="1:1" x14ac:dyDescent="0.25">
      <c r="A1181" s="191"/>
    </row>
    <row r="1182" spans="1:1" x14ac:dyDescent="0.25">
      <c r="A1182" s="191"/>
    </row>
    <row r="1183" spans="1:1" x14ac:dyDescent="0.25">
      <c r="A1183" s="191"/>
    </row>
    <row r="1184" spans="1:1" x14ac:dyDescent="0.25">
      <c r="A1184" s="191"/>
    </row>
    <row r="1185" spans="1:1" x14ac:dyDescent="0.25">
      <c r="A1185" s="194"/>
    </row>
    <row r="1186" spans="1:1" x14ac:dyDescent="0.25">
      <c r="A1186" s="191"/>
    </row>
    <row r="1187" spans="1:1" x14ac:dyDescent="0.25">
      <c r="A1187" s="191"/>
    </row>
    <row r="1188" spans="1:1" x14ac:dyDescent="0.25">
      <c r="A1188" s="191"/>
    </row>
    <row r="1189" spans="1:1" x14ac:dyDescent="0.25">
      <c r="A1189" s="191"/>
    </row>
    <row r="1190" spans="1:1" x14ac:dyDescent="0.25">
      <c r="A1190" s="191"/>
    </row>
    <row r="1191" spans="1:1" x14ac:dyDescent="0.25">
      <c r="A1191" s="191"/>
    </row>
    <row r="1192" spans="1:1" x14ac:dyDescent="0.25">
      <c r="A1192" s="191"/>
    </row>
    <row r="1193" spans="1:1" x14ac:dyDescent="0.25">
      <c r="A1193" s="191"/>
    </row>
    <row r="1194" spans="1:1" x14ac:dyDescent="0.25">
      <c r="A1194" s="191"/>
    </row>
    <row r="1195" spans="1:1" x14ac:dyDescent="0.25">
      <c r="A1195" s="194"/>
    </row>
    <row r="1196" spans="1:1" x14ac:dyDescent="0.25">
      <c r="A1196" s="191"/>
    </row>
    <row r="1197" spans="1:1" x14ac:dyDescent="0.25">
      <c r="A1197" s="191"/>
    </row>
    <row r="1198" spans="1:1" x14ac:dyDescent="0.25">
      <c r="A1198" s="191"/>
    </row>
    <row r="1199" spans="1:1" x14ac:dyDescent="0.25">
      <c r="A1199" s="191"/>
    </row>
    <row r="1200" spans="1:1" x14ac:dyDescent="0.25">
      <c r="A1200" s="191"/>
    </row>
    <row r="1201" spans="1:1" x14ac:dyDescent="0.25">
      <c r="A1201" s="191"/>
    </row>
    <row r="1202" spans="1:1" x14ac:dyDescent="0.25">
      <c r="A1202" s="191"/>
    </row>
    <row r="1203" spans="1:1" x14ac:dyDescent="0.25">
      <c r="A1203" s="191"/>
    </row>
    <row r="1204" spans="1:1" x14ac:dyDescent="0.25">
      <c r="A1204" s="191"/>
    </row>
    <row r="1205" spans="1:1" x14ac:dyDescent="0.25">
      <c r="A1205" s="194"/>
    </row>
    <row r="1206" spans="1:1" x14ac:dyDescent="0.25">
      <c r="A1206" s="191"/>
    </row>
    <row r="1207" spans="1:1" x14ac:dyDescent="0.25">
      <c r="A1207" s="191"/>
    </row>
    <row r="1208" spans="1:1" x14ac:dyDescent="0.25">
      <c r="A1208" s="191"/>
    </row>
    <row r="1209" spans="1:1" x14ac:dyDescent="0.25">
      <c r="A1209" s="191"/>
    </row>
    <row r="1210" spans="1:1" x14ac:dyDescent="0.25">
      <c r="A1210" s="194"/>
    </row>
    <row r="1211" spans="1:1" x14ac:dyDescent="0.25">
      <c r="A1211" s="191"/>
    </row>
    <row r="1212" spans="1:1" x14ac:dyDescent="0.25">
      <c r="A1212" s="191"/>
    </row>
    <row r="1213" spans="1:1" x14ac:dyDescent="0.25">
      <c r="A1213" s="191"/>
    </row>
    <row r="1214" spans="1:1" x14ac:dyDescent="0.25">
      <c r="A1214" s="191"/>
    </row>
    <row r="1215" spans="1:1" x14ac:dyDescent="0.25">
      <c r="A1215" s="191"/>
    </row>
    <row r="1216" spans="1:1" x14ac:dyDescent="0.25">
      <c r="A1216" s="191"/>
    </row>
    <row r="1217" spans="1:1" x14ac:dyDescent="0.25">
      <c r="A1217" s="191"/>
    </row>
    <row r="1218" spans="1:1" x14ac:dyDescent="0.25">
      <c r="A1218" s="191"/>
    </row>
    <row r="1219" spans="1:1" x14ac:dyDescent="0.25">
      <c r="A1219" s="191"/>
    </row>
    <row r="1220" spans="1:1" x14ac:dyDescent="0.25">
      <c r="A1220" s="191"/>
    </row>
    <row r="1221" spans="1:1" x14ac:dyDescent="0.25">
      <c r="A1221" s="194"/>
    </row>
    <row r="1222" spans="1:1" x14ac:dyDescent="0.25">
      <c r="A1222" s="191"/>
    </row>
    <row r="1223" spans="1:1" x14ac:dyDescent="0.25">
      <c r="A1223" s="191"/>
    </row>
    <row r="1224" spans="1:1" x14ac:dyDescent="0.25">
      <c r="A1224" s="191"/>
    </row>
    <row r="1225" spans="1:1" x14ac:dyDescent="0.25">
      <c r="A1225" s="191"/>
    </row>
    <row r="1226" spans="1:1" x14ac:dyDescent="0.25">
      <c r="A1226" s="191"/>
    </row>
    <row r="1227" spans="1:1" x14ac:dyDescent="0.25">
      <c r="A1227" s="191"/>
    </row>
    <row r="1228" spans="1:1" x14ac:dyDescent="0.25">
      <c r="A1228" s="191"/>
    </row>
    <row r="1229" spans="1:1" x14ac:dyDescent="0.25">
      <c r="A1229" s="191"/>
    </row>
    <row r="1230" spans="1:1" x14ac:dyDescent="0.25">
      <c r="A1230" s="191"/>
    </row>
    <row r="1231" spans="1:1" x14ac:dyDescent="0.25">
      <c r="A1231" s="191"/>
    </row>
    <row r="1232" spans="1:1" x14ac:dyDescent="0.25">
      <c r="A1232" s="191"/>
    </row>
    <row r="1233" spans="1:1" x14ac:dyDescent="0.25">
      <c r="A1233" s="191"/>
    </row>
    <row r="1234" spans="1:1" x14ac:dyDescent="0.25">
      <c r="A1234" s="191"/>
    </row>
    <row r="1235" spans="1:1" x14ac:dyDescent="0.25">
      <c r="A1235" s="191"/>
    </row>
    <row r="1236" spans="1:1" x14ac:dyDescent="0.25">
      <c r="A1236" s="194"/>
    </row>
    <row r="1237" spans="1:1" x14ac:dyDescent="0.25">
      <c r="A1237" s="191"/>
    </row>
    <row r="1238" spans="1:1" x14ac:dyDescent="0.25">
      <c r="A1238" s="191"/>
    </row>
    <row r="1239" spans="1:1" x14ac:dyDescent="0.25">
      <c r="A1239" s="191"/>
    </row>
    <row r="1240" spans="1:1" x14ac:dyDescent="0.25">
      <c r="A1240" s="191"/>
    </row>
    <row r="1241" spans="1:1" x14ac:dyDescent="0.25">
      <c r="A1241" s="194"/>
    </row>
    <row r="1242" spans="1:1" x14ac:dyDescent="0.25">
      <c r="A1242" s="191"/>
    </row>
    <row r="1243" spans="1:1" x14ac:dyDescent="0.25">
      <c r="A1243" s="191"/>
    </row>
    <row r="1244" spans="1:1" x14ac:dyDescent="0.25">
      <c r="A1244" s="191"/>
    </row>
    <row r="1245" spans="1:1" x14ac:dyDescent="0.25">
      <c r="A1245" s="191"/>
    </row>
    <row r="1246" spans="1:1" x14ac:dyDescent="0.25">
      <c r="A1246" s="191"/>
    </row>
    <row r="1247" spans="1:1" x14ac:dyDescent="0.25">
      <c r="A1247" s="191"/>
    </row>
    <row r="1248" spans="1:1" x14ac:dyDescent="0.25">
      <c r="A1248" s="191"/>
    </row>
    <row r="1249" spans="1:1" x14ac:dyDescent="0.25">
      <c r="A1249" s="191"/>
    </row>
    <row r="1250" spans="1:1" x14ac:dyDescent="0.25">
      <c r="A1250" s="191"/>
    </row>
    <row r="1251" spans="1:1" x14ac:dyDescent="0.25">
      <c r="A1251" s="194"/>
    </row>
    <row r="1252" spans="1:1" x14ac:dyDescent="0.25">
      <c r="A1252" s="191"/>
    </row>
    <row r="1253" spans="1:1" x14ac:dyDescent="0.25">
      <c r="A1253" s="191"/>
    </row>
    <row r="1254" spans="1:1" x14ac:dyDescent="0.25">
      <c r="A1254" s="191"/>
    </row>
    <row r="1255" spans="1:1" x14ac:dyDescent="0.25">
      <c r="A1255" s="191"/>
    </row>
    <row r="1256" spans="1:1" x14ac:dyDescent="0.25">
      <c r="A1256" s="191"/>
    </row>
    <row r="1257" spans="1:1" x14ac:dyDescent="0.25">
      <c r="A1257" s="191"/>
    </row>
    <row r="1258" spans="1:1" x14ac:dyDescent="0.25">
      <c r="A1258" s="191"/>
    </row>
    <row r="1259" spans="1:1" x14ac:dyDescent="0.25">
      <c r="A1259" s="191"/>
    </row>
    <row r="1260" spans="1:1" x14ac:dyDescent="0.25">
      <c r="A1260" s="191"/>
    </row>
    <row r="1261" spans="1:1" x14ac:dyDescent="0.25">
      <c r="A1261" s="194"/>
    </row>
    <row r="1262" spans="1:1" x14ac:dyDescent="0.25">
      <c r="A1262" s="191"/>
    </row>
    <row r="1263" spans="1:1" x14ac:dyDescent="0.25">
      <c r="A1263" s="191"/>
    </row>
    <row r="1264" spans="1:1" x14ac:dyDescent="0.25">
      <c r="A1264" s="191"/>
    </row>
    <row r="1265" spans="1:1" x14ac:dyDescent="0.25">
      <c r="A1265" s="191"/>
    </row>
    <row r="1266" spans="1:1" x14ac:dyDescent="0.25">
      <c r="A1266" s="191"/>
    </row>
    <row r="1267" spans="1:1" x14ac:dyDescent="0.25">
      <c r="A1267" s="191"/>
    </row>
    <row r="1268" spans="1:1" x14ac:dyDescent="0.25">
      <c r="A1268" s="191"/>
    </row>
    <row r="1269" spans="1:1" x14ac:dyDescent="0.25">
      <c r="A1269" s="191"/>
    </row>
    <row r="1270" spans="1:1" x14ac:dyDescent="0.25">
      <c r="A1270" s="191"/>
    </row>
    <row r="1271" spans="1:1" x14ac:dyDescent="0.25">
      <c r="A1271" s="191"/>
    </row>
    <row r="1272" spans="1:1" x14ac:dyDescent="0.25">
      <c r="A1272" s="191"/>
    </row>
    <row r="1273" spans="1:1" x14ac:dyDescent="0.25">
      <c r="A1273" s="191"/>
    </row>
    <row r="1274" spans="1:1" x14ac:dyDescent="0.25">
      <c r="A1274" s="191"/>
    </row>
    <row r="1275" spans="1:1" x14ac:dyDescent="0.25">
      <c r="A1275" s="191"/>
    </row>
    <row r="1276" spans="1:1" x14ac:dyDescent="0.25">
      <c r="A1276" s="191"/>
    </row>
    <row r="1277" spans="1:1" x14ac:dyDescent="0.25">
      <c r="A1277" s="191"/>
    </row>
    <row r="1278" spans="1:1" x14ac:dyDescent="0.25">
      <c r="A1278" s="191"/>
    </row>
    <row r="1279" spans="1:1" x14ac:dyDescent="0.25">
      <c r="A1279" s="191"/>
    </row>
    <row r="1280" spans="1:1" x14ac:dyDescent="0.25">
      <c r="A1280" s="191"/>
    </row>
    <row r="1281" spans="1:1" x14ac:dyDescent="0.25">
      <c r="A1281" s="191"/>
    </row>
    <row r="1282" spans="1:1" x14ac:dyDescent="0.25">
      <c r="A1282" s="191"/>
    </row>
    <row r="1283" spans="1:1" x14ac:dyDescent="0.25">
      <c r="A1283" s="191"/>
    </row>
    <row r="1284" spans="1:1" x14ac:dyDescent="0.25">
      <c r="A1284" s="191"/>
    </row>
    <row r="1285" spans="1:1" x14ac:dyDescent="0.25">
      <c r="A1285" s="191"/>
    </row>
    <row r="1286" spans="1:1" x14ac:dyDescent="0.25">
      <c r="A1286" s="191"/>
    </row>
    <row r="1287" spans="1:1" x14ac:dyDescent="0.25">
      <c r="A1287" s="191"/>
    </row>
    <row r="1288" spans="1:1" x14ac:dyDescent="0.25">
      <c r="A1288" s="191"/>
    </row>
    <row r="1289" spans="1:1" x14ac:dyDescent="0.25">
      <c r="A1289" s="191"/>
    </row>
    <row r="1290" spans="1:1" x14ac:dyDescent="0.25">
      <c r="A1290" s="191"/>
    </row>
    <row r="1291" spans="1:1" x14ac:dyDescent="0.25">
      <c r="A1291" s="191"/>
    </row>
    <row r="1292" spans="1:1" x14ac:dyDescent="0.25">
      <c r="A1292" s="191"/>
    </row>
    <row r="1293" spans="1:1" x14ac:dyDescent="0.25">
      <c r="A1293" s="191"/>
    </row>
    <row r="1294" spans="1:1" x14ac:dyDescent="0.25">
      <c r="A1294" s="191"/>
    </row>
    <row r="1295" spans="1:1" x14ac:dyDescent="0.25">
      <c r="A1295" s="191"/>
    </row>
    <row r="1296" spans="1:1" x14ac:dyDescent="0.25">
      <c r="A1296" s="191"/>
    </row>
    <row r="1297" spans="1:1" x14ac:dyDescent="0.25">
      <c r="A1297" s="191"/>
    </row>
    <row r="1298" spans="1:1" x14ac:dyDescent="0.25">
      <c r="A1298" s="191"/>
    </row>
    <row r="1299" spans="1:1" x14ac:dyDescent="0.25">
      <c r="A1299" s="191"/>
    </row>
    <row r="1300" spans="1:1" x14ac:dyDescent="0.25">
      <c r="A1300" s="191"/>
    </row>
    <row r="1301" spans="1:1" x14ac:dyDescent="0.25">
      <c r="A1301" s="191"/>
    </row>
    <row r="1302" spans="1:1" x14ac:dyDescent="0.25">
      <c r="A1302" s="191"/>
    </row>
    <row r="1303" spans="1:1" x14ac:dyDescent="0.25">
      <c r="A1303" s="191"/>
    </row>
    <row r="1304" spans="1:1" x14ac:dyDescent="0.25">
      <c r="A1304" s="191"/>
    </row>
    <row r="1305" spans="1:1" x14ac:dyDescent="0.25">
      <c r="A1305" s="191"/>
    </row>
    <row r="1306" spans="1:1" x14ac:dyDescent="0.25">
      <c r="A1306" s="191"/>
    </row>
    <row r="1307" spans="1:1" x14ac:dyDescent="0.25">
      <c r="A1307" s="191"/>
    </row>
    <row r="1308" spans="1:1" x14ac:dyDescent="0.25">
      <c r="A1308" s="191"/>
    </row>
    <row r="1309" spans="1:1" x14ac:dyDescent="0.25">
      <c r="A1309" s="191"/>
    </row>
    <row r="1310" spans="1:1" x14ac:dyDescent="0.25">
      <c r="A1310" s="191"/>
    </row>
    <row r="1311" spans="1:1" x14ac:dyDescent="0.25">
      <c r="A1311" s="191"/>
    </row>
    <row r="1312" spans="1:1" x14ac:dyDescent="0.25">
      <c r="A1312" s="191"/>
    </row>
    <row r="1313" spans="1:1" x14ac:dyDescent="0.25">
      <c r="A1313" s="191"/>
    </row>
    <row r="1314" spans="1:1" x14ac:dyDescent="0.25">
      <c r="A1314" s="191"/>
    </row>
    <row r="1315" spans="1:1" x14ac:dyDescent="0.25">
      <c r="A1315" s="191"/>
    </row>
    <row r="1316" spans="1:1" x14ac:dyDescent="0.25">
      <c r="A1316" s="191"/>
    </row>
    <row r="1317" spans="1:1" x14ac:dyDescent="0.25">
      <c r="A1317" s="194"/>
    </row>
    <row r="1318" spans="1:1" x14ac:dyDescent="0.25">
      <c r="A1318" s="191"/>
    </row>
    <row r="1319" spans="1:1" x14ac:dyDescent="0.25">
      <c r="A1319" s="191"/>
    </row>
    <row r="1320" spans="1:1" x14ac:dyDescent="0.25">
      <c r="A1320" s="191"/>
    </row>
    <row r="1321" spans="1:1" x14ac:dyDescent="0.25">
      <c r="A1321" s="191"/>
    </row>
    <row r="1322" spans="1:1" x14ac:dyDescent="0.25">
      <c r="A1322" s="191"/>
    </row>
    <row r="1323" spans="1:1" x14ac:dyDescent="0.25">
      <c r="A1323" s="191"/>
    </row>
    <row r="1324" spans="1:1" x14ac:dyDescent="0.25">
      <c r="A1324" s="191"/>
    </row>
    <row r="1325" spans="1:1" x14ac:dyDescent="0.25">
      <c r="A1325" s="191"/>
    </row>
    <row r="1326" spans="1:1" x14ac:dyDescent="0.25">
      <c r="A1326" s="191"/>
    </row>
    <row r="1327" spans="1:1" x14ac:dyDescent="0.25">
      <c r="A1327" s="191"/>
    </row>
    <row r="1328" spans="1:1" x14ac:dyDescent="0.25">
      <c r="A1328" s="191"/>
    </row>
    <row r="1329" spans="1:1" x14ac:dyDescent="0.25">
      <c r="A1329" s="194"/>
    </row>
    <row r="1330" spans="1:1" x14ac:dyDescent="0.25">
      <c r="A1330" s="191"/>
    </row>
    <row r="1331" spans="1:1" x14ac:dyDescent="0.25">
      <c r="A1331" s="191"/>
    </row>
    <row r="1332" spans="1:1" x14ac:dyDescent="0.25">
      <c r="A1332" s="191"/>
    </row>
    <row r="1333" spans="1:1" x14ac:dyDescent="0.25">
      <c r="A1333" s="191"/>
    </row>
    <row r="1334" spans="1:1" x14ac:dyDescent="0.25">
      <c r="A1334" s="191"/>
    </row>
    <row r="1335" spans="1:1" x14ac:dyDescent="0.25">
      <c r="A1335" s="191"/>
    </row>
    <row r="1336" spans="1:1" x14ac:dyDescent="0.25">
      <c r="A1336" s="191"/>
    </row>
    <row r="1337" spans="1:1" x14ac:dyDescent="0.25">
      <c r="A1337" s="191"/>
    </row>
    <row r="1338" spans="1:1" x14ac:dyDescent="0.25">
      <c r="A1338" s="191"/>
    </row>
    <row r="1339" spans="1:1" x14ac:dyDescent="0.25">
      <c r="A1339" s="191"/>
    </row>
    <row r="1340" spans="1:1" x14ac:dyDescent="0.25">
      <c r="A1340" s="191"/>
    </row>
    <row r="1341" spans="1:1" x14ac:dyDescent="0.25">
      <c r="A1341" s="191"/>
    </row>
    <row r="1342" spans="1:1" x14ac:dyDescent="0.25">
      <c r="A1342" s="191"/>
    </row>
    <row r="1343" spans="1:1" x14ac:dyDescent="0.25">
      <c r="A1343" s="191"/>
    </row>
    <row r="1344" spans="1:1" x14ac:dyDescent="0.25">
      <c r="A1344" s="191"/>
    </row>
    <row r="1345" spans="1:1" x14ac:dyDescent="0.25">
      <c r="A1345" s="191"/>
    </row>
    <row r="1346" spans="1:1" x14ac:dyDescent="0.25">
      <c r="A1346" s="191"/>
    </row>
    <row r="1347" spans="1:1" x14ac:dyDescent="0.25">
      <c r="A1347" s="191"/>
    </row>
    <row r="1348" spans="1:1" x14ac:dyDescent="0.25">
      <c r="A1348" s="191"/>
    </row>
    <row r="1349" spans="1:1" x14ac:dyDescent="0.25">
      <c r="A1349" s="191"/>
    </row>
    <row r="1350" spans="1:1" x14ac:dyDescent="0.25">
      <c r="A1350" s="191"/>
    </row>
    <row r="1351" spans="1:1" x14ac:dyDescent="0.25">
      <c r="A1351" s="191"/>
    </row>
    <row r="1352" spans="1:1" x14ac:dyDescent="0.25">
      <c r="A1352" s="194"/>
    </row>
    <row r="1353" spans="1:1" x14ac:dyDescent="0.25">
      <c r="A1353" s="191"/>
    </row>
    <row r="1354" spans="1:1" x14ac:dyDescent="0.25">
      <c r="A1354" s="191"/>
    </row>
    <row r="1355" spans="1:1" x14ac:dyDescent="0.25">
      <c r="A1355" s="191"/>
    </row>
    <row r="1356" spans="1:1" x14ac:dyDescent="0.25">
      <c r="A1356" s="191"/>
    </row>
    <row r="1357" spans="1:1" x14ac:dyDescent="0.25">
      <c r="A1357" s="191"/>
    </row>
    <row r="1358" spans="1:1" x14ac:dyDescent="0.25">
      <c r="A1358" s="194"/>
    </row>
    <row r="1359" spans="1:1" x14ac:dyDescent="0.25">
      <c r="A1359" s="191"/>
    </row>
    <row r="1360" spans="1:1" x14ac:dyDescent="0.25">
      <c r="A1360" s="191"/>
    </row>
    <row r="1361" spans="1:1" x14ac:dyDescent="0.25">
      <c r="A1361" s="191"/>
    </row>
    <row r="1362" spans="1:1" x14ac:dyDescent="0.25">
      <c r="A1362" s="191"/>
    </row>
    <row r="1363" spans="1:1" x14ac:dyDescent="0.25">
      <c r="A1363" s="194"/>
    </row>
    <row r="1364" spans="1:1" x14ac:dyDescent="0.25">
      <c r="A1364" s="191"/>
    </row>
    <row r="1365" spans="1:1" x14ac:dyDescent="0.25">
      <c r="A1365" s="191"/>
    </row>
    <row r="1366" spans="1:1" x14ac:dyDescent="0.25">
      <c r="A1366" s="191"/>
    </row>
    <row r="1367" spans="1:1" x14ac:dyDescent="0.25">
      <c r="A1367" s="191"/>
    </row>
    <row r="1368" spans="1:1" x14ac:dyDescent="0.25">
      <c r="A1368" s="191"/>
    </row>
    <row r="1369" spans="1:1" x14ac:dyDescent="0.25">
      <c r="A1369" s="191"/>
    </row>
    <row r="1370" spans="1:1" x14ac:dyDescent="0.25">
      <c r="A1370" s="191"/>
    </row>
    <row r="1371" spans="1:1" x14ac:dyDescent="0.25">
      <c r="A1371" s="191"/>
    </row>
    <row r="1372" spans="1:1" x14ac:dyDescent="0.25">
      <c r="A1372" s="191"/>
    </row>
    <row r="1373" spans="1:1" x14ac:dyDescent="0.25">
      <c r="A1373" s="191"/>
    </row>
    <row r="1374" spans="1:1" x14ac:dyDescent="0.25">
      <c r="A1374" s="191"/>
    </row>
    <row r="1375" spans="1:1" x14ac:dyDescent="0.25">
      <c r="A1375" s="191"/>
    </row>
    <row r="1376" spans="1:1" x14ac:dyDescent="0.25">
      <c r="A1376" s="191"/>
    </row>
    <row r="1377" spans="1:1" x14ac:dyDescent="0.25">
      <c r="A1377" s="191"/>
    </row>
    <row r="1378" spans="1:1" x14ac:dyDescent="0.25">
      <c r="A1378" s="191"/>
    </row>
    <row r="1379" spans="1:1" x14ac:dyDescent="0.25">
      <c r="A1379" s="194"/>
    </row>
    <row r="1380" spans="1:1" x14ac:dyDescent="0.25">
      <c r="A1380" s="191"/>
    </row>
    <row r="1381" spans="1:1" x14ac:dyDescent="0.25">
      <c r="A1381" s="191"/>
    </row>
    <row r="1382" spans="1:1" x14ac:dyDescent="0.25">
      <c r="A1382" s="191"/>
    </row>
    <row r="1383" spans="1:1" x14ac:dyDescent="0.25">
      <c r="A1383" s="191"/>
    </row>
    <row r="1384" spans="1:1" x14ac:dyDescent="0.25">
      <c r="A1384" s="194"/>
    </row>
    <row r="1385" spans="1:1" x14ac:dyDescent="0.25">
      <c r="A1385" s="191"/>
    </row>
    <row r="1386" spans="1:1" x14ac:dyDescent="0.25">
      <c r="A1386" s="191"/>
    </row>
    <row r="1387" spans="1:1" x14ac:dyDescent="0.25">
      <c r="A1387" s="191"/>
    </row>
    <row r="1388" spans="1:1" x14ac:dyDescent="0.25">
      <c r="A1388" s="191"/>
    </row>
    <row r="1389" spans="1:1" x14ac:dyDescent="0.25">
      <c r="A1389" s="191"/>
    </row>
    <row r="1390" spans="1:1" x14ac:dyDescent="0.25">
      <c r="A1390" s="191"/>
    </row>
    <row r="1391" spans="1:1" x14ac:dyDescent="0.25">
      <c r="A1391" s="191"/>
    </row>
    <row r="1392" spans="1:1" x14ac:dyDescent="0.25">
      <c r="A1392" s="191"/>
    </row>
    <row r="1393" spans="1:1" x14ac:dyDescent="0.25">
      <c r="A1393" s="191"/>
    </row>
    <row r="1394" spans="1:1" x14ac:dyDescent="0.25">
      <c r="A1394" s="191"/>
    </row>
    <row r="1395" spans="1:1" x14ac:dyDescent="0.25">
      <c r="A1395" s="191"/>
    </row>
    <row r="1396" spans="1:1" x14ac:dyDescent="0.25">
      <c r="A1396" s="191"/>
    </row>
    <row r="1397" spans="1:1" x14ac:dyDescent="0.25">
      <c r="A1397" s="191"/>
    </row>
    <row r="1398" spans="1:1" x14ac:dyDescent="0.25">
      <c r="A1398" s="191"/>
    </row>
    <row r="1399" spans="1:1" x14ac:dyDescent="0.25">
      <c r="A1399" s="194"/>
    </row>
    <row r="1400" spans="1:1" x14ac:dyDescent="0.25">
      <c r="A1400" s="191"/>
    </row>
    <row r="1401" spans="1:1" x14ac:dyDescent="0.25">
      <c r="A1401" s="191"/>
    </row>
    <row r="1402" spans="1:1" x14ac:dyDescent="0.25">
      <c r="A1402" s="191"/>
    </row>
    <row r="1403" spans="1:1" x14ac:dyDescent="0.25">
      <c r="A1403" s="191"/>
    </row>
    <row r="1404" spans="1:1" x14ac:dyDescent="0.25">
      <c r="A1404" s="194"/>
    </row>
    <row r="1405" spans="1:1" x14ac:dyDescent="0.25">
      <c r="A1405" s="191"/>
    </row>
    <row r="1406" spans="1:1" x14ac:dyDescent="0.25">
      <c r="A1406" s="191"/>
    </row>
    <row r="1407" spans="1:1" x14ac:dyDescent="0.25">
      <c r="A1407" s="191"/>
    </row>
    <row r="1408" spans="1:1" x14ac:dyDescent="0.25">
      <c r="A1408" s="191"/>
    </row>
    <row r="1409" spans="1:1" x14ac:dyDescent="0.25">
      <c r="A1409" s="191"/>
    </row>
    <row r="1410" spans="1:1" x14ac:dyDescent="0.25">
      <c r="A1410" s="191"/>
    </row>
    <row r="1411" spans="1:1" x14ac:dyDescent="0.25">
      <c r="A1411" s="191"/>
    </row>
    <row r="1412" spans="1:1" x14ac:dyDescent="0.25">
      <c r="A1412" s="191"/>
    </row>
    <row r="1413" spans="1:1" x14ac:dyDescent="0.25">
      <c r="A1413" s="191"/>
    </row>
    <row r="1414" spans="1:1" x14ac:dyDescent="0.25">
      <c r="A1414" s="191"/>
    </row>
    <row r="1415" spans="1:1" x14ac:dyDescent="0.25">
      <c r="A1415" s="191"/>
    </row>
    <row r="1416" spans="1:1" x14ac:dyDescent="0.25">
      <c r="A1416" s="191"/>
    </row>
    <row r="1417" spans="1:1" x14ac:dyDescent="0.25">
      <c r="A1417" s="191"/>
    </row>
    <row r="1418" spans="1:1" x14ac:dyDescent="0.25">
      <c r="A1418" s="191"/>
    </row>
    <row r="1419" spans="1:1" x14ac:dyDescent="0.25">
      <c r="A1419" s="191"/>
    </row>
    <row r="1420" spans="1:1" x14ac:dyDescent="0.25">
      <c r="A1420" s="191"/>
    </row>
    <row r="1421" spans="1:1" x14ac:dyDescent="0.25">
      <c r="A1421" s="191"/>
    </row>
    <row r="1422" spans="1:1" x14ac:dyDescent="0.25">
      <c r="A1422" s="191"/>
    </row>
    <row r="1423" spans="1:1" x14ac:dyDescent="0.25">
      <c r="A1423" s="191"/>
    </row>
    <row r="1424" spans="1:1" x14ac:dyDescent="0.25">
      <c r="A1424" s="194"/>
    </row>
    <row r="1425" spans="1:1" x14ac:dyDescent="0.25">
      <c r="A1425" s="191"/>
    </row>
    <row r="1426" spans="1:1" x14ac:dyDescent="0.25">
      <c r="A1426" s="191"/>
    </row>
    <row r="1427" spans="1:1" x14ac:dyDescent="0.25">
      <c r="A1427" s="191"/>
    </row>
    <row r="1428" spans="1:1" x14ac:dyDescent="0.25">
      <c r="A1428" s="191"/>
    </row>
    <row r="1429" spans="1:1" x14ac:dyDescent="0.25">
      <c r="A1429" s="191"/>
    </row>
    <row r="1430" spans="1:1" x14ac:dyDescent="0.25">
      <c r="A1430" s="191"/>
    </row>
    <row r="1431" spans="1:1" x14ac:dyDescent="0.25">
      <c r="A1431" s="191"/>
    </row>
    <row r="1432" spans="1:1" x14ac:dyDescent="0.25">
      <c r="A1432" s="191"/>
    </row>
    <row r="1433" spans="1:1" x14ac:dyDescent="0.25">
      <c r="A1433" s="191"/>
    </row>
    <row r="1434" spans="1:1" x14ac:dyDescent="0.25">
      <c r="A1434" s="191"/>
    </row>
    <row r="1435" spans="1:1" x14ac:dyDescent="0.25">
      <c r="A1435" s="191"/>
    </row>
    <row r="1436" spans="1:1" x14ac:dyDescent="0.25">
      <c r="A1436" s="191"/>
    </row>
    <row r="1437" spans="1:1" x14ac:dyDescent="0.25">
      <c r="A1437" s="191"/>
    </row>
    <row r="1438" spans="1:1" x14ac:dyDescent="0.25">
      <c r="A1438" s="191"/>
    </row>
    <row r="1439" spans="1:1" x14ac:dyDescent="0.25">
      <c r="A1439" s="191"/>
    </row>
    <row r="1440" spans="1:1" x14ac:dyDescent="0.25">
      <c r="A1440" s="191"/>
    </row>
    <row r="1441" spans="1:1" x14ac:dyDescent="0.25">
      <c r="A1441" s="191"/>
    </row>
    <row r="1442" spans="1:1" x14ac:dyDescent="0.25">
      <c r="A1442" s="191"/>
    </row>
    <row r="1443" spans="1:1" x14ac:dyDescent="0.25">
      <c r="A1443" s="191"/>
    </row>
    <row r="1444" spans="1:1" x14ac:dyDescent="0.25">
      <c r="A1444" s="194"/>
    </row>
    <row r="1445" spans="1:1" x14ac:dyDescent="0.25">
      <c r="A1445" s="191"/>
    </row>
    <row r="1446" spans="1:1" x14ac:dyDescent="0.25">
      <c r="A1446" s="191"/>
    </row>
    <row r="1447" spans="1:1" x14ac:dyDescent="0.25">
      <c r="A1447" s="191"/>
    </row>
    <row r="1448" spans="1:1" x14ac:dyDescent="0.25">
      <c r="A1448" s="191"/>
    </row>
    <row r="1449" spans="1:1" x14ac:dyDescent="0.25">
      <c r="A1449" s="194"/>
    </row>
    <row r="1450" spans="1:1" x14ac:dyDescent="0.25">
      <c r="A1450" s="191"/>
    </row>
    <row r="1451" spans="1:1" x14ac:dyDescent="0.25">
      <c r="A1451" s="191"/>
    </row>
    <row r="1452" spans="1:1" x14ac:dyDescent="0.25">
      <c r="A1452" s="191"/>
    </row>
    <row r="1453" spans="1:1" x14ac:dyDescent="0.25">
      <c r="A1453" s="191"/>
    </row>
    <row r="1454" spans="1:1" x14ac:dyDescent="0.25">
      <c r="A1454" s="194"/>
    </row>
    <row r="1455" spans="1:1" x14ac:dyDescent="0.25">
      <c r="A1455" s="191"/>
    </row>
    <row r="1456" spans="1:1" x14ac:dyDescent="0.25">
      <c r="A1456" s="191"/>
    </row>
    <row r="1457" spans="1:1" x14ac:dyDescent="0.25">
      <c r="A1457" s="191"/>
    </row>
    <row r="1458" spans="1:1" x14ac:dyDescent="0.25">
      <c r="A1458" s="191"/>
    </row>
    <row r="1459" spans="1:1" x14ac:dyDescent="0.25">
      <c r="A1459" s="191"/>
    </row>
    <row r="1460" spans="1:1" x14ac:dyDescent="0.25">
      <c r="A1460" s="191"/>
    </row>
    <row r="1461" spans="1:1" x14ac:dyDescent="0.25">
      <c r="A1461" s="191"/>
    </row>
    <row r="1462" spans="1:1" x14ac:dyDescent="0.25">
      <c r="A1462" s="191"/>
    </row>
    <row r="1463" spans="1:1" x14ac:dyDescent="0.25">
      <c r="A1463" s="191"/>
    </row>
    <row r="1464" spans="1:1" x14ac:dyDescent="0.25">
      <c r="A1464" s="191"/>
    </row>
    <row r="1465" spans="1:1" x14ac:dyDescent="0.25">
      <c r="A1465" s="191"/>
    </row>
    <row r="1466" spans="1:1" x14ac:dyDescent="0.25">
      <c r="A1466" s="191"/>
    </row>
    <row r="1467" spans="1:1" x14ac:dyDescent="0.25">
      <c r="A1467" s="191"/>
    </row>
    <row r="1468" spans="1:1" x14ac:dyDescent="0.25">
      <c r="A1468" s="191"/>
    </row>
    <row r="1469" spans="1:1" x14ac:dyDescent="0.25">
      <c r="A1469" s="191"/>
    </row>
    <row r="1470" spans="1:1" x14ac:dyDescent="0.25">
      <c r="A1470" s="191"/>
    </row>
    <row r="1471" spans="1:1" x14ac:dyDescent="0.25">
      <c r="A1471" s="191"/>
    </row>
    <row r="1472" spans="1:1" x14ac:dyDescent="0.25">
      <c r="A1472" s="191"/>
    </row>
    <row r="1473" spans="1:1" x14ac:dyDescent="0.25">
      <c r="A1473" s="191"/>
    </row>
    <row r="1474" spans="1:1" x14ac:dyDescent="0.25">
      <c r="A1474" s="191"/>
    </row>
    <row r="1475" spans="1:1" x14ac:dyDescent="0.25">
      <c r="A1475" s="191"/>
    </row>
    <row r="1476" spans="1:1" x14ac:dyDescent="0.25">
      <c r="A1476" s="191"/>
    </row>
    <row r="1477" spans="1:1" x14ac:dyDescent="0.25">
      <c r="A1477" s="191"/>
    </row>
    <row r="1478" spans="1:1" x14ac:dyDescent="0.25">
      <c r="A1478" s="191"/>
    </row>
    <row r="1479" spans="1:1" x14ac:dyDescent="0.25">
      <c r="A1479" s="191"/>
    </row>
    <row r="1480" spans="1:1" x14ac:dyDescent="0.25">
      <c r="A1480" s="191"/>
    </row>
    <row r="1481" spans="1:1" x14ac:dyDescent="0.25">
      <c r="A1481" s="191"/>
    </row>
    <row r="1482" spans="1:1" x14ac:dyDescent="0.25">
      <c r="A1482" s="191"/>
    </row>
    <row r="1483" spans="1:1" x14ac:dyDescent="0.25">
      <c r="A1483" s="191"/>
    </row>
    <row r="1484" spans="1:1" x14ac:dyDescent="0.25">
      <c r="A1484" s="191"/>
    </row>
    <row r="1485" spans="1:1" x14ac:dyDescent="0.25">
      <c r="A1485" s="191"/>
    </row>
    <row r="1486" spans="1:1" x14ac:dyDescent="0.25">
      <c r="A1486" s="191"/>
    </row>
    <row r="1487" spans="1:1" x14ac:dyDescent="0.25">
      <c r="A1487" s="191"/>
    </row>
    <row r="1488" spans="1:1" x14ac:dyDescent="0.25">
      <c r="A1488" s="191"/>
    </row>
    <row r="1489" spans="1:1" x14ac:dyDescent="0.25">
      <c r="A1489" s="191"/>
    </row>
    <row r="1490" spans="1:1" x14ac:dyDescent="0.25">
      <c r="A1490" s="191"/>
    </row>
    <row r="1491" spans="1:1" x14ac:dyDescent="0.25">
      <c r="A1491" s="191"/>
    </row>
    <row r="1492" spans="1:1" x14ac:dyDescent="0.25">
      <c r="A1492" s="191"/>
    </row>
    <row r="1493" spans="1:1" x14ac:dyDescent="0.25">
      <c r="A1493" s="191"/>
    </row>
    <row r="1494" spans="1:1" x14ac:dyDescent="0.25">
      <c r="A1494" s="191"/>
    </row>
    <row r="1495" spans="1:1" x14ac:dyDescent="0.25">
      <c r="A1495" s="191"/>
    </row>
    <row r="1496" spans="1:1" x14ac:dyDescent="0.25">
      <c r="A1496" s="191"/>
    </row>
    <row r="1497" spans="1:1" x14ac:dyDescent="0.25">
      <c r="A1497" s="191"/>
    </row>
    <row r="1498" spans="1:1" x14ac:dyDescent="0.25">
      <c r="A1498" s="191"/>
    </row>
    <row r="1499" spans="1:1" x14ac:dyDescent="0.25">
      <c r="A1499" s="191"/>
    </row>
    <row r="1500" spans="1:1" x14ac:dyDescent="0.25">
      <c r="A1500" s="191"/>
    </row>
  </sheetData>
  <autoFilter ref="A2:ZF747" xr:uid="{EBBB305D-C569-468B-B257-3F76C4A0BFC6}"/>
  <mergeCells count="1">
    <mergeCell ref="A1:A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88E0-FDD4-49C3-8057-BC1F6DA76935}">
  <dimension ref="A1:O32"/>
  <sheetViews>
    <sheetView tabSelected="1" workbookViewId="0">
      <selection sqref="A1:O32"/>
    </sheetView>
  </sheetViews>
  <sheetFormatPr defaultRowHeight="15" x14ac:dyDescent="0.25"/>
  <cols>
    <col min="1" max="1" width="11.140625" bestFit="1" customWidth="1"/>
    <col min="2" max="2" width="23.85546875" bestFit="1" customWidth="1"/>
    <col min="3" max="9" width="11.140625" bestFit="1" customWidth="1"/>
    <col min="10" max="15" width="12.140625" bestFit="1" customWidth="1"/>
  </cols>
  <sheetData>
    <row r="1" spans="1:15" x14ac:dyDescent="0.25">
      <c r="A1" t="s">
        <v>841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847</v>
      </c>
      <c r="H1" t="s">
        <v>848</v>
      </c>
      <c r="I1" t="s">
        <v>849</v>
      </c>
      <c r="J1" t="s">
        <v>850</v>
      </c>
      <c r="K1" t="s">
        <v>851</v>
      </c>
      <c r="L1" t="s">
        <v>852</v>
      </c>
      <c r="M1" t="s">
        <v>853</v>
      </c>
      <c r="N1" t="s">
        <v>854</v>
      </c>
      <c r="O1" t="s">
        <v>855</v>
      </c>
    </row>
    <row r="2" spans="1:15" x14ac:dyDescent="0.25">
      <c r="A2" t="s">
        <v>874</v>
      </c>
      <c r="B2" t="s">
        <v>172</v>
      </c>
      <c r="C2" t="s">
        <v>2871</v>
      </c>
      <c r="D2" t="s">
        <v>2872</v>
      </c>
      <c r="E2" t="s">
        <v>2873</v>
      </c>
      <c r="F2" t="s">
        <v>2874</v>
      </c>
      <c r="G2" t="s">
        <v>2875</v>
      </c>
      <c r="H2" t="s">
        <v>2876</v>
      </c>
      <c r="I2" t="s">
        <v>2877</v>
      </c>
      <c r="J2" t="s">
        <v>2878</v>
      </c>
      <c r="K2" t="s">
        <v>2879</v>
      </c>
      <c r="L2" t="s">
        <v>2880</v>
      </c>
      <c r="M2" t="s">
        <v>2881</v>
      </c>
      <c r="N2" t="s">
        <v>2882</v>
      </c>
      <c r="O2" t="s">
        <v>2883</v>
      </c>
    </row>
    <row r="3" spans="1:15" x14ac:dyDescent="0.25">
      <c r="A3" t="s">
        <v>901</v>
      </c>
      <c r="B3" t="s">
        <v>702</v>
      </c>
      <c r="C3" t="s">
        <v>2873</v>
      </c>
      <c r="D3" t="s">
        <v>2884</v>
      </c>
      <c r="E3" t="s">
        <v>1384</v>
      </c>
      <c r="F3" t="s">
        <v>1106</v>
      </c>
      <c r="G3" t="s">
        <v>1616</v>
      </c>
      <c r="H3" t="s">
        <v>3457</v>
      </c>
      <c r="I3" t="s">
        <v>3458</v>
      </c>
      <c r="J3" t="s">
        <v>3459</v>
      </c>
      <c r="K3" t="s">
        <v>3460</v>
      </c>
      <c r="L3" t="s">
        <v>3461</v>
      </c>
      <c r="M3" t="s">
        <v>3462</v>
      </c>
      <c r="N3" t="s">
        <v>3463</v>
      </c>
      <c r="O3" t="s">
        <v>3464</v>
      </c>
    </row>
    <row r="4" spans="1:15" x14ac:dyDescent="0.25">
      <c r="A4" t="s">
        <v>928</v>
      </c>
      <c r="B4" t="s">
        <v>519</v>
      </c>
      <c r="C4" t="s">
        <v>2892</v>
      </c>
      <c r="D4" t="s">
        <v>72</v>
      </c>
      <c r="E4" t="s">
        <v>1164</v>
      </c>
      <c r="F4" t="s">
        <v>1121</v>
      </c>
      <c r="G4" t="s">
        <v>3465</v>
      </c>
      <c r="H4" t="s">
        <v>3466</v>
      </c>
      <c r="I4" t="s">
        <v>3467</v>
      </c>
      <c r="J4" t="s">
        <v>3013</v>
      </c>
      <c r="K4" t="s">
        <v>3468</v>
      </c>
      <c r="L4" t="s">
        <v>3469</v>
      </c>
      <c r="M4" t="s">
        <v>3084</v>
      </c>
      <c r="N4" t="s">
        <v>3470</v>
      </c>
      <c r="O4" t="s">
        <v>3471</v>
      </c>
    </row>
    <row r="5" spans="1:15" x14ac:dyDescent="0.25">
      <c r="A5" t="s">
        <v>949</v>
      </c>
      <c r="B5" t="s">
        <v>551</v>
      </c>
      <c r="C5" t="s">
        <v>2873</v>
      </c>
      <c r="D5" t="s">
        <v>2927</v>
      </c>
      <c r="E5" t="s">
        <v>1015</v>
      </c>
      <c r="F5" t="s">
        <v>1202</v>
      </c>
      <c r="G5" t="s">
        <v>1771</v>
      </c>
      <c r="H5" t="s">
        <v>3472</v>
      </c>
      <c r="I5" t="s">
        <v>3473</v>
      </c>
      <c r="J5" t="s">
        <v>3474</v>
      </c>
      <c r="K5" t="s">
        <v>3475</v>
      </c>
      <c r="L5" t="s">
        <v>3476</v>
      </c>
      <c r="M5" t="s">
        <v>3477</v>
      </c>
      <c r="N5" t="s">
        <v>3478</v>
      </c>
      <c r="O5" t="s">
        <v>3479</v>
      </c>
    </row>
    <row r="6" spans="1:15" x14ac:dyDescent="0.25">
      <c r="A6" t="s">
        <v>972</v>
      </c>
      <c r="B6" t="s">
        <v>409</v>
      </c>
      <c r="C6" t="s">
        <v>2892</v>
      </c>
      <c r="D6" t="s">
        <v>2900</v>
      </c>
      <c r="E6" t="s">
        <v>950</v>
      </c>
      <c r="F6" t="s">
        <v>1212</v>
      </c>
      <c r="G6" t="s">
        <v>1407</v>
      </c>
      <c r="H6" t="s">
        <v>3480</v>
      </c>
      <c r="I6" t="s">
        <v>3481</v>
      </c>
      <c r="J6" t="s">
        <v>3482</v>
      </c>
      <c r="K6" t="s">
        <v>3483</v>
      </c>
      <c r="L6" t="s">
        <v>3484</v>
      </c>
      <c r="M6" t="s">
        <v>3485</v>
      </c>
      <c r="N6" t="s">
        <v>3486</v>
      </c>
      <c r="O6" t="s">
        <v>3487</v>
      </c>
    </row>
    <row r="7" spans="1:15" x14ac:dyDescent="0.25">
      <c r="A7" t="s">
        <v>1031</v>
      </c>
      <c r="B7" t="s">
        <v>789</v>
      </c>
      <c r="C7" t="s">
        <v>2873</v>
      </c>
      <c r="D7" t="s">
        <v>2927</v>
      </c>
      <c r="E7" t="s">
        <v>1176</v>
      </c>
      <c r="F7" t="s">
        <v>1175</v>
      </c>
      <c r="G7" t="s">
        <v>1692</v>
      </c>
      <c r="H7" t="s">
        <v>2909</v>
      </c>
      <c r="I7" t="s">
        <v>3488</v>
      </c>
      <c r="J7" t="s">
        <v>3489</v>
      </c>
      <c r="K7" t="s">
        <v>3490</v>
      </c>
      <c r="L7" t="s">
        <v>2932</v>
      </c>
      <c r="M7" t="s">
        <v>3491</v>
      </c>
      <c r="N7" t="s">
        <v>3492</v>
      </c>
      <c r="O7" t="s">
        <v>2932</v>
      </c>
    </row>
    <row r="8" spans="1:15" x14ac:dyDescent="0.25">
      <c r="A8" t="s">
        <v>1051</v>
      </c>
      <c r="B8" t="s">
        <v>687</v>
      </c>
      <c r="C8" t="s">
        <v>2892</v>
      </c>
      <c r="D8" t="s">
        <v>2900</v>
      </c>
      <c r="E8" t="s">
        <v>1015</v>
      </c>
      <c r="F8" t="s">
        <v>1222</v>
      </c>
      <c r="G8" t="s">
        <v>1325</v>
      </c>
      <c r="H8" t="s">
        <v>3493</v>
      </c>
      <c r="I8" t="s">
        <v>3494</v>
      </c>
      <c r="J8" t="s">
        <v>2933</v>
      </c>
      <c r="K8" t="s">
        <v>3495</v>
      </c>
      <c r="L8" t="s">
        <v>3496</v>
      </c>
      <c r="M8" t="s">
        <v>3497</v>
      </c>
      <c r="N8" t="s">
        <v>3498</v>
      </c>
      <c r="O8" t="s">
        <v>3499</v>
      </c>
    </row>
    <row r="9" spans="1:15" x14ac:dyDescent="0.25">
      <c r="A9" t="s">
        <v>1067</v>
      </c>
      <c r="B9" t="s">
        <v>658</v>
      </c>
      <c r="C9" t="s">
        <v>2873</v>
      </c>
      <c r="D9" t="s">
        <v>2884</v>
      </c>
      <c r="E9" t="s">
        <v>1015</v>
      </c>
      <c r="F9" t="s">
        <v>1232</v>
      </c>
      <c r="G9" t="s">
        <v>1542</v>
      </c>
      <c r="H9" t="s">
        <v>3500</v>
      </c>
      <c r="I9" t="s">
        <v>3501</v>
      </c>
      <c r="J9" t="s">
        <v>3502</v>
      </c>
      <c r="K9" t="s">
        <v>3503</v>
      </c>
      <c r="L9" t="s">
        <v>3504</v>
      </c>
      <c r="M9" t="s">
        <v>3505</v>
      </c>
      <c r="N9" t="s">
        <v>3506</v>
      </c>
      <c r="O9" t="s">
        <v>2955</v>
      </c>
    </row>
    <row r="10" spans="1:15" x14ac:dyDescent="0.25">
      <c r="A10" t="s">
        <v>1083</v>
      </c>
      <c r="B10" t="s">
        <v>503</v>
      </c>
      <c r="C10" t="s">
        <v>2873</v>
      </c>
      <c r="D10" t="s">
        <v>2884</v>
      </c>
      <c r="E10" t="s">
        <v>1176</v>
      </c>
      <c r="F10" t="s">
        <v>1202</v>
      </c>
      <c r="G10" t="s">
        <v>2466</v>
      </c>
      <c r="H10" t="s">
        <v>2931</v>
      </c>
      <c r="I10" t="s">
        <v>3507</v>
      </c>
      <c r="J10" t="s">
        <v>3508</v>
      </c>
      <c r="K10" t="s">
        <v>3509</v>
      </c>
      <c r="L10" t="s">
        <v>3510</v>
      </c>
      <c r="M10" t="s">
        <v>3511</v>
      </c>
      <c r="N10" t="s">
        <v>3512</v>
      </c>
      <c r="O10" t="s">
        <v>3510</v>
      </c>
    </row>
    <row r="11" spans="1:15" x14ac:dyDescent="0.25">
      <c r="A11" t="s">
        <v>1096</v>
      </c>
      <c r="B11" t="s">
        <v>535</v>
      </c>
      <c r="C11" t="s">
        <v>2873</v>
      </c>
      <c r="D11" t="s">
        <v>2918</v>
      </c>
      <c r="E11" t="s">
        <v>902</v>
      </c>
      <c r="F11" t="s">
        <v>995</v>
      </c>
      <c r="G11" t="s">
        <v>1143</v>
      </c>
      <c r="H11" t="s">
        <v>3513</v>
      </c>
      <c r="I11" t="s">
        <v>3514</v>
      </c>
      <c r="J11" t="s">
        <v>3515</v>
      </c>
      <c r="K11" t="s">
        <v>3516</v>
      </c>
      <c r="L11" t="s">
        <v>3517</v>
      </c>
      <c r="M11" t="s">
        <v>3518</v>
      </c>
      <c r="N11" t="s">
        <v>3519</v>
      </c>
      <c r="O11" t="s">
        <v>3520</v>
      </c>
    </row>
    <row r="12" spans="1:15" x14ac:dyDescent="0.25">
      <c r="A12" t="s">
        <v>1106</v>
      </c>
      <c r="B12" t="s">
        <v>743</v>
      </c>
      <c r="C12" t="s">
        <v>2873</v>
      </c>
      <c r="D12" t="s">
        <v>2918</v>
      </c>
      <c r="E12" t="s">
        <v>1015</v>
      </c>
      <c r="F12" t="s">
        <v>1232</v>
      </c>
      <c r="G12" t="s">
        <v>1542</v>
      </c>
      <c r="H12" t="s">
        <v>3521</v>
      </c>
      <c r="I12" t="s">
        <v>3518</v>
      </c>
      <c r="J12" t="s">
        <v>3522</v>
      </c>
      <c r="K12" t="s">
        <v>3523</v>
      </c>
      <c r="L12" t="s">
        <v>3524</v>
      </c>
      <c r="M12" t="s">
        <v>3525</v>
      </c>
      <c r="N12" t="s">
        <v>3526</v>
      </c>
      <c r="O12" t="s">
        <v>3527</v>
      </c>
    </row>
    <row r="13" spans="1:15" x14ac:dyDescent="0.25">
      <c r="A13" t="s">
        <v>1121</v>
      </c>
      <c r="B13" t="s">
        <v>475</v>
      </c>
      <c r="C13" t="s">
        <v>2892</v>
      </c>
      <c r="D13" t="s">
        <v>72</v>
      </c>
      <c r="E13" t="s">
        <v>1015</v>
      </c>
      <c r="F13" t="s">
        <v>1238</v>
      </c>
      <c r="G13" t="s">
        <v>1494</v>
      </c>
      <c r="H13" t="s">
        <v>3528</v>
      </c>
      <c r="I13" t="s">
        <v>3529</v>
      </c>
      <c r="J13" t="s">
        <v>3530</v>
      </c>
      <c r="K13" t="s">
        <v>3521</v>
      </c>
      <c r="L13" t="s">
        <v>3531</v>
      </c>
      <c r="M13" t="s">
        <v>3532</v>
      </c>
      <c r="N13" t="s">
        <v>3020</v>
      </c>
      <c r="O13" t="s">
        <v>3533</v>
      </c>
    </row>
    <row r="14" spans="1:15" x14ac:dyDescent="0.25">
      <c r="A14" t="s">
        <v>1137</v>
      </c>
      <c r="B14" t="s">
        <v>626</v>
      </c>
      <c r="C14" t="s">
        <v>2892</v>
      </c>
      <c r="D14" t="s">
        <v>3002</v>
      </c>
      <c r="E14" t="s">
        <v>973</v>
      </c>
      <c r="F14" t="s">
        <v>995</v>
      </c>
      <c r="G14" t="s">
        <v>1615</v>
      </c>
      <c r="H14" t="s">
        <v>3534</v>
      </c>
      <c r="I14" t="s">
        <v>2957</v>
      </c>
      <c r="J14" t="s">
        <v>3522</v>
      </c>
      <c r="K14" t="s">
        <v>3535</v>
      </c>
      <c r="L14" t="s">
        <v>3524</v>
      </c>
      <c r="M14" t="s">
        <v>3536</v>
      </c>
      <c r="N14" t="s">
        <v>3537</v>
      </c>
      <c r="O14" t="s">
        <v>3538</v>
      </c>
    </row>
    <row r="15" spans="1:15" x14ac:dyDescent="0.25">
      <c r="A15" t="s">
        <v>1147</v>
      </c>
      <c r="B15" t="s">
        <v>802</v>
      </c>
      <c r="C15" t="s">
        <v>2892</v>
      </c>
      <c r="D15" t="s">
        <v>2900</v>
      </c>
      <c r="E15" t="s">
        <v>950</v>
      </c>
      <c r="F15" t="s">
        <v>1232</v>
      </c>
      <c r="G15" t="s">
        <v>1524</v>
      </c>
      <c r="H15" t="s">
        <v>3539</v>
      </c>
      <c r="I15" t="s">
        <v>3540</v>
      </c>
      <c r="J15" t="s">
        <v>3541</v>
      </c>
      <c r="K15" t="s">
        <v>3542</v>
      </c>
      <c r="L15" t="s">
        <v>3534</v>
      </c>
      <c r="M15" t="s">
        <v>3543</v>
      </c>
      <c r="N15" t="s">
        <v>3526</v>
      </c>
      <c r="O15" t="s">
        <v>3544</v>
      </c>
    </row>
    <row r="16" spans="1:15" x14ac:dyDescent="0.25">
      <c r="A16" t="s">
        <v>1162</v>
      </c>
      <c r="B16" t="s">
        <v>447</v>
      </c>
      <c r="C16" t="s">
        <v>2892</v>
      </c>
      <c r="D16" t="s">
        <v>3002</v>
      </c>
      <c r="E16" t="s">
        <v>1232</v>
      </c>
      <c r="F16" t="s">
        <v>1015</v>
      </c>
      <c r="G16" t="s">
        <v>2242</v>
      </c>
      <c r="H16" t="s">
        <v>3545</v>
      </c>
      <c r="I16" t="s">
        <v>3546</v>
      </c>
      <c r="J16" t="s">
        <v>3547</v>
      </c>
      <c r="K16" t="s">
        <v>3548</v>
      </c>
      <c r="L16" t="s">
        <v>3549</v>
      </c>
      <c r="M16" t="s">
        <v>3550</v>
      </c>
      <c r="N16" t="s">
        <v>2982</v>
      </c>
      <c r="O16" t="s">
        <v>3551</v>
      </c>
    </row>
    <row r="17" spans="1:15" x14ac:dyDescent="0.25">
      <c r="A17" t="s">
        <v>1175</v>
      </c>
      <c r="B17" t="s">
        <v>730</v>
      </c>
      <c r="C17" t="s">
        <v>2892</v>
      </c>
      <c r="D17" t="s">
        <v>2900</v>
      </c>
      <c r="E17" t="s">
        <v>973</v>
      </c>
      <c r="F17" t="s">
        <v>1245</v>
      </c>
      <c r="G17" t="s">
        <v>1396</v>
      </c>
      <c r="H17" t="s">
        <v>3552</v>
      </c>
      <c r="I17" t="s">
        <v>3514</v>
      </c>
      <c r="J17" t="s">
        <v>3553</v>
      </c>
      <c r="K17" t="s">
        <v>3554</v>
      </c>
      <c r="L17" t="s">
        <v>3003</v>
      </c>
      <c r="M17" t="s">
        <v>3555</v>
      </c>
      <c r="N17" t="s">
        <v>2963</v>
      </c>
      <c r="O17" t="s">
        <v>3556</v>
      </c>
    </row>
    <row r="18" spans="1:15" x14ac:dyDescent="0.25">
      <c r="A18" t="s">
        <v>1202</v>
      </c>
      <c r="B18" t="s">
        <v>2917</v>
      </c>
      <c r="C18" t="s">
        <v>2873</v>
      </c>
      <c r="D18" t="s">
        <v>2918</v>
      </c>
      <c r="E18" t="s">
        <v>995</v>
      </c>
      <c r="F18" t="s">
        <v>1084</v>
      </c>
      <c r="G18" t="s">
        <v>1157</v>
      </c>
      <c r="H18" t="s">
        <v>3557</v>
      </c>
      <c r="I18" t="s">
        <v>3558</v>
      </c>
      <c r="J18" t="s">
        <v>3559</v>
      </c>
      <c r="K18" t="s">
        <v>3560</v>
      </c>
      <c r="L18" t="s">
        <v>3561</v>
      </c>
      <c r="M18" t="s">
        <v>3562</v>
      </c>
      <c r="N18" t="s">
        <v>3563</v>
      </c>
      <c r="O18" t="s">
        <v>3564</v>
      </c>
    </row>
    <row r="19" spans="1:15" x14ac:dyDescent="0.25">
      <c r="A19" t="s">
        <v>1212</v>
      </c>
      <c r="B19" t="s">
        <v>715</v>
      </c>
      <c r="C19" t="s">
        <v>2892</v>
      </c>
      <c r="D19" t="s">
        <v>3002</v>
      </c>
      <c r="E19" t="s">
        <v>1032</v>
      </c>
      <c r="F19" t="s">
        <v>995</v>
      </c>
      <c r="G19" t="s">
        <v>1091</v>
      </c>
      <c r="H19" t="s">
        <v>3565</v>
      </c>
      <c r="I19" t="s">
        <v>3566</v>
      </c>
      <c r="J19" t="s">
        <v>3567</v>
      </c>
      <c r="K19" t="s">
        <v>3568</v>
      </c>
      <c r="L19" t="s">
        <v>3569</v>
      </c>
      <c r="M19" t="s">
        <v>3570</v>
      </c>
      <c r="N19" t="s">
        <v>3571</v>
      </c>
      <c r="O19" t="s">
        <v>3572</v>
      </c>
    </row>
    <row r="20" spans="1:15" x14ac:dyDescent="0.25">
      <c r="A20" t="s">
        <v>1222</v>
      </c>
      <c r="B20" t="s">
        <v>598</v>
      </c>
      <c r="C20" t="s">
        <v>2873</v>
      </c>
      <c r="D20" t="s">
        <v>2918</v>
      </c>
      <c r="E20" t="s">
        <v>1015</v>
      </c>
      <c r="F20" t="s">
        <v>1212</v>
      </c>
      <c r="G20" t="s">
        <v>1814</v>
      </c>
      <c r="H20" t="s">
        <v>3573</v>
      </c>
      <c r="I20" t="s">
        <v>3574</v>
      </c>
      <c r="J20" t="s">
        <v>3575</v>
      </c>
      <c r="K20" t="s">
        <v>3576</v>
      </c>
      <c r="L20" t="s">
        <v>3577</v>
      </c>
      <c r="M20" t="s">
        <v>3578</v>
      </c>
      <c r="N20" t="s">
        <v>3579</v>
      </c>
      <c r="O20" t="s">
        <v>3580</v>
      </c>
    </row>
    <row r="21" spans="1:15" x14ac:dyDescent="0.25">
      <c r="A21" t="s">
        <v>1232</v>
      </c>
      <c r="B21" t="s">
        <v>383</v>
      </c>
      <c r="C21" t="s">
        <v>2892</v>
      </c>
      <c r="D21" t="s">
        <v>3002</v>
      </c>
      <c r="E21" t="s">
        <v>1032</v>
      </c>
      <c r="F21" t="s">
        <v>973</v>
      </c>
      <c r="G21" t="s">
        <v>1795</v>
      </c>
      <c r="H21" t="s">
        <v>3581</v>
      </c>
      <c r="I21" t="s">
        <v>3582</v>
      </c>
      <c r="J21" t="s">
        <v>3583</v>
      </c>
      <c r="K21" t="s">
        <v>3584</v>
      </c>
      <c r="L21" t="s">
        <v>3585</v>
      </c>
      <c r="M21" t="s">
        <v>3043</v>
      </c>
      <c r="N21" t="s">
        <v>3024</v>
      </c>
      <c r="O21" t="s">
        <v>3586</v>
      </c>
    </row>
    <row r="22" spans="1:15" x14ac:dyDescent="0.25">
      <c r="A22" t="s">
        <v>1238</v>
      </c>
      <c r="B22" t="s">
        <v>759</v>
      </c>
      <c r="C22" t="s">
        <v>2873</v>
      </c>
      <c r="D22" t="s">
        <v>2884</v>
      </c>
      <c r="E22" t="s">
        <v>1032</v>
      </c>
      <c r="F22" t="s">
        <v>973</v>
      </c>
      <c r="G22" t="s">
        <v>1795</v>
      </c>
      <c r="H22" t="s">
        <v>3587</v>
      </c>
      <c r="I22" t="s">
        <v>3588</v>
      </c>
      <c r="J22" t="s">
        <v>3589</v>
      </c>
      <c r="K22" t="s">
        <v>3590</v>
      </c>
      <c r="L22" t="s">
        <v>3591</v>
      </c>
      <c r="M22" t="s">
        <v>3592</v>
      </c>
      <c r="N22" t="s">
        <v>3593</v>
      </c>
      <c r="O22" t="s">
        <v>3594</v>
      </c>
    </row>
    <row r="23" spans="1:15" x14ac:dyDescent="0.25">
      <c r="A23" t="s">
        <v>1245</v>
      </c>
      <c r="B23" t="s">
        <v>612</v>
      </c>
      <c r="C23" t="s">
        <v>2873</v>
      </c>
      <c r="D23" t="s">
        <v>2927</v>
      </c>
      <c r="E23" t="s">
        <v>1222</v>
      </c>
      <c r="F23" t="s">
        <v>902</v>
      </c>
      <c r="G23" t="s">
        <v>1564</v>
      </c>
      <c r="H23" t="s">
        <v>3033</v>
      </c>
      <c r="I23" t="s">
        <v>2941</v>
      </c>
      <c r="J23" t="s">
        <v>3595</v>
      </c>
      <c r="K23" t="s">
        <v>3596</v>
      </c>
      <c r="L23" t="s">
        <v>3597</v>
      </c>
      <c r="M23" t="s">
        <v>3598</v>
      </c>
      <c r="N23" t="s">
        <v>3599</v>
      </c>
      <c r="O23" t="s">
        <v>3600</v>
      </c>
    </row>
    <row r="24" spans="1:15" x14ac:dyDescent="0.25">
      <c r="A24" t="s">
        <v>995</v>
      </c>
      <c r="B24" t="s">
        <v>459</v>
      </c>
      <c r="C24" t="s">
        <v>2892</v>
      </c>
      <c r="D24" t="s">
        <v>72</v>
      </c>
      <c r="E24" t="s">
        <v>1032</v>
      </c>
      <c r="F24" t="s">
        <v>1032</v>
      </c>
      <c r="G24" t="s">
        <v>1131</v>
      </c>
      <c r="H24" t="s">
        <v>3601</v>
      </c>
      <c r="I24" t="s">
        <v>3555</v>
      </c>
      <c r="J24" t="s">
        <v>3602</v>
      </c>
      <c r="K24" t="s">
        <v>3603</v>
      </c>
      <c r="L24" t="s">
        <v>3604</v>
      </c>
      <c r="M24" t="s">
        <v>3605</v>
      </c>
      <c r="N24" t="s">
        <v>3578</v>
      </c>
      <c r="O24" t="s">
        <v>3606</v>
      </c>
    </row>
    <row r="25" spans="1:15" x14ac:dyDescent="0.25">
      <c r="A25" t="s">
        <v>1032</v>
      </c>
      <c r="B25" t="s">
        <v>490</v>
      </c>
      <c r="C25" t="s">
        <v>2873</v>
      </c>
      <c r="D25" t="s">
        <v>2927</v>
      </c>
      <c r="E25" t="s">
        <v>1232</v>
      </c>
      <c r="F25" t="s">
        <v>1293</v>
      </c>
      <c r="G25" t="s">
        <v>1767</v>
      </c>
      <c r="H25" t="s">
        <v>3607</v>
      </c>
      <c r="I25" t="s">
        <v>3608</v>
      </c>
      <c r="J25" t="s">
        <v>3609</v>
      </c>
      <c r="K25" t="s">
        <v>3610</v>
      </c>
      <c r="L25" t="s">
        <v>3611</v>
      </c>
      <c r="M25" t="s">
        <v>3612</v>
      </c>
      <c r="N25" t="s">
        <v>2975</v>
      </c>
      <c r="O25" t="s">
        <v>3613</v>
      </c>
    </row>
    <row r="26" spans="1:15" x14ac:dyDescent="0.25">
      <c r="A26" t="s">
        <v>1084</v>
      </c>
      <c r="B26" t="s">
        <v>642</v>
      </c>
      <c r="C26" t="s">
        <v>2892</v>
      </c>
      <c r="D26" t="s">
        <v>72</v>
      </c>
      <c r="E26" t="s">
        <v>1222</v>
      </c>
      <c r="F26" t="s">
        <v>1293</v>
      </c>
      <c r="G26" t="s">
        <v>1719</v>
      </c>
      <c r="H26" t="s">
        <v>3614</v>
      </c>
      <c r="I26" t="s">
        <v>3615</v>
      </c>
      <c r="J26" t="s">
        <v>3616</v>
      </c>
      <c r="K26" t="s">
        <v>3617</v>
      </c>
      <c r="L26" t="s">
        <v>3618</v>
      </c>
      <c r="M26" t="s">
        <v>3478</v>
      </c>
      <c r="N26" t="s">
        <v>3619</v>
      </c>
      <c r="O26" t="s">
        <v>3620</v>
      </c>
    </row>
    <row r="27" spans="1:15" x14ac:dyDescent="0.25">
      <c r="A27" t="s">
        <v>973</v>
      </c>
      <c r="B27" t="s">
        <v>674</v>
      </c>
      <c r="C27" t="s">
        <v>2873</v>
      </c>
      <c r="D27" t="s">
        <v>2927</v>
      </c>
      <c r="E27" t="s">
        <v>1137</v>
      </c>
      <c r="F27" t="s">
        <v>1376</v>
      </c>
      <c r="G27" t="s">
        <v>1948</v>
      </c>
      <c r="H27" t="s">
        <v>3621</v>
      </c>
      <c r="I27" t="s">
        <v>3622</v>
      </c>
      <c r="J27" t="s">
        <v>3623</v>
      </c>
      <c r="K27" t="s">
        <v>3624</v>
      </c>
      <c r="L27" t="s">
        <v>3625</v>
      </c>
      <c r="M27" t="s">
        <v>3626</v>
      </c>
      <c r="N27" t="s">
        <v>3627</v>
      </c>
      <c r="O27" t="s">
        <v>3628</v>
      </c>
    </row>
    <row r="28" spans="1:15" x14ac:dyDescent="0.25">
      <c r="A28" t="s">
        <v>902</v>
      </c>
      <c r="B28" t="s">
        <v>435</v>
      </c>
      <c r="C28" t="s">
        <v>2892</v>
      </c>
      <c r="D28" t="s">
        <v>2900</v>
      </c>
      <c r="E28" t="s">
        <v>1137</v>
      </c>
      <c r="F28" t="s">
        <v>1355</v>
      </c>
      <c r="G28" t="s">
        <v>2205</v>
      </c>
      <c r="H28" t="s">
        <v>3629</v>
      </c>
      <c r="I28" t="s">
        <v>3630</v>
      </c>
      <c r="J28" t="s">
        <v>3631</v>
      </c>
      <c r="K28" t="s">
        <v>3632</v>
      </c>
      <c r="L28" t="s">
        <v>3633</v>
      </c>
      <c r="M28" t="s">
        <v>3634</v>
      </c>
      <c r="N28" t="s">
        <v>3635</v>
      </c>
      <c r="O28" t="s">
        <v>3636</v>
      </c>
    </row>
    <row r="29" spans="1:15" x14ac:dyDescent="0.25">
      <c r="A29" t="s">
        <v>1293</v>
      </c>
      <c r="B29" t="s">
        <v>567</v>
      </c>
      <c r="C29" t="s">
        <v>2892</v>
      </c>
      <c r="D29" t="s">
        <v>72</v>
      </c>
      <c r="E29" t="s">
        <v>1121</v>
      </c>
      <c r="F29" t="s">
        <v>1068</v>
      </c>
      <c r="G29" t="s">
        <v>2061</v>
      </c>
      <c r="H29" t="s">
        <v>3637</v>
      </c>
      <c r="I29" t="s">
        <v>3638</v>
      </c>
      <c r="J29" t="s">
        <v>3639</v>
      </c>
      <c r="K29" t="s">
        <v>3640</v>
      </c>
      <c r="L29" t="s">
        <v>3641</v>
      </c>
      <c r="M29" t="s">
        <v>3642</v>
      </c>
      <c r="N29" t="s">
        <v>3643</v>
      </c>
      <c r="O29" t="s">
        <v>3644</v>
      </c>
    </row>
    <row r="30" spans="1:15" x14ac:dyDescent="0.25">
      <c r="A30" t="s">
        <v>1015</v>
      </c>
      <c r="B30" t="s">
        <v>815</v>
      </c>
      <c r="C30" t="s">
        <v>2873</v>
      </c>
      <c r="D30" t="s">
        <v>2884</v>
      </c>
      <c r="E30" t="s">
        <v>1175</v>
      </c>
      <c r="F30" t="s">
        <v>1204</v>
      </c>
      <c r="G30" t="s">
        <v>2383</v>
      </c>
      <c r="H30" t="s">
        <v>3645</v>
      </c>
      <c r="I30" t="s">
        <v>3646</v>
      </c>
      <c r="J30" t="s">
        <v>3647</v>
      </c>
      <c r="K30" t="s">
        <v>3648</v>
      </c>
      <c r="L30" t="s">
        <v>3649</v>
      </c>
      <c r="M30" t="s">
        <v>2945</v>
      </c>
      <c r="N30" t="s">
        <v>3650</v>
      </c>
      <c r="O30" t="s">
        <v>3651</v>
      </c>
    </row>
    <row r="31" spans="1:15" x14ac:dyDescent="0.25">
      <c r="A31" t="s">
        <v>950</v>
      </c>
      <c r="B31" t="s">
        <v>775</v>
      </c>
      <c r="C31" t="s">
        <v>2873</v>
      </c>
      <c r="D31" t="s">
        <v>2918</v>
      </c>
      <c r="E31" t="s">
        <v>1137</v>
      </c>
      <c r="F31" t="s">
        <v>1068</v>
      </c>
      <c r="G31" t="s">
        <v>2152</v>
      </c>
      <c r="H31" t="s">
        <v>3652</v>
      </c>
      <c r="I31" t="s">
        <v>3653</v>
      </c>
      <c r="J31" t="s">
        <v>3654</v>
      </c>
      <c r="K31" t="s">
        <v>3655</v>
      </c>
      <c r="L31" t="s">
        <v>3656</v>
      </c>
      <c r="M31" t="s">
        <v>3657</v>
      </c>
      <c r="N31" t="s">
        <v>3104</v>
      </c>
      <c r="O31" t="s">
        <v>3658</v>
      </c>
    </row>
    <row r="32" spans="1:15" x14ac:dyDescent="0.25">
      <c r="A32" t="s">
        <v>929</v>
      </c>
      <c r="B32" t="s">
        <v>3114</v>
      </c>
      <c r="C32" t="s">
        <v>2892</v>
      </c>
      <c r="D32" t="s">
        <v>3002</v>
      </c>
      <c r="E32" t="s">
        <v>1121</v>
      </c>
      <c r="F32" t="s">
        <v>1164</v>
      </c>
      <c r="G32" t="s">
        <v>2193</v>
      </c>
      <c r="H32" t="s">
        <v>3659</v>
      </c>
      <c r="I32" t="s">
        <v>3660</v>
      </c>
      <c r="J32" t="s">
        <v>3661</v>
      </c>
      <c r="K32" t="s">
        <v>3662</v>
      </c>
      <c r="L32" t="s">
        <v>3663</v>
      </c>
      <c r="M32" t="s">
        <v>3664</v>
      </c>
      <c r="N32" t="s">
        <v>3665</v>
      </c>
      <c r="O32" t="s">
        <v>3666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4E76-4CB5-495A-AA82-F75536CABB0A}">
  <dimension ref="A1:O32"/>
  <sheetViews>
    <sheetView workbookViewId="0">
      <selection activeCell="B3" sqref="B3"/>
    </sheetView>
  </sheetViews>
  <sheetFormatPr defaultRowHeight="15" x14ac:dyDescent="0.25"/>
  <cols>
    <col min="1" max="1" width="3.140625" bestFit="1" customWidth="1"/>
    <col min="2" max="2" width="23.85546875" bestFit="1" customWidth="1"/>
  </cols>
  <sheetData>
    <row r="1" spans="1:15" ht="31.5" x14ac:dyDescent="0.5">
      <c r="A1" s="199" t="s">
        <v>3124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5" s="5" customFormat="1" x14ac:dyDescent="0.25">
      <c r="A2" s="135" t="s">
        <v>874</v>
      </c>
      <c r="B2" s="136" t="s">
        <v>172</v>
      </c>
      <c r="C2" s="136" t="s">
        <v>2871</v>
      </c>
      <c r="D2" s="136" t="s">
        <v>2872</v>
      </c>
      <c r="E2" s="136" t="s">
        <v>2873</v>
      </c>
      <c r="F2" s="136" t="s">
        <v>2874</v>
      </c>
      <c r="G2" s="136" t="s">
        <v>2875</v>
      </c>
      <c r="H2" s="136" t="s">
        <v>2876</v>
      </c>
      <c r="I2" s="136" t="s">
        <v>2877</v>
      </c>
      <c r="J2" s="136" t="s">
        <v>2878</v>
      </c>
      <c r="K2" s="136" t="s">
        <v>2879</v>
      </c>
      <c r="L2" s="136" t="s">
        <v>2880</v>
      </c>
      <c r="M2" s="136" t="s">
        <v>2881</v>
      </c>
      <c r="N2" s="136" t="s">
        <v>2882</v>
      </c>
      <c r="O2" s="137" t="s">
        <v>2883</v>
      </c>
    </row>
    <row r="3" spans="1:15" x14ac:dyDescent="0.25">
      <c r="A3" s="129" t="s">
        <v>901</v>
      </c>
      <c r="B3" s="130" t="s">
        <v>702</v>
      </c>
      <c r="C3" s="130" t="s">
        <v>2873</v>
      </c>
      <c r="D3" s="130" t="s">
        <v>2884</v>
      </c>
      <c r="E3" s="130" t="s">
        <v>1431</v>
      </c>
      <c r="F3" s="130" t="s">
        <v>1162</v>
      </c>
      <c r="G3" s="130" t="s">
        <v>1243</v>
      </c>
      <c r="H3" s="130" t="s">
        <v>2885</v>
      </c>
      <c r="I3" s="130" t="s">
        <v>2886</v>
      </c>
      <c r="J3" s="130" t="s">
        <v>2887</v>
      </c>
      <c r="K3" s="130" t="s">
        <v>2888</v>
      </c>
      <c r="L3" s="130" t="s">
        <v>2889</v>
      </c>
      <c r="M3" s="130" t="s">
        <v>2890</v>
      </c>
      <c r="N3" s="130" t="s">
        <v>2887</v>
      </c>
      <c r="O3" s="131" t="s">
        <v>2891</v>
      </c>
    </row>
    <row r="4" spans="1:15" x14ac:dyDescent="0.25">
      <c r="A4" s="132" t="s">
        <v>928</v>
      </c>
      <c r="B4" s="133" t="s">
        <v>475</v>
      </c>
      <c r="C4" s="133" t="s">
        <v>2892</v>
      </c>
      <c r="D4" s="133" t="s">
        <v>72</v>
      </c>
      <c r="E4" s="133" t="s">
        <v>1446</v>
      </c>
      <c r="F4" s="133" t="s">
        <v>1222</v>
      </c>
      <c r="G4" s="133" t="s">
        <v>1593</v>
      </c>
      <c r="H4" s="133" t="s">
        <v>2893</v>
      </c>
      <c r="I4" s="133" t="s">
        <v>2894</v>
      </c>
      <c r="J4" s="133" t="s">
        <v>2895</v>
      </c>
      <c r="K4" s="133" t="s">
        <v>2893</v>
      </c>
      <c r="L4" s="133" t="s">
        <v>2896</v>
      </c>
      <c r="M4" s="133" t="s">
        <v>2897</v>
      </c>
      <c r="N4" s="133" t="s">
        <v>2898</v>
      </c>
      <c r="O4" s="134" t="s">
        <v>2899</v>
      </c>
    </row>
    <row r="5" spans="1:15" x14ac:dyDescent="0.25">
      <c r="A5" s="129" t="s">
        <v>949</v>
      </c>
      <c r="B5" s="130" t="s">
        <v>409</v>
      </c>
      <c r="C5" s="130" t="s">
        <v>2892</v>
      </c>
      <c r="D5" s="130" t="s">
        <v>2900</v>
      </c>
      <c r="E5" s="130" t="s">
        <v>1512</v>
      </c>
      <c r="F5" s="130" t="s">
        <v>1245</v>
      </c>
      <c r="G5" s="130" t="s">
        <v>1762</v>
      </c>
      <c r="H5" s="130" t="s">
        <v>2901</v>
      </c>
      <c r="I5" s="130" t="s">
        <v>2902</v>
      </c>
      <c r="J5" s="130" t="s">
        <v>2903</v>
      </c>
      <c r="K5" s="130" t="s">
        <v>2904</v>
      </c>
      <c r="L5" s="130" t="s">
        <v>2905</v>
      </c>
      <c r="M5" s="130" t="s">
        <v>2906</v>
      </c>
      <c r="N5" s="130" t="s">
        <v>2907</v>
      </c>
      <c r="O5" s="131" t="s">
        <v>2908</v>
      </c>
    </row>
    <row r="6" spans="1:15" x14ac:dyDescent="0.25">
      <c r="A6" s="132" t="s">
        <v>972</v>
      </c>
      <c r="B6" s="133" t="s">
        <v>658</v>
      </c>
      <c r="C6" s="133" t="s">
        <v>2873</v>
      </c>
      <c r="D6" s="133" t="s">
        <v>2884</v>
      </c>
      <c r="E6" s="133" t="s">
        <v>1453</v>
      </c>
      <c r="F6" s="133" t="s">
        <v>1355</v>
      </c>
      <c r="G6" s="133" t="s">
        <v>1078</v>
      </c>
      <c r="H6" s="133" t="s">
        <v>2909</v>
      </c>
      <c r="I6" s="133" t="s">
        <v>2910</v>
      </c>
      <c r="J6" s="133" t="s">
        <v>2911</v>
      </c>
      <c r="K6" s="133" t="s">
        <v>2912</v>
      </c>
      <c r="L6" s="133" t="s">
        <v>2913</v>
      </c>
      <c r="M6" s="133" t="s">
        <v>2914</v>
      </c>
      <c r="N6" s="133" t="s">
        <v>2915</v>
      </c>
      <c r="O6" s="134" t="s">
        <v>2916</v>
      </c>
    </row>
    <row r="7" spans="1:15" x14ac:dyDescent="0.25">
      <c r="A7" s="129" t="s">
        <v>1031</v>
      </c>
      <c r="B7" s="130" t="s">
        <v>2917</v>
      </c>
      <c r="C7" s="130" t="s">
        <v>2873</v>
      </c>
      <c r="D7" s="130" t="s">
        <v>2918</v>
      </c>
      <c r="E7" s="130" t="s">
        <v>975</v>
      </c>
      <c r="F7" s="130" t="s">
        <v>1204</v>
      </c>
      <c r="G7" s="130" t="s">
        <v>2233</v>
      </c>
      <c r="H7" s="130" t="s">
        <v>2919</v>
      </c>
      <c r="I7" s="130" t="s">
        <v>2920</v>
      </c>
      <c r="J7" s="130" t="s">
        <v>2921</v>
      </c>
      <c r="K7" s="130" t="s">
        <v>2922</v>
      </c>
      <c r="L7" s="130" t="s">
        <v>2923</v>
      </c>
      <c r="M7" s="130" t="s">
        <v>2924</v>
      </c>
      <c r="N7" s="130" t="s">
        <v>2925</v>
      </c>
      <c r="O7" s="131" t="s">
        <v>2926</v>
      </c>
    </row>
    <row r="8" spans="1:15" x14ac:dyDescent="0.25">
      <c r="A8" s="132" t="s">
        <v>1051</v>
      </c>
      <c r="B8" s="133" t="s">
        <v>551</v>
      </c>
      <c r="C8" s="133" t="s">
        <v>2873</v>
      </c>
      <c r="D8" s="133" t="s">
        <v>2927</v>
      </c>
      <c r="E8" s="133" t="s">
        <v>1085</v>
      </c>
      <c r="F8" s="133" t="s">
        <v>929</v>
      </c>
      <c r="G8" s="133" t="s">
        <v>1638</v>
      </c>
      <c r="H8" s="133" t="s">
        <v>2928</v>
      </c>
      <c r="I8" s="133" t="s">
        <v>2929</v>
      </c>
      <c r="J8" s="133" t="s">
        <v>2930</v>
      </c>
      <c r="K8" s="133" t="s">
        <v>2931</v>
      </c>
      <c r="L8" s="133" t="s">
        <v>2932</v>
      </c>
      <c r="M8" s="133" t="s">
        <v>2933</v>
      </c>
      <c r="N8" s="133" t="s">
        <v>2934</v>
      </c>
      <c r="O8" s="134" t="s">
        <v>2935</v>
      </c>
    </row>
    <row r="9" spans="1:15" x14ac:dyDescent="0.25">
      <c r="A9" s="129" t="s">
        <v>1067</v>
      </c>
      <c r="B9" s="130" t="s">
        <v>612</v>
      </c>
      <c r="C9" s="130" t="s">
        <v>2873</v>
      </c>
      <c r="D9" s="130" t="s">
        <v>2927</v>
      </c>
      <c r="E9" s="130" t="s">
        <v>1444</v>
      </c>
      <c r="F9" s="130" t="s">
        <v>1164</v>
      </c>
      <c r="G9" s="130" t="s">
        <v>2173</v>
      </c>
      <c r="H9" s="130" t="s">
        <v>2936</v>
      </c>
      <c r="I9" s="130" t="s">
        <v>2937</v>
      </c>
      <c r="J9" s="130" t="s">
        <v>2938</v>
      </c>
      <c r="K9" s="130" t="s">
        <v>2939</v>
      </c>
      <c r="L9" s="130" t="s">
        <v>2935</v>
      </c>
      <c r="M9" s="130" t="s">
        <v>2940</v>
      </c>
      <c r="N9" s="130" t="s">
        <v>2941</v>
      </c>
      <c r="O9" s="131" t="s">
        <v>2942</v>
      </c>
    </row>
    <row r="10" spans="1:15" x14ac:dyDescent="0.25">
      <c r="A10" s="132" t="s">
        <v>1083</v>
      </c>
      <c r="B10" s="133" t="s">
        <v>503</v>
      </c>
      <c r="C10" s="133" t="s">
        <v>2873</v>
      </c>
      <c r="D10" s="133" t="s">
        <v>2884</v>
      </c>
      <c r="E10" s="133" t="s">
        <v>975</v>
      </c>
      <c r="F10" s="133" t="s">
        <v>1204</v>
      </c>
      <c r="G10" s="133" t="s">
        <v>2233</v>
      </c>
      <c r="H10" s="133" t="s">
        <v>2943</v>
      </c>
      <c r="I10" s="133" t="s">
        <v>2944</v>
      </c>
      <c r="J10" s="133" t="s">
        <v>2945</v>
      </c>
      <c r="K10" s="133" t="s">
        <v>2946</v>
      </c>
      <c r="L10" s="133" t="s">
        <v>2947</v>
      </c>
      <c r="M10" s="133" t="s">
        <v>2948</v>
      </c>
      <c r="N10" s="133" t="s">
        <v>2949</v>
      </c>
      <c r="O10" s="134" t="s">
        <v>2950</v>
      </c>
    </row>
    <row r="11" spans="1:15" x14ac:dyDescent="0.25">
      <c r="A11" s="129" t="s">
        <v>1096</v>
      </c>
      <c r="B11" s="130" t="s">
        <v>687</v>
      </c>
      <c r="C11" s="130" t="s">
        <v>2892</v>
      </c>
      <c r="D11" s="130" t="s">
        <v>2900</v>
      </c>
      <c r="E11" s="130" t="s">
        <v>1177</v>
      </c>
      <c r="F11" s="130" t="s">
        <v>1176</v>
      </c>
      <c r="G11" s="130" t="s">
        <v>1814</v>
      </c>
      <c r="H11" s="130" t="s">
        <v>2951</v>
      </c>
      <c r="I11" s="130" t="s">
        <v>2952</v>
      </c>
      <c r="J11" s="130" t="s">
        <v>2953</v>
      </c>
      <c r="K11" s="130" t="s">
        <v>2954</v>
      </c>
      <c r="L11" s="130" t="s">
        <v>2955</v>
      </c>
      <c r="M11" s="130" t="s">
        <v>2956</v>
      </c>
      <c r="N11" s="130" t="s">
        <v>2957</v>
      </c>
      <c r="O11" s="131" t="s">
        <v>2955</v>
      </c>
    </row>
    <row r="12" spans="1:15" x14ac:dyDescent="0.25">
      <c r="A12" s="132" t="s">
        <v>1106</v>
      </c>
      <c r="B12" s="133" t="s">
        <v>535</v>
      </c>
      <c r="C12" s="133" t="s">
        <v>2873</v>
      </c>
      <c r="D12" s="133" t="s">
        <v>2918</v>
      </c>
      <c r="E12" s="133" t="s">
        <v>1444</v>
      </c>
      <c r="F12" s="133" t="s">
        <v>1164</v>
      </c>
      <c r="G12" s="133" t="s">
        <v>2173</v>
      </c>
      <c r="H12" s="133" t="s">
        <v>2958</v>
      </c>
      <c r="I12" s="133" t="s">
        <v>2959</v>
      </c>
      <c r="J12" s="133" t="s">
        <v>2960</v>
      </c>
      <c r="K12" s="133" t="s">
        <v>2961</v>
      </c>
      <c r="L12" s="133" t="s">
        <v>2962</v>
      </c>
      <c r="M12" s="133" t="s">
        <v>2963</v>
      </c>
      <c r="N12" s="133" t="s">
        <v>2964</v>
      </c>
      <c r="O12" s="134" t="s">
        <v>2965</v>
      </c>
    </row>
    <row r="13" spans="1:15" x14ac:dyDescent="0.25">
      <c r="A13" s="129" t="s">
        <v>1121</v>
      </c>
      <c r="B13" s="130" t="s">
        <v>642</v>
      </c>
      <c r="C13" s="130" t="s">
        <v>2892</v>
      </c>
      <c r="D13" s="130" t="s">
        <v>72</v>
      </c>
      <c r="E13" s="130" t="s">
        <v>1444</v>
      </c>
      <c r="F13" s="130" t="s">
        <v>1164</v>
      </c>
      <c r="G13" s="130" t="s">
        <v>2173</v>
      </c>
      <c r="H13" s="130" t="s">
        <v>2966</v>
      </c>
      <c r="I13" s="130" t="s">
        <v>2967</v>
      </c>
      <c r="J13" s="130" t="s">
        <v>2968</v>
      </c>
      <c r="K13" s="130" t="s">
        <v>2969</v>
      </c>
      <c r="L13" s="130" t="s">
        <v>2970</v>
      </c>
      <c r="M13" s="130" t="s">
        <v>2971</v>
      </c>
      <c r="N13" s="130" t="s">
        <v>2972</v>
      </c>
      <c r="O13" s="131" t="s">
        <v>2970</v>
      </c>
    </row>
    <row r="14" spans="1:15" x14ac:dyDescent="0.25">
      <c r="A14" s="132" t="s">
        <v>1137</v>
      </c>
      <c r="B14" s="133" t="s">
        <v>519</v>
      </c>
      <c r="C14" s="133" t="s">
        <v>2892</v>
      </c>
      <c r="D14" s="133" t="s">
        <v>72</v>
      </c>
      <c r="E14" s="133" t="s">
        <v>1422</v>
      </c>
      <c r="F14" s="133" t="s">
        <v>1384</v>
      </c>
      <c r="G14" s="133" t="s">
        <v>1058</v>
      </c>
      <c r="H14" s="133" t="s">
        <v>2973</v>
      </c>
      <c r="I14" s="133" t="s">
        <v>2974</v>
      </c>
      <c r="J14" s="133" t="s">
        <v>2975</v>
      </c>
      <c r="K14" s="133" t="s">
        <v>2976</v>
      </c>
      <c r="L14" s="133" t="s">
        <v>2977</v>
      </c>
      <c r="M14" s="133" t="s">
        <v>2978</v>
      </c>
      <c r="N14" s="133" t="s">
        <v>2979</v>
      </c>
      <c r="O14" s="134" t="s">
        <v>2980</v>
      </c>
    </row>
    <row r="15" spans="1:15" x14ac:dyDescent="0.25">
      <c r="A15" s="129" t="s">
        <v>1147</v>
      </c>
      <c r="B15" s="130" t="s">
        <v>567</v>
      </c>
      <c r="C15" s="130" t="s">
        <v>2892</v>
      </c>
      <c r="D15" s="130" t="s">
        <v>72</v>
      </c>
      <c r="E15" s="130" t="s">
        <v>975</v>
      </c>
      <c r="F15" s="130" t="s">
        <v>1204</v>
      </c>
      <c r="G15" s="130" t="s">
        <v>2233</v>
      </c>
      <c r="H15" s="130" t="s">
        <v>2981</v>
      </c>
      <c r="I15" s="130" t="s">
        <v>2982</v>
      </c>
      <c r="J15" s="130" t="s">
        <v>2983</v>
      </c>
      <c r="K15" s="130" t="s">
        <v>2984</v>
      </c>
      <c r="L15" s="130" t="s">
        <v>2985</v>
      </c>
      <c r="M15" s="130" t="s">
        <v>2986</v>
      </c>
      <c r="N15" s="130" t="s">
        <v>2987</v>
      </c>
      <c r="O15" s="131" t="s">
        <v>2988</v>
      </c>
    </row>
    <row r="16" spans="1:15" x14ac:dyDescent="0.25">
      <c r="A16" s="132" t="s">
        <v>1162</v>
      </c>
      <c r="B16" s="133" t="s">
        <v>598</v>
      </c>
      <c r="C16" s="133" t="s">
        <v>2873</v>
      </c>
      <c r="D16" s="133" t="s">
        <v>2918</v>
      </c>
      <c r="E16" s="133" t="s">
        <v>975</v>
      </c>
      <c r="F16" s="133" t="s">
        <v>1204</v>
      </c>
      <c r="G16" s="133" t="s">
        <v>2233</v>
      </c>
      <c r="H16" s="133" t="s">
        <v>2989</v>
      </c>
      <c r="I16" s="133" t="s">
        <v>2990</v>
      </c>
      <c r="J16" s="133" t="s">
        <v>2991</v>
      </c>
      <c r="K16" s="133" t="s">
        <v>2989</v>
      </c>
      <c r="L16" s="133" t="s">
        <v>2992</v>
      </c>
      <c r="M16" s="133" t="s">
        <v>2993</v>
      </c>
      <c r="N16" s="133" t="s">
        <v>2994</v>
      </c>
      <c r="O16" s="134" t="s">
        <v>2992</v>
      </c>
    </row>
    <row r="17" spans="1:15" x14ac:dyDescent="0.25">
      <c r="A17" s="129" t="s">
        <v>1175</v>
      </c>
      <c r="B17" s="130" t="s">
        <v>775</v>
      </c>
      <c r="C17" s="130" t="s">
        <v>2873</v>
      </c>
      <c r="D17" s="130" t="s">
        <v>2918</v>
      </c>
      <c r="E17" s="130" t="s">
        <v>1233</v>
      </c>
      <c r="F17" s="130" t="s">
        <v>1187</v>
      </c>
      <c r="G17" s="130" t="s">
        <v>1110</v>
      </c>
      <c r="H17" s="130" t="s">
        <v>2995</v>
      </c>
      <c r="I17" s="130" t="s">
        <v>2996</v>
      </c>
      <c r="J17" s="130" t="s">
        <v>2997</v>
      </c>
      <c r="K17" s="130" t="s">
        <v>2998</v>
      </c>
      <c r="L17" s="130" t="s">
        <v>2999</v>
      </c>
      <c r="M17" s="130" t="s">
        <v>2996</v>
      </c>
      <c r="N17" s="130" t="s">
        <v>3000</v>
      </c>
      <c r="O17" s="131" t="s">
        <v>3001</v>
      </c>
    </row>
    <row r="18" spans="1:15" x14ac:dyDescent="0.25">
      <c r="A18" s="132" t="s">
        <v>1202</v>
      </c>
      <c r="B18" s="133" t="s">
        <v>626</v>
      </c>
      <c r="C18" s="133" t="s">
        <v>2892</v>
      </c>
      <c r="D18" s="133" t="s">
        <v>3002</v>
      </c>
      <c r="E18" s="133" t="s">
        <v>1376</v>
      </c>
      <c r="F18" s="133" t="s">
        <v>1312</v>
      </c>
      <c r="G18" s="133" t="s">
        <v>1869</v>
      </c>
      <c r="H18" s="133" t="s">
        <v>3003</v>
      </c>
      <c r="I18" s="133" t="s">
        <v>3004</v>
      </c>
      <c r="J18" s="133" t="s">
        <v>3005</v>
      </c>
      <c r="K18" s="133" t="s">
        <v>3006</v>
      </c>
      <c r="L18" s="133" t="s">
        <v>3007</v>
      </c>
      <c r="M18" s="133" t="s">
        <v>3008</v>
      </c>
      <c r="N18" s="133" t="s">
        <v>3009</v>
      </c>
      <c r="O18" s="134" t="s">
        <v>3010</v>
      </c>
    </row>
    <row r="19" spans="1:15" x14ac:dyDescent="0.25">
      <c r="A19" s="129" t="s">
        <v>1212</v>
      </c>
      <c r="B19" s="130" t="s">
        <v>715</v>
      </c>
      <c r="C19" s="130" t="s">
        <v>2892</v>
      </c>
      <c r="D19" s="130" t="s">
        <v>3002</v>
      </c>
      <c r="E19" s="130" t="s">
        <v>1403</v>
      </c>
      <c r="F19" s="130" t="s">
        <v>1403</v>
      </c>
      <c r="G19" s="130" t="s">
        <v>1131</v>
      </c>
      <c r="H19" s="130" t="s">
        <v>3011</v>
      </c>
      <c r="I19" s="130" t="s">
        <v>3012</v>
      </c>
      <c r="J19" s="130" t="s">
        <v>3013</v>
      </c>
      <c r="K19" s="130" t="s">
        <v>3014</v>
      </c>
      <c r="L19" s="130" t="s">
        <v>3015</v>
      </c>
      <c r="M19" s="130" t="s">
        <v>3016</v>
      </c>
      <c r="N19" s="130" t="s">
        <v>3017</v>
      </c>
      <c r="O19" s="131" t="s">
        <v>3018</v>
      </c>
    </row>
    <row r="20" spans="1:15" x14ac:dyDescent="0.25">
      <c r="A20" s="132" t="s">
        <v>1222</v>
      </c>
      <c r="B20" s="133" t="s">
        <v>490</v>
      </c>
      <c r="C20" s="133" t="s">
        <v>2873</v>
      </c>
      <c r="D20" s="133" t="s">
        <v>2927</v>
      </c>
      <c r="E20" s="133" t="s">
        <v>1390</v>
      </c>
      <c r="F20" s="133" t="s">
        <v>1414</v>
      </c>
      <c r="G20" s="133" t="s">
        <v>1249</v>
      </c>
      <c r="H20" s="133" t="s">
        <v>3019</v>
      </c>
      <c r="I20" s="133" t="s">
        <v>3020</v>
      </c>
      <c r="J20" s="133" t="s">
        <v>3021</v>
      </c>
      <c r="K20" s="133" t="s">
        <v>3022</v>
      </c>
      <c r="L20" s="133" t="s">
        <v>3023</v>
      </c>
      <c r="M20" s="133" t="s">
        <v>3024</v>
      </c>
      <c r="N20" s="133" t="s">
        <v>3025</v>
      </c>
      <c r="O20" s="134" t="s">
        <v>3026</v>
      </c>
    </row>
    <row r="21" spans="1:15" x14ac:dyDescent="0.25">
      <c r="A21" s="129" t="s">
        <v>1232</v>
      </c>
      <c r="B21" s="130" t="s">
        <v>383</v>
      </c>
      <c r="C21" s="130" t="s">
        <v>2892</v>
      </c>
      <c r="D21" s="130" t="s">
        <v>3002</v>
      </c>
      <c r="E21" s="130" t="s">
        <v>1233</v>
      </c>
      <c r="F21" s="130" t="s">
        <v>1187</v>
      </c>
      <c r="G21" s="130" t="s">
        <v>1110</v>
      </c>
      <c r="H21" s="130" t="s">
        <v>3027</v>
      </c>
      <c r="I21" s="130" t="s">
        <v>3028</v>
      </c>
      <c r="J21" s="130" t="s">
        <v>3029</v>
      </c>
      <c r="K21" s="130" t="s">
        <v>3030</v>
      </c>
      <c r="L21" s="130" t="s">
        <v>3031</v>
      </c>
      <c r="M21" s="130" t="s">
        <v>3032</v>
      </c>
      <c r="N21" s="130" t="s">
        <v>3021</v>
      </c>
      <c r="O21" s="131" t="s">
        <v>3033</v>
      </c>
    </row>
    <row r="22" spans="1:15" x14ac:dyDescent="0.25">
      <c r="A22" s="132" t="s">
        <v>1238</v>
      </c>
      <c r="B22" s="133" t="s">
        <v>459</v>
      </c>
      <c r="C22" s="133" t="s">
        <v>2892</v>
      </c>
      <c r="D22" s="133" t="s">
        <v>72</v>
      </c>
      <c r="E22" s="133" t="s">
        <v>1390</v>
      </c>
      <c r="F22" s="133" t="s">
        <v>1414</v>
      </c>
      <c r="G22" s="133" t="s">
        <v>1249</v>
      </c>
      <c r="H22" s="133" t="s">
        <v>3034</v>
      </c>
      <c r="I22" s="133" t="s">
        <v>3035</v>
      </c>
      <c r="J22" s="133" t="s">
        <v>3036</v>
      </c>
      <c r="K22" s="133" t="s">
        <v>3037</v>
      </c>
      <c r="L22" s="133" t="s">
        <v>3038</v>
      </c>
      <c r="M22" s="133" t="s">
        <v>3039</v>
      </c>
      <c r="N22" s="133" t="s">
        <v>3040</v>
      </c>
      <c r="O22" s="134" t="s">
        <v>3041</v>
      </c>
    </row>
    <row r="23" spans="1:15" x14ac:dyDescent="0.25">
      <c r="A23" s="129" t="s">
        <v>1245</v>
      </c>
      <c r="B23" s="130" t="s">
        <v>789</v>
      </c>
      <c r="C23" s="130" t="s">
        <v>2873</v>
      </c>
      <c r="D23" s="130" t="s">
        <v>2927</v>
      </c>
      <c r="E23" s="130" t="s">
        <v>1164</v>
      </c>
      <c r="F23" s="130" t="s">
        <v>1444</v>
      </c>
      <c r="G23" s="130" t="s">
        <v>1797</v>
      </c>
      <c r="H23" s="130" t="s">
        <v>3042</v>
      </c>
      <c r="I23" s="130" t="s">
        <v>3043</v>
      </c>
      <c r="J23" s="130" t="s">
        <v>3044</v>
      </c>
      <c r="K23" s="130" t="s">
        <v>3045</v>
      </c>
      <c r="L23" s="130" t="s">
        <v>3046</v>
      </c>
      <c r="M23" s="130" t="s">
        <v>3047</v>
      </c>
      <c r="N23" s="130" t="s">
        <v>3048</v>
      </c>
      <c r="O23" s="131" t="s">
        <v>3049</v>
      </c>
    </row>
    <row r="24" spans="1:15" x14ac:dyDescent="0.25">
      <c r="A24" s="132" t="s">
        <v>995</v>
      </c>
      <c r="B24" s="133" t="s">
        <v>759</v>
      </c>
      <c r="C24" s="133" t="s">
        <v>2873</v>
      </c>
      <c r="D24" s="133" t="s">
        <v>2884</v>
      </c>
      <c r="E24" s="133" t="s">
        <v>1068</v>
      </c>
      <c r="F24" s="133" t="s">
        <v>1123</v>
      </c>
      <c r="G24" s="133" t="s">
        <v>1577</v>
      </c>
      <c r="H24" s="133" t="s">
        <v>3050</v>
      </c>
      <c r="I24" s="133" t="s">
        <v>3051</v>
      </c>
      <c r="J24" s="133" t="s">
        <v>3052</v>
      </c>
      <c r="K24" s="133" t="s">
        <v>3053</v>
      </c>
      <c r="L24" s="133" t="s">
        <v>3054</v>
      </c>
      <c r="M24" s="133" t="s">
        <v>3055</v>
      </c>
      <c r="N24" s="133" t="s">
        <v>3056</v>
      </c>
      <c r="O24" s="134" t="s">
        <v>3057</v>
      </c>
    </row>
    <row r="25" spans="1:15" x14ac:dyDescent="0.25">
      <c r="A25" s="129" t="s">
        <v>1032</v>
      </c>
      <c r="B25" s="130" t="s">
        <v>743</v>
      </c>
      <c r="C25" s="130" t="s">
        <v>2873</v>
      </c>
      <c r="D25" s="130" t="s">
        <v>2918</v>
      </c>
      <c r="E25" s="130" t="s">
        <v>1068</v>
      </c>
      <c r="F25" s="130" t="s">
        <v>1123</v>
      </c>
      <c r="G25" s="130" t="s">
        <v>1577</v>
      </c>
      <c r="H25" s="130" t="s">
        <v>3058</v>
      </c>
      <c r="I25" s="130" t="s">
        <v>3059</v>
      </c>
      <c r="J25" s="130" t="s">
        <v>3060</v>
      </c>
      <c r="K25" s="130" t="s">
        <v>3061</v>
      </c>
      <c r="L25" s="130" t="s">
        <v>3062</v>
      </c>
      <c r="M25" s="130" t="s">
        <v>3063</v>
      </c>
      <c r="N25" s="130" t="s">
        <v>3064</v>
      </c>
      <c r="O25" s="131" t="s">
        <v>3065</v>
      </c>
    </row>
    <row r="26" spans="1:15" x14ac:dyDescent="0.25">
      <c r="A26" s="132" t="s">
        <v>1084</v>
      </c>
      <c r="B26" s="133" t="s">
        <v>802</v>
      </c>
      <c r="C26" s="133" t="s">
        <v>2892</v>
      </c>
      <c r="D26" s="133" t="s">
        <v>2900</v>
      </c>
      <c r="E26" s="133" t="s">
        <v>929</v>
      </c>
      <c r="F26" s="133" t="s">
        <v>1085</v>
      </c>
      <c r="G26" s="133" t="s">
        <v>2023</v>
      </c>
      <c r="H26" s="133" t="s">
        <v>3066</v>
      </c>
      <c r="I26" s="133" t="s">
        <v>3067</v>
      </c>
      <c r="J26" s="133" t="s">
        <v>3068</v>
      </c>
      <c r="K26" s="133" t="s">
        <v>3069</v>
      </c>
      <c r="L26" s="133" t="s">
        <v>3070</v>
      </c>
      <c r="M26" s="133" t="s">
        <v>3071</v>
      </c>
      <c r="N26" s="133" t="s">
        <v>3072</v>
      </c>
      <c r="O26" s="134" t="s">
        <v>3073</v>
      </c>
    </row>
    <row r="27" spans="1:15" x14ac:dyDescent="0.25">
      <c r="A27" s="129" t="s">
        <v>973</v>
      </c>
      <c r="B27" s="130" t="s">
        <v>730</v>
      </c>
      <c r="C27" s="130" t="s">
        <v>2892</v>
      </c>
      <c r="D27" s="130" t="s">
        <v>2900</v>
      </c>
      <c r="E27" s="130" t="s">
        <v>1084</v>
      </c>
      <c r="F27" s="130" t="s">
        <v>1165</v>
      </c>
      <c r="G27" s="130" t="s">
        <v>1650</v>
      </c>
      <c r="H27" s="130" t="s">
        <v>3074</v>
      </c>
      <c r="I27" s="130" t="s">
        <v>3075</v>
      </c>
      <c r="J27" s="130" t="s">
        <v>3076</v>
      </c>
      <c r="K27" s="130" t="s">
        <v>3077</v>
      </c>
      <c r="L27" s="130" t="s">
        <v>3078</v>
      </c>
      <c r="M27" s="130" t="s">
        <v>3079</v>
      </c>
      <c r="N27" s="130" t="s">
        <v>3080</v>
      </c>
      <c r="O27" s="131" t="s">
        <v>3081</v>
      </c>
    </row>
    <row r="28" spans="1:15" x14ac:dyDescent="0.25">
      <c r="A28" s="132" t="s">
        <v>902</v>
      </c>
      <c r="B28" s="133" t="s">
        <v>435</v>
      </c>
      <c r="C28" s="133" t="s">
        <v>2892</v>
      </c>
      <c r="D28" s="133" t="s">
        <v>2900</v>
      </c>
      <c r="E28" s="133" t="s">
        <v>902</v>
      </c>
      <c r="F28" s="133" t="s">
        <v>1410</v>
      </c>
      <c r="G28" s="133" t="s">
        <v>2305</v>
      </c>
      <c r="H28" s="133" t="s">
        <v>3082</v>
      </c>
      <c r="I28" s="133" t="s">
        <v>3083</v>
      </c>
      <c r="J28" s="133" t="s">
        <v>3084</v>
      </c>
      <c r="K28" s="133" t="s">
        <v>3085</v>
      </c>
      <c r="L28" s="133" t="s">
        <v>3086</v>
      </c>
      <c r="M28" s="133" t="s">
        <v>3087</v>
      </c>
      <c r="N28" s="133" t="s">
        <v>3029</v>
      </c>
      <c r="O28" s="134" t="s">
        <v>3088</v>
      </c>
    </row>
    <row r="29" spans="1:15" x14ac:dyDescent="0.25">
      <c r="A29" s="129" t="s">
        <v>1293</v>
      </c>
      <c r="B29" s="130" t="s">
        <v>815</v>
      </c>
      <c r="C29" s="130" t="s">
        <v>2873</v>
      </c>
      <c r="D29" s="130" t="s">
        <v>2884</v>
      </c>
      <c r="E29" s="130" t="s">
        <v>1212</v>
      </c>
      <c r="F29" s="130" t="s">
        <v>1107</v>
      </c>
      <c r="G29" s="130" t="s">
        <v>2689</v>
      </c>
      <c r="H29" s="130" t="s">
        <v>3089</v>
      </c>
      <c r="I29" s="130" t="s">
        <v>3090</v>
      </c>
      <c r="J29" s="130" t="s">
        <v>3091</v>
      </c>
      <c r="K29" s="130" t="s">
        <v>3092</v>
      </c>
      <c r="L29" s="130" t="s">
        <v>3093</v>
      </c>
      <c r="M29" s="130" t="s">
        <v>3094</v>
      </c>
      <c r="N29" s="130" t="s">
        <v>3095</v>
      </c>
      <c r="O29" s="131" t="s">
        <v>3096</v>
      </c>
    </row>
    <row r="30" spans="1:15" x14ac:dyDescent="0.25">
      <c r="A30" s="132" t="s">
        <v>1015</v>
      </c>
      <c r="B30" s="133" t="s">
        <v>674</v>
      </c>
      <c r="C30" s="133" t="s">
        <v>2873</v>
      </c>
      <c r="D30" s="133" t="s">
        <v>2927</v>
      </c>
      <c r="E30" s="133" t="s">
        <v>1245</v>
      </c>
      <c r="F30" s="133" t="s">
        <v>1512</v>
      </c>
      <c r="G30" s="133" t="s">
        <v>3097</v>
      </c>
      <c r="H30" s="133" t="s">
        <v>3098</v>
      </c>
      <c r="I30" s="133" t="s">
        <v>3099</v>
      </c>
      <c r="J30" s="133" t="s">
        <v>3100</v>
      </c>
      <c r="K30" s="133" t="s">
        <v>3101</v>
      </c>
      <c r="L30" s="133" t="s">
        <v>3102</v>
      </c>
      <c r="M30" s="133" t="s">
        <v>3103</v>
      </c>
      <c r="N30" s="133" t="s">
        <v>3104</v>
      </c>
      <c r="O30" s="134" t="s">
        <v>3105</v>
      </c>
    </row>
    <row r="31" spans="1:15" x14ac:dyDescent="0.25">
      <c r="A31" s="129" t="s">
        <v>950</v>
      </c>
      <c r="B31" s="130" t="s">
        <v>447</v>
      </c>
      <c r="C31" s="130" t="s">
        <v>2892</v>
      </c>
      <c r="D31" s="130" t="s">
        <v>3002</v>
      </c>
      <c r="E31" s="130" t="s">
        <v>1232</v>
      </c>
      <c r="F31" s="130" t="s">
        <v>1349</v>
      </c>
      <c r="G31" s="130" t="s">
        <v>3106</v>
      </c>
      <c r="H31" s="130" t="s">
        <v>3107</v>
      </c>
      <c r="I31" s="130" t="s">
        <v>3108</v>
      </c>
      <c r="J31" s="130" t="s">
        <v>3109</v>
      </c>
      <c r="K31" s="130" t="s">
        <v>3110</v>
      </c>
      <c r="L31" s="130" t="s">
        <v>3111</v>
      </c>
      <c r="M31" s="130" t="s">
        <v>3112</v>
      </c>
      <c r="N31" s="130" t="s">
        <v>2982</v>
      </c>
      <c r="O31" s="131" t="s">
        <v>3113</v>
      </c>
    </row>
    <row r="32" spans="1:15" x14ac:dyDescent="0.25">
      <c r="A32" s="132" t="s">
        <v>929</v>
      </c>
      <c r="B32" s="133" t="s">
        <v>3114</v>
      </c>
      <c r="C32" s="133" t="s">
        <v>2892</v>
      </c>
      <c r="D32" s="133" t="s">
        <v>3002</v>
      </c>
      <c r="E32" s="133" t="s">
        <v>1222</v>
      </c>
      <c r="F32" s="133" t="s">
        <v>1446</v>
      </c>
      <c r="G32" s="133" t="s">
        <v>3115</v>
      </c>
      <c r="H32" s="133" t="s">
        <v>3116</v>
      </c>
      <c r="I32" s="133" t="s">
        <v>3117</v>
      </c>
      <c r="J32" s="133" t="s">
        <v>3118</v>
      </c>
      <c r="K32" s="133" t="s">
        <v>3119</v>
      </c>
      <c r="L32" s="133" t="s">
        <v>3120</v>
      </c>
      <c r="M32" s="133" t="s">
        <v>3121</v>
      </c>
      <c r="N32" s="133" t="s">
        <v>3122</v>
      </c>
      <c r="O32" s="134" t="s">
        <v>3123</v>
      </c>
    </row>
  </sheetData>
  <mergeCells count="1">
    <mergeCell ref="A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E4B2-64E6-43DA-B30C-0FBA11B58FAB}">
  <dimension ref="A1:F33"/>
  <sheetViews>
    <sheetView topLeftCell="A2" workbookViewId="0">
      <selection activeCell="K52" sqref="K52"/>
    </sheetView>
  </sheetViews>
  <sheetFormatPr defaultRowHeight="15" x14ac:dyDescent="0.25"/>
  <cols>
    <col min="3" max="3" width="24" bestFit="1" customWidth="1"/>
    <col min="5" max="5" width="12.5703125" bestFit="1" customWidth="1"/>
  </cols>
  <sheetData>
    <row r="1" spans="1:6" s="5" customFormat="1" x14ac:dyDescent="0.25">
      <c r="A1" s="5" t="s">
        <v>3125</v>
      </c>
      <c r="B1" s="5" t="s">
        <v>3126</v>
      </c>
      <c r="C1" s="5" t="s">
        <v>172</v>
      </c>
      <c r="D1" s="5" t="s">
        <v>3127</v>
      </c>
      <c r="E1" s="5" t="s">
        <v>3128</v>
      </c>
    </row>
    <row r="2" spans="1:6" x14ac:dyDescent="0.25">
      <c r="A2">
        <v>1</v>
      </c>
      <c r="B2" t="s">
        <v>48</v>
      </c>
      <c r="C2" s="5" t="s">
        <v>702</v>
      </c>
      <c r="D2" s="106" t="e">
        <f ca="1">_xlfn.XLOOKUP(C2,TeamRatingsSource!$B$3:$B$32,TeamRatingsSource!$N$3:$N$32)</f>
        <v>#NAME?</v>
      </c>
      <c r="E2" s="138" t="e">
        <f ca="1">D2/$D$33</f>
        <v>#NAME?</v>
      </c>
      <c r="F2" t="str" cm="1">
        <f t="array" ref="F2:F31">TeamID</f>
        <v>OKC</v>
      </c>
    </row>
    <row r="3" spans="1:6" x14ac:dyDescent="0.25">
      <c r="A3">
        <v>2</v>
      </c>
      <c r="B3" t="s">
        <v>105</v>
      </c>
      <c r="C3" s="5" t="s">
        <v>642</v>
      </c>
      <c r="D3" s="106" t="e">
        <f ca="1">_xlfn.XLOOKUP(C3,TeamRatingsSource!$B$3:$B$32,TeamRatingsSource!$N$3:$N$32)</f>
        <v>#NAME?</v>
      </c>
      <c r="E3" s="138" t="e">
        <f t="shared" ref="E3:E31" ca="1" si="0">D3/$D$33</f>
        <v>#NAME?</v>
      </c>
      <c r="F3" t="str">
        <v>MIL</v>
      </c>
    </row>
    <row r="4" spans="1:6" x14ac:dyDescent="0.25">
      <c r="A4">
        <v>3</v>
      </c>
      <c r="B4" t="s">
        <v>148</v>
      </c>
      <c r="C4" s="5" t="s">
        <v>503</v>
      </c>
      <c r="D4" s="106" t="e">
        <f ca="1">_xlfn.XLOOKUP(C4,TeamRatingsSource!$B$3:$B$32,TeamRatingsSource!$N$3:$N$32)</f>
        <v>#NAME?</v>
      </c>
      <c r="E4" s="138" t="e">
        <f t="shared" ca="1" si="0"/>
        <v>#NAME?</v>
      </c>
      <c r="F4" t="str">
        <v>DEN</v>
      </c>
    </row>
    <row r="5" spans="1:6" x14ac:dyDescent="0.25">
      <c r="A5">
        <v>4</v>
      </c>
      <c r="B5" t="s">
        <v>151</v>
      </c>
      <c r="C5" s="5" t="s">
        <v>490</v>
      </c>
      <c r="D5" s="106" t="e">
        <f ca="1">_xlfn.XLOOKUP(C5,TeamRatingsSource!$B$3:$B$32,TeamRatingsSource!$N$3:$N$32)</f>
        <v>#NAME?</v>
      </c>
      <c r="E5" s="138" t="e">
        <f t="shared" ca="1" si="0"/>
        <v>#NAME?</v>
      </c>
      <c r="F5" t="str">
        <v>DAL</v>
      </c>
    </row>
    <row r="6" spans="1:6" x14ac:dyDescent="0.25">
      <c r="A6">
        <v>5</v>
      </c>
      <c r="B6" t="s">
        <v>1014</v>
      </c>
      <c r="C6" s="5" t="s">
        <v>598</v>
      </c>
      <c r="D6" s="106" t="e">
        <f ca="1">_xlfn.XLOOKUP(C6,TeamRatingsSource!$B$3:$B$32,TeamRatingsSource!$N$3:$N$32)</f>
        <v>#NAME?</v>
      </c>
      <c r="E6" s="138" t="e">
        <f t="shared" ca="1" si="0"/>
        <v>#NAME?</v>
      </c>
      <c r="F6" t="str">
        <v>LAL</v>
      </c>
    </row>
    <row r="7" spans="1:6" x14ac:dyDescent="0.25">
      <c r="A7">
        <v>6</v>
      </c>
      <c r="B7" t="s">
        <v>102</v>
      </c>
      <c r="C7" s="5" t="s">
        <v>658</v>
      </c>
      <c r="D7" s="106" t="e">
        <f ca="1">_xlfn.XLOOKUP(C7,TeamRatingsSource!$B$3:$B$32,TeamRatingsSource!$N$3:$N$32)</f>
        <v>#NAME?</v>
      </c>
      <c r="E7" s="138" t="e">
        <f t="shared" ca="1" si="0"/>
        <v>#NAME?</v>
      </c>
      <c r="F7" t="str">
        <v>MIN</v>
      </c>
    </row>
    <row r="8" spans="1:6" x14ac:dyDescent="0.25">
      <c r="A8">
        <v>7</v>
      </c>
      <c r="B8" t="s">
        <v>113</v>
      </c>
      <c r="C8" s="5" t="s">
        <v>409</v>
      </c>
      <c r="D8" s="106" t="e">
        <f ca="1">_xlfn.XLOOKUP(C8,TeamRatingsSource!$B$3:$B$32,TeamRatingsSource!$N$3:$N$32)</f>
        <v>#NAME?</v>
      </c>
      <c r="E8" s="138" t="e">
        <f t="shared" ca="1" si="0"/>
        <v>#NAME?</v>
      </c>
      <c r="F8" t="str">
        <v>BOS</v>
      </c>
    </row>
    <row r="9" spans="1:6" x14ac:dyDescent="0.25">
      <c r="A9">
        <v>8</v>
      </c>
      <c r="B9" t="s">
        <v>1069</v>
      </c>
      <c r="C9" s="5" t="s">
        <v>743</v>
      </c>
      <c r="D9" s="106" t="e">
        <f ca="1">_xlfn.XLOOKUP(C9,TeamRatingsSource!$B$3:$B$32,TeamRatingsSource!$N$3:$N$32)</f>
        <v>#NAME?</v>
      </c>
      <c r="E9" s="138" t="e">
        <f t="shared" ca="1" si="0"/>
        <v>#NAME?</v>
      </c>
      <c r="F9" t="str">
        <v>PHO</v>
      </c>
    </row>
    <row r="10" spans="1:6" x14ac:dyDescent="0.25">
      <c r="A10">
        <v>9</v>
      </c>
      <c r="B10" t="s">
        <v>108</v>
      </c>
      <c r="C10" s="5" t="s">
        <v>730</v>
      </c>
      <c r="D10" s="106" t="e">
        <f ca="1">_xlfn.XLOOKUP(C10,TeamRatingsSource!$B$3:$B$32,TeamRatingsSource!$N$3:$N$32)</f>
        <v>#NAME?</v>
      </c>
      <c r="E10" s="138" t="e">
        <f t="shared" ca="1" si="0"/>
        <v>#NAME?</v>
      </c>
      <c r="F10" t="str">
        <v>PHI</v>
      </c>
    </row>
    <row r="11" spans="1:6" x14ac:dyDescent="0.25">
      <c r="A11">
        <v>10</v>
      </c>
      <c r="B11" t="s">
        <v>97</v>
      </c>
      <c r="C11" s="5" t="s">
        <v>519</v>
      </c>
      <c r="D11" s="106" t="e">
        <f ca="1">_xlfn.XLOOKUP(C11,TeamRatingsSource!$B$3:$B$32,TeamRatingsSource!$N$3:$N$32)</f>
        <v>#NAME?</v>
      </c>
      <c r="E11" s="138" t="e">
        <f t="shared" ca="1" si="0"/>
        <v>#NAME?</v>
      </c>
      <c r="F11" t="str">
        <v>DET</v>
      </c>
    </row>
    <row r="12" spans="1:6" x14ac:dyDescent="0.25">
      <c r="A12">
        <v>11</v>
      </c>
      <c r="B12" t="s">
        <v>129</v>
      </c>
      <c r="C12" s="5" t="s">
        <v>687</v>
      </c>
      <c r="D12" s="106" t="e">
        <f ca="1">_xlfn.XLOOKUP(C12,TeamRatingsSource!$B$3:$B$32,TeamRatingsSource!$N$3:$N$32)</f>
        <v>#NAME?</v>
      </c>
      <c r="E12" s="138" t="e">
        <f t="shared" ca="1" si="0"/>
        <v>#NAME?</v>
      </c>
      <c r="F12" t="str">
        <v>NYK</v>
      </c>
    </row>
    <row r="13" spans="1:6" x14ac:dyDescent="0.25">
      <c r="A13">
        <v>12</v>
      </c>
      <c r="B13" t="s">
        <v>142</v>
      </c>
      <c r="C13" s="5" t="s">
        <v>715</v>
      </c>
      <c r="D13" s="106" t="e">
        <f ca="1">_xlfn.XLOOKUP(C13,TeamRatingsSource!$B$3:$B$32,TeamRatingsSource!$N$3:$N$32)</f>
        <v>#NAME?</v>
      </c>
      <c r="E13" s="138" t="e">
        <f t="shared" ca="1" si="0"/>
        <v>#NAME?</v>
      </c>
      <c r="F13" t="str">
        <v>ORL</v>
      </c>
    </row>
    <row r="14" spans="1:6" x14ac:dyDescent="0.25">
      <c r="A14">
        <v>13</v>
      </c>
      <c r="B14" t="s">
        <v>1149</v>
      </c>
      <c r="C14" s="5" t="s">
        <v>447</v>
      </c>
      <c r="D14" s="106" t="e">
        <f ca="1">_xlfn.XLOOKUP(C14,TeamRatingsSource!$B$3:$B$32,TeamRatingsSource!$N$3:$N$32)</f>
        <v>#NAME?</v>
      </c>
      <c r="E14" s="138" t="e">
        <f t="shared" ca="1" si="0"/>
        <v>#NAME?</v>
      </c>
      <c r="F14" t="str">
        <v>CHO</v>
      </c>
    </row>
    <row r="15" spans="1:6" x14ac:dyDescent="0.25">
      <c r="A15">
        <v>14</v>
      </c>
      <c r="B15" t="s">
        <v>83</v>
      </c>
      <c r="C15" s="5" t="s">
        <v>674</v>
      </c>
      <c r="D15" s="106" t="e">
        <f ca="1">_xlfn.XLOOKUP(C15,TeamRatingsSource!$B$3:$B$32,TeamRatingsSource!$N$3:$N$32)</f>
        <v>#NAME?</v>
      </c>
      <c r="E15" s="138" t="e">
        <f t="shared" ca="1" si="0"/>
        <v>#NAME?</v>
      </c>
      <c r="F15" t="str">
        <v>NOP</v>
      </c>
    </row>
    <row r="16" spans="1:6" x14ac:dyDescent="0.25">
      <c r="A16">
        <v>15</v>
      </c>
      <c r="B16" t="s">
        <v>1223</v>
      </c>
      <c r="C16" s="5" t="s">
        <v>535</v>
      </c>
      <c r="D16" s="106" t="e">
        <f ca="1">_xlfn.XLOOKUP(C16,TeamRatingsSource!$B$3:$B$32,TeamRatingsSource!$N$3:$N$32)</f>
        <v>#NAME?</v>
      </c>
      <c r="E16" s="138" t="e">
        <f t="shared" ca="1" si="0"/>
        <v>#NAME?</v>
      </c>
      <c r="F16" t="str">
        <v>GSW</v>
      </c>
    </row>
    <row r="17" spans="1:6" x14ac:dyDescent="0.25">
      <c r="A17">
        <v>16</v>
      </c>
      <c r="B17" t="s">
        <v>70</v>
      </c>
      <c r="C17" s="5" t="s">
        <v>789</v>
      </c>
      <c r="D17" s="106" t="e">
        <f ca="1">_xlfn.XLOOKUP(C17,TeamRatingsSource!$B$3:$B$32,TeamRatingsSource!$N$3:$N$32)</f>
        <v>#NAME?</v>
      </c>
      <c r="E17" s="138" t="e">
        <f t="shared" ca="1" si="0"/>
        <v>#NAME?</v>
      </c>
      <c r="F17" t="str">
        <v>SAS</v>
      </c>
    </row>
    <row r="18" spans="1:6" x14ac:dyDescent="0.25">
      <c r="A18">
        <v>17</v>
      </c>
      <c r="B18" t="s">
        <v>111</v>
      </c>
      <c r="C18" s="5" t="s">
        <v>383</v>
      </c>
      <c r="D18" s="106" t="e">
        <f ca="1">_xlfn.XLOOKUP(C18,TeamRatingsSource!$B$3:$B$32,TeamRatingsSource!$N$3:$N$32)</f>
        <v>#NAME?</v>
      </c>
      <c r="E18" s="138" t="e">
        <f t="shared" ca="1" si="0"/>
        <v>#NAME?</v>
      </c>
      <c r="F18" t="str">
        <v>ATL</v>
      </c>
    </row>
    <row r="19" spans="1:6" x14ac:dyDescent="0.25">
      <c r="A19">
        <v>18</v>
      </c>
      <c r="B19" t="s">
        <v>85</v>
      </c>
      <c r="C19" s="5" t="s">
        <v>475</v>
      </c>
      <c r="D19" s="106" t="e">
        <f ca="1">_xlfn.XLOOKUP(C19,TeamRatingsSource!$B$3:$B$32,TeamRatingsSource!$N$3:$N$32)</f>
        <v>#NAME?</v>
      </c>
      <c r="E19" s="138" t="e">
        <f t="shared" ca="1" si="0"/>
        <v>#NAME?</v>
      </c>
      <c r="F19" t="str">
        <v>CLE</v>
      </c>
    </row>
    <row r="20" spans="1:6" x14ac:dyDescent="0.25">
      <c r="A20">
        <v>19</v>
      </c>
      <c r="B20" t="s">
        <v>1279</v>
      </c>
      <c r="C20" s="64" t="s">
        <v>435</v>
      </c>
      <c r="D20" s="106" t="e">
        <f ca="1">_xlfn.XLOOKUP(C20,TeamRatingsSource!$B$3:$B$32,TeamRatingsSource!$N$3:$N$32)</f>
        <v>#NAME?</v>
      </c>
      <c r="E20" s="138" t="e">
        <f t="shared" ca="1" si="0"/>
        <v>#NAME?</v>
      </c>
      <c r="F20" t="str">
        <v>BRK</v>
      </c>
    </row>
    <row r="21" spans="1:6" x14ac:dyDescent="0.25">
      <c r="A21">
        <v>20</v>
      </c>
      <c r="B21" t="s">
        <v>133</v>
      </c>
      <c r="C21" s="5" t="s">
        <v>626</v>
      </c>
      <c r="D21" s="106" t="e">
        <f ca="1">_xlfn.XLOOKUP(C21,TeamRatingsSource!$B$3:$B$32,TeamRatingsSource!$N$3:$N$32)</f>
        <v>#NAME?</v>
      </c>
      <c r="E21" s="138" t="e">
        <f t="shared" ca="1" si="0"/>
        <v>#NAME?</v>
      </c>
      <c r="F21" t="str">
        <v>MIA</v>
      </c>
    </row>
    <row r="22" spans="1:6" x14ac:dyDescent="0.25">
      <c r="A22">
        <v>21</v>
      </c>
      <c r="B22" t="s">
        <v>121</v>
      </c>
      <c r="C22" s="5" t="s">
        <v>775</v>
      </c>
      <c r="D22" s="106" t="e">
        <f ca="1">_xlfn.XLOOKUP(C22,TeamRatingsSource!$B$3:$B$32,TeamRatingsSource!$N$3:$N$32)</f>
        <v>#NAME?</v>
      </c>
      <c r="E22" s="138" t="e">
        <f t="shared" ca="1" si="0"/>
        <v>#NAME?</v>
      </c>
      <c r="F22" t="str">
        <v>SAC</v>
      </c>
    </row>
    <row r="23" spans="1:6" x14ac:dyDescent="0.25">
      <c r="A23">
        <v>22</v>
      </c>
      <c r="B23" t="s">
        <v>131</v>
      </c>
      <c r="C23" s="5" t="s">
        <v>459</v>
      </c>
      <c r="D23" s="106" t="e">
        <f ca="1">_xlfn.XLOOKUP(C23,TeamRatingsSource!$B$3:$B$32,TeamRatingsSource!$N$3:$N$32)</f>
        <v>#NAME?</v>
      </c>
      <c r="E23" s="138" t="e">
        <f t="shared" ca="1" si="0"/>
        <v>#NAME?</v>
      </c>
      <c r="F23" t="str">
        <v>CHI</v>
      </c>
    </row>
    <row r="24" spans="1:6" x14ac:dyDescent="0.25">
      <c r="A24">
        <v>23</v>
      </c>
      <c r="B24" t="s">
        <v>156</v>
      </c>
      <c r="C24" s="5" t="s">
        <v>612</v>
      </c>
      <c r="D24" s="106" t="e">
        <f ca="1">_xlfn.XLOOKUP(C24,TeamRatingsSource!$B$3:$B$32,TeamRatingsSource!$N$3:$N$32)</f>
        <v>#NAME?</v>
      </c>
      <c r="E24" s="138" t="e">
        <f t="shared" ca="1" si="0"/>
        <v>#NAME?</v>
      </c>
      <c r="F24" t="str">
        <v>MEM</v>
      </c>
    </row>
    <row r="25" spans="1:6" x14ac:dyDescent="0.25">
      <c r="A25">
        <v>24</v>
      </c>
      <c r="B25" t="s">
        <v>79</v>
      </c>
      <c r="C25" s="5" t="s">
        <v>2917</v>
      </c>
      <c r="D25" s="106" t="e">
        <f ca="1">_xlfn.XLOOKUP(C25,TeamRatingsSource!$B$3:$B$32,TeamRatingsSource!$N$3:$N$32)</f>
        <v>#NAME?</v>
      </c>
      <c r="E25" s="138" t="e">
        <f t="shared" ca="1" si="0"/>
        <v>#NAME?</v>
      </c>
      <c r="F25" t="str">
        <v>LAC</v>
      </c>
    </row>
    <row r="26" spans="1:6" x14ac:dyDescent="0.25">
      <c r="A26">
        <v>25</v>
      </c>
      <c r="B26" t="s">
        <v>163</v>
      </c>
      <c r="C26" s="5" t="s">
        <v>802</v>
      </c>
      <c r="D26" s="106" t="e">
        <f ca="1">_xlfn.XLOOKUP(C26,TeamRatingsSource!$B$3:$B$32,TeamRatingsSource!$N$3:$N$32)</f>
        <v>#NAME?</v>
      </c>
      <c r="E26" s="138" t="e">
        <f t="shared" ca="1" si="0"/>
        <v>#NAME?</v>
      </c>
      <c r="F26" t="str">
        <v>TOR</v>
      </c>
    </row>
    <row r="27" spans="1:6" x14ac:dyDescent="0.25">
      <c r="A27">
        <v>26</v>
      </c>
      <c r="B27" t="s">
        <v>65</v>
      </c>
      <c r="C27" s="5" t="s">
        <v>551</v>
      </c>
      <c r="D27" s="106" t="e">
        <f ca="1">_xlfn.XLOOKUP(C27,TeamRatingsSource!$B$3:$B$32,TeamRatingsSource!$N$3:$N$32)</f>
        <v>#NAME?</v>
      </c>
      <c r="E27" s="138" t="e">
        <f t="shared" ca="1" si="0"/>
        <v>#NAME?</v>
      </c>
      <c r="F27" t="str">
        <v>HOU</v>
      </c>
    </row>
    <row r="28" spans="1:6" x14ac:dyDescent="0.25">
      <c r="A28">
        <v>27</v>
      </c>
      <c r="B28" t="s">
        <v>77</v>
      </c>
      <c r="C28" s="5" t="s">
        <v>3114</v>
      </c>
      <c r="D28" s="106" t="e">
        <f ca="1">_xlfn.XLOOKUP(C28,TeamRatingsSource!$B$3:$B$32,TeamRatingsSource!$N$3:$N$32)</f>
        <v>#NAME?</v>
      </c>
      <c r="E28" s="138" t="e">
        <f t="shared" ca="1" si="0"/>
        <v>#NAME?</v>
      </c>
      <c r="F28" t="str">
        <v>WAS</v>
      </c>
    </row>
    <row r="29" spans="1:6" x14ac:dyDescent="0.25">
      <c r="A29">
        <v>28</v>
      </c>
      <c r="B29" t="s">
        <v>170</v>
      </c>
      <c r="C29" s="5" t="s">
        <v>567</v>
      </c>
      <c r="D29" s="106" t="e">
        <f ca="1">_xlfn.XLOOKUP(C29,TeamRatingsSource!$B$3:$B$32,TeamRatingsSource!$N$3:$N$32)</f>
        <v>#NAME?</v>
      </c>
      <c r="E29" s="138" t="e">
        <f t="shared" ca="1" si="0"/>
        <v>#NAME?</v>
      </c>
      <c r="F29" t="str">
        <v>IND</v>
      </c>
    </row>
    <row r="30" spans="1:6" x14ac:dyDescent="0.25">
      <c r="A30">
        <v>29</v>
      </c>
      <c r="B30" t="s">
        <v>95</v>
      </c>
      <c r="C30" s="5" t="s">
        <v>759</v>
      </c>
      <c r="D30" s="106" t="e">
        <f ca="1">_xlfn.XLOOKUP(C30,TeamRatingsSource!$B$3:$B$32,TeamRatingsSource!$N$3:$N$32)</f>
        <v>#NAME?</v>
      </c>
      <c r="E30" s="138" t="e">
        <f t="shared" ca="1" si="0"/>
        <v>#NAME?</v>
      </c>
      <c r="F30" t="str">
        <v>POR</v>
      </c>
    </row>
    <row r="31" spans="1:6" x14ac:dyDescent="0.25">
      <c r="A31">
        <v>30</v>
      </c>
      <c r="B31" t="s">
        <v>45</v>
      </c>
      <c r="C31" s="5" t="s">
        <v>815</v>
      </c>
      <c r="D31" s="106" t="e">
        <f ca="1">_xlfn.XLOOKUP(C31,TeamRatingsSource!$B$3:$B$32,TeamRatingsSource!$N$3:$N$32)</f>
        <v>#NAME?</v>
      </c>
      <c r="E31" s="138" t="e">
        <f t="shared" ca="1" si="0"/>
        <v>#NAME?</v>
      </c>
      <c r="F31" t="str">
        <v>UTA</v>
      </c>
    </row>
    <row r="33" spans="3:5" x14ac:dyDescent="0.25">
      <c r="C33" s="5" t="s">
        <v>3129</v>
      </c>
      <c r="D33" s="138" t="e" cm="1">
        <f t="array" ref="D33" ca="1">SUMPRODUCT(VALUE(D2:D31))/30</f>
        <v>#NAME?</v>
      </c>
      <c r="E33" s="10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877D-1EEC-4764-972B-8F94EF4FFD77}">
  <dimension ref="A2:Y139"/>
  <sheetViews>
    <sheetView zoomScale="98" zoomScaleNormal="98" workbookViewId="0">
      <selection activeCell="G17" sqref="G17"/>
    </sheetView>
  </sheetViews>
  <sheetFormatPr defaultColWidth="5.42578125" defaultRowHeight="15" x14ac:dyDescent="0.25"/>
  <cols>
    <col min="1" max="1" width="4.5703125" bestFit="1" customWidth="1"/>
    <col min="2" max="2" width="23.140625" bestFit="1" customWidth="1"/>
    <col min="3" max="3" width="5.140625" bestFit="1" customWidth="1"/>
    <col min="4" max="4" width="6.42578125" bestFit="1" customWidth="1"/>
    <col min="5" max="5" width="12.7109375" bestFit="1" customWidth="1"/>
    <col min="6" max="6" width="12.85546875" bestFit="1" customWidth="1"/>
    <col min="7" max="7" width="22.42578125" bestFit="1" customWidth="1"/>
    <col min="8" max="8" width="6.140625" bestFit="1" customWidth="1"/>
    <col min="9" max="9" width="9.7109375" bestFit="1" customWidth="1"/>
    <col min="10" max="10" width="21.7109375" bestFit="1" customWidth="1"/>
    <col min="11" max="11" width="6.140625" bestFit="1" customWidth="1"/>
    <col min="12" max="12" width="9.140625" bestFit="1" customWidth="1"/>
    <col min="13" max="13" width="21.28515625" bestFit="1" customWidth="1"/>
    <col min="14" max="14" width="5.85546875" bestFit="1" customWidth="1"/>
    <col min="15" max="15" width="9.42578125" bestFit="1" customWidth="1"/>
    <col min="16" max="16" width="10.85546875" bestFit="1" customWidth="1"/>
    <col min="17" max="17" width="6.85546875" bestFit="1" customWidth="1"/>
    <col min="18" max="18" width="36.5703125" bestFit="1" customWidth="1"/>
    <col min="19" max="19" width="25.5703125" bestFit="1" customWidth="1"/>
    <col min="20" max="20" width="10.28515625" bestFit="1" customWidth="1"/>
    <col min="21" max="21" width="10.28515625" customWidth="1"/>
    <col min="22" max="22" width="23" bestFit="1" customWidth="1"/>
    <col min="23" max="23" width="25.5703125" bestFit="1" customWidth="1"/>
    <col min="24" max="24" width="6.7109375" bestFit="1" customWidth="1"/>
    <col min="25" max="25" width="5.85546875" customWidth="1"/>
  </cols>
  <sheetData>
    <row r="2" spans="1:25" ht="15" customHeight="1" x14ac:dyDescent="0.5">
      <c r="B2" s="200" t="s">
        <v>3130</v>
      </c>
      <c r="C2" s="201"/>
      <c r="D2" s="202"/>
      <c r="E2" s="212" t="s">
        <v>687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4"/>
      <c r="R2" s="208"/>
      <c r="S2" s="208"/>
      <c r="T2" s="209"/>
      <c r="U2" s="183"/>
    </row>
    <row r="3" spans="1:25" ht="15.75" customHeight="1" x14ac:dyDescent="0.5">
      <c r="B3" s="203"/>
      <c r="C3" s="204"/>
      <c r="D3" s="205"/>
      <c r="E3" s="215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7"/>
      <c r="R3" s="210"/>
      <c r="S3" s="210"/>
      <c r="T3" s="211"/>
      <c r="U3" s="183"/>
    </row>
    <row r="5" spans="1:25" ht="15" customHeight="1" x14ac:dyDescent="0.5">
      <c r="B5" s="200" t="s">
        <v>3131</v>
      </c>
      <c r="C5" s="201"/>
      <c r="D5" s="202"/>
      <c r="E5" s="212" t="s">
        <v>409</v>
      </c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4"/>
      <c r="R5" s="208"/>
      <c r="S5" s="208"/>
      <c r="T5" s="209"/>
      <c r="U5" s="183"/>
    </row>
    <row r="6" spans="1:25" ht="15.75" customHeight="1" x14ac:dyDescent="0.5">
      <c r="B6" s="203"/>
      <c r="C6" s="204"/>
      <c r="D6" s="205"/>
      <c r="E6" s="215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7"/>
      <c r="R6" s="210"/>
      <c r="S6" s="210"/>
      <c r="T6" s="211"/>
      <c r="U6" s="183"/>
    </row>
    <row r="9" spans="1:25" ht="31.5" customHeight="1" x14ac:dyDescent="0.5">
      <c r="B9" s="206" t="str">
        <f>E2</f>
        <v>New York Knicks</v>
      </c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184"/>
      <c r="V9" s="156"/>
      <c r="W9" s="156"/>
    </row>
    <row r="10" spans="1:25" ht="33.75" x14ac:dyDescent="0.5">
      <c r="B10" s="188"/>
      <c r="C10" s="188" t="e">
        <f ca="1">_xlfn.XLOOKUP(B14,PlayerStatsSeason!$B$3:$B$996,PlayerStatsSeason!$H$3:$H$996)</f>
        <v>#NAME?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25" ht="18.75" x14ac:dyDescent="0.3">
      <c r="A11" s="157"/>
      <c r="B11" s="158" t="s">
        <v>171</v>
      </c>
      <c r="C11" s="158" t="s">
        <v>878</v>
      </c>
      <c r="D11" s="158" t="s">
        <v>3132</v>
      </c>
      <c r="E11" s="158" t="s">
        <v>3133</v>
      </c>
      <c r="F11" s="158" t="s">
        <v>3134</v>
      </c>
      <c r="G11" s="159" t="s">
        <v>3135</v>
      </c>
      <c r="H11" s="158" t="s">
        <v>887</v>
      </c>
      <c r="I11" s="158" t="s">
        <v>3136</v>
      </c>
      <c r="J11" s="159" t="s">
        <v>3137</v>
      </c>
      <c r="K11" s="158" t="s">
        <v>884</v>
      </c>
      <c r="L11" s="158" t="s">
        <v>3138</v>
      </c>
      <c r="M11" s="159" t="s">
        <v>3139</v>
      </c>
      <c r="N11" s="158" t="s">
        <v>891</v>
      </c>
      <c r="O11" s="158" t="s">
        <v>3140</v>
      </c>
      <c r="P11" s="158" t="s">
        <v>3141</v>
      </c>
      <c r="Q11" s="158" t="s">
        <v>3142</v>
      </c>
      <c r="R11" s="158" t="s">
        <v>872</v>
      </c>
      <c r="S11" s="158" t="s">
        <v>873</v>
      </c>
      <c r="T11" s="160" t="s">
        <v>3143</v>
      </c>
      <c r="U11" s="185" t="s">
        <v>3144</v>
      </c>
      <c r="V11" s="180" t="s">
        <v>872</v>
      </c>
      <c r="W11" s="182" t="s">
        <v>3143</v>
      </c>
    </row>
    <row r="12" spans="1:25" ht="15.75" x14ac:dyDescent="0.25">
      <c r="A12" s="169" t="s">
        <v>56</v>
      </c>
      <c r="B12" s="170" t="e">
        <f ca="1">_xlfn.XLOOKUP(A12,PlayerWorking!$K$5:$K$31,PlayerWorking!$I$5:$I$31)</f>
        <v>#NAME?</v>
      </c>
      <c r="C12" s="171">
        <v>44</v>
      </c>
      <c r="D12" s="171" t="e">
        <f ca="1">IF(Q12&lt;=5,C12,C12/SUM(PlayerWorking!$J$10:$J$27)*(240-SUM(PlayerWorking!$J$5:$J$9)))</f>
        <v>#NAME?</v>
      </c>
      <c r="E12" s="171" t="e">
        <f ca="1">IF(D12&gt;0,_xlfn.XLOOKUP(B12,PlayerStatsSeason!$B$3:$B$996,PlayerStatsSeason!$J$3:$J$996)+_xlfn.XLOOKUP(B12,PlayerStatsSeason!$B$3:$B$996,PlayerStatsSeason!$T$3:$T$996))</f>
        <v>#NAME?</v>
      </c>
      <c r="F12" s="172" t="e">
        <f ca="1">((0.0182*(D12)^2-0.1186*(D12)+2.3528)/(0.0182*(C12)^2-0.1186*(C12)+2.3528))*E12</f>
        <v>#NAME?</v>
      </c>
      <c r="G12" s="173" t="e">
        <f ca="1">_xlfn.XLOOKUP($B12, PlayerStatsSeason!$B$3:$B$996, PlayerStatsSeason!$P$3:$P$996)/(_xlfn.XLOOKUP($B12, PlayerStatsSeason!$B$3:$B$996, PlayerStatsSeason!$P$3:$P$996)+_xlfn.XLOOKUP($B12, PlayerStatsSeason!$B$3:$B$996, PlayerStatsSeason!$M$3:$M$996)+_xlfn.XLOOKUP(B$12,PlayerStatsSeason!$B$3:$B$996,PlayerStatsSeason!$T$3:$T$996))</f>
        <v>#NAME?</v>
      </c>
      <c r="H12" s="173" t="e">
        <f ca="1">_xlfn.LET(_xlpm.val, _xlfn.XLOOKUP(B12, PlayerStatsSeason!$B$3:$B$996, PlayerStatsSeason!$Q$3:$Q$996, ""),
  IF(OR(_xlpm.val=0, _xlpm.val=""), "", VALUE(_xlpm.val))
)</f>
        <v>#NAME?</v>
      </c>
      <c r="I12" s="174" t="e">
        <f ca="1">_xlfn.LET(
  _xlpm.val, _xlfn.XLOOKUP(B12, PlayerStatsSeason!$B$3:$B$996, PlayerStatsSeason!$P$3:$P$996, ""),
  IF(OR(_xlpm.val=0, _xlpm.val=""), "", VALUE(_xlpm.val))
)</f>
        <v>#NAME?</v>
      </c>
      <c r="J12" s="173" t="e">
        <f ca="1">_xlfn.XLOOKUP($B12, PlayerStatsSeason!$B$3:$B$996, PlayerStatsSeason!$M$3:$M$996)/(_xlfn.XLOOKUP($B12, PlayerStatsSeason!$B$3:$B$996, PlayerStatsSeason!$P$3:$P$996)+_xlfn.XLOOKUP($B12, PlayerStatsSeason!$B$3:$B$996, PlayerStatsSeason!$M$3:$M$996)+_xlfn.XLOOKUP(B$12,PlayerStatsSeason!$B$3:$B$996,PlayerStatsSeason!$T$3:$T$996))</f>
        <v>#NAME?</v>
      </c>
      <c r="K12" s="175" t="e">
        <f ca="1">_xlfn.LET(
  _xlpm.val, _xlfn.XLOOKUP(B12, PlayerStatsSeason!$B$3:$B$996, PlayerStatsSeason!$N$3:$N$996, ""),
  IF(OR(_xlpm.val=0, _xlpm.val=""), "", VALUE(_xlpm.val))
)</f>
        <v>#NAME?</v>
      </c>
      <c r="L12" s="174" t="e" cm="1">
        <f t="array" aca="1" ref="L12" ca="1">_xlfn.LET(
  _xlpm.val, _xlfn.XLOOKUP(B12, PlayerStatsSeason!$B$3:$B$996, PlayerStatsSeason!$M$3:$M$996, ""),
  IF(OR(_xlpm.val=0, _xlpm.val=""), "", VALUE(_xlpm.val))
)</f>
        <v>#NAME?</v>
      </c>
      <c r="M12" s="173" t="e">
        <f ca="1">_xlfn.XLOOKUP($B12, PlayerStatsSeason!$B$3:$B$996, PlayerStatsSeason!$T$3:$T$996)/(_xlfn.XLOOKUP($B12, PlayerStatsSeason!$B$3:$B$996, PlayerStatsSeason!$P$3:$P$996)+_xlfn.XLOOKUP($B12, PlayerStatsSeason!$B$3:$B$996, PlayerStatsSeason!$M$3:$M$996)+_xlfn.XLOOKUP(B$12,PlayerStatsSeason!$B$3:$B$996,PlayerStatsSeason!$T$3:$T$996))</f>
        <v>#NAME?</v>
      </c>
      <c r="N12" s="175" t="e">
        <f ca="1">_xlfn.LET(
  _xlpm.val, _xlfn.XLOOKUP(B12, PlayerStatsSeason!$B$3:$B$996, PlayerStatsSeason!$U$3:$U$996, ""),
  IF(OR(_xlpm.val=0, _xlpm.val=""), "", VALUE(_xlpm.val))
)</f>
        <v>#NAME?</v>
      </c>
      <c r="O12" s="174" t="e">
        <f ca="1">_xlfn.LET(
  _xlpm.val, _xlfn.XLOOKUP(B12, PlayerStatsSeason!$B$3:$B$996, PlayerStatsSeason!$T$3:$T$996, ""),
  IF(OR(_xlpm.val=0, _xlpm.val=""), "", VALUE(_xlpm.val))
)</f>
        <v>#NAME?</v>
      </c>
      <c r="P12" s="170" t="e" cm="1">
        <f t="array" aca="1" ref="P12" ca="1">_xlfn.LET(
  _xlpm.val, _xlfn.XLOOKUP(B12, PlayerStatsSeason!$B$3:$B$996, PlayerStatsSeason!$AD$3:$AD$996, ""),
  IF(OR(_xlpm.val=0, _xlpm.val=""), "", VALUE(_xlpm.val))
)</f>
        <v>#NAME?</v>
      </c>
      <c r="Q12" s="170" t="e">
        <f ca="1">_xlfn.RANK.EQ(_xlfn.XLOOKUP($B12,PlayerWorking!$I$5:$I$31,PlayerWorking!$J$5:$J$31),PlayerWorking!$J$5:$J$31)</f>
        <v>#NAME?</v>
      </c>
      <c r="R12" s="170" t="e">
        <f ca="1">IF(D12&gt;0,ROUND(((L12 * K12 * 3) + (I12 * H12 * 2) + (O12 * N12)) * (C12 / 32), 1),0)</f>
        <v>#NAME?</v>
      </c>
      <c r="S12" s="176" t="e">
        <f ca="1">ROUND(
   2 * _xlfn.BINOM.INV(ROUND(F12 * G12, 0), H12, RAND()) +
   3 * _xlfn.BINOM.INV(ROUND(F12 * I12, 0), J12, RAND()) +
       _xlfn.BINOM.INV(ROUND(F12 * K12, 0), L12, RAND()),
0)</f>
        <v>#NAME?</v>
      </c>
      <c r="T12" s="177" t="e">
        <f ca="1">IF(D12&gt;0,IFERROR(2*_xlfn.BINOM.INV(_xlfn.BINOM.INV(F12,G12,RAND()),H12,RAND())+ 3*_xlfn.BINOM.INV(_xlfn.BINOM.INV(F12,J12,RAND()),K12,RAND())+ _xlfn.BINOM.INV(_xlfn.BINOM.INV(F12,M12,RAND()),N12,RAND()),ROUND((F12/E12)*_xlfn.XLOOKUP(B12,PlayerStatsSeason!B3:B996,PlayerStatsSeason!AD3:AD996),0)),0)</f>
        <v>#NAME?</v>
      </c>
      <c r="U12" s="9">
        <v>18.5</v>
      </c>
      <c r="V12" t="e">
        <f ca="1">R12-U12</f>
        <v>#NAME?</v>
      </c>
      <c r="W12" t="e">
        <f ca="1">T12-U12</f>
        <v>#NAME?</v>
      </c>
      <c r="X12" s="186" t="e">
        <f ca="1">IF(D12&gt;0,
   IFERROR(
      ROUND(
         0.5 * (
            3 * _xlfn.BINOM.INV(G12, H12, RAND()) +
            2 * _xlfn.BINOM.INV(J12, K12, RAND()) +
            _xlfn.BINOM.INV(M12, N12, RAND())
         ) +
         0.5 * _xlfn.XLOOKUP(B12, PlayerStatsSeason!B3:B996, PlayerStatsSeason!AD3:AD996),
      0),
   0),
0)</f>
        <v>#NAME?</v>
      </c>
      <c r="Y12" s="41" t="e">
        <f ca="1">IF(D12&gt;0,
   IFERROR(
      ROUND(
         0.5 * (
            3 * _xlfn.BINOM.INV(G12, H12, RAND()) +
            2 * _xlfn.BINOM.INV(J12, K12, RAND()) +
            _xlfn.BINOM.INV(M12, N12, RAND())
         ) +
         0.5 * _xlfn.XLOOKUP(B12, PlayerStatsSeason!$B$3:$B$996, PlayerStatsSeason!$AD$3:$AD$996),
      0),
   0),
0)</f>
        <v>#NAME?</v>
      </c>
    </row>
    <row r="13" spans="1:25" ht="15.75" x14ac:dyDescent="0.25">
      <c r="A13" s="146" t="s">
        <v>63</v>
      </c>
      <c r="B13" s="141" t="e">
        <f ca="1">_xlfn.XLOOKUP(A13,PlayerWorking!$K$5:$K$31,PlayerWorking!$I$5:$I$31)</f>
        <v>#NAME?</v>
      </c>
      <c r="C13" s="142">
        <v>45</v>
      </c>
      <c r="D13" s="142" t="e">
        <f ca="1">IF(Q13&lt;=5,C13,C13/SUM(PlayerWorking!$J$10:$J$27)*(240-SUM(PlayerWorking!$J$5:$J$9)))</f>
        <v>#NAME?</v>
      </c>
      <c r="E13" s="142" t="e">
        <f ca="1">IF(D13&gt;0,_xlfn.XLOOKUP(B13,PlayerStatsSeason!$B$3:$B$996,PlayerStatsSeason!$J$3:$J$996)+_xlfn.XLOOKUP(B13,PlayerStatsSeason!$B$3:$B$996,PlayerStatsSeason!$T$3:$T$996))</f>
        <v>#NAME?</v>
      </c>
      <c r="F13" s="145" t="e">
        <f t="shared" ref="F13:F36" ca="1" si="0">((0.0182*(D13)^2-0.1186*(D13)+2.3528)/(0.0182*(C13)^2-0.1186*(C13)+2.3528))*E13</f>
        <v>#NAME?</v>
      </c>
      <c r="G13" s="149" t="e">
        <f ca="1">_xlfn.XLOOKUP($B13, PlayerStatsSeason!$B$3:$B$996, PlayerStatsSeason!$P$3:$P$996)/(_xlfn.XLOOKUP($B13, PlayerStatsSeason!$B$3:$B$996, PlayerStatsSeason!$P$3:$P$996)+_xlfn.XLOOKUP($B13, PlayerStatsSeason!$B$3:$B$996, PlayerStatsSeason!$M$3:$M$996)+_xlfn.XLOOKUP(B$12,PlayerStatsSeason!$B$3:$B$996,PlayerStatsSeason!$T$3:$T$996))</f>
        <v>#NAME?</v>
      </c>
      <c r="H13" s="149" t="e">
        <f ca="1">_xlfn.LET(_xlpm.val, _xlfn.XLOOKUP(B13, PlayerStatsSeason!$B$3:$B$996, PlayerStatsSeason!$Q$3:$Q$996, ""),
  IF(OR(_xlpm.val=0, _xlpm.val=""), "", VALUE(_xlpm.val))
)</f>
        <v>#NAME?</v>
      </c>
      <c r="I13" s="144" t="e">
        <f ca="1">_xlfn.LET(
  _xlpm.val, _xlfn.XLOOKUP(B13, PlayerStatsSeason!$B$3:$B$996, PlayerStatsSeason!$P$3:$P$996, ""),
  IF(OR(_xlpm.val=0, _xlpm.val=""), "", VALUE(_xlpm.val))
)</f>
        <v>#NAME?</v>
      </c>
      <c r="J13" s="149" t="e">
        <f ca="1">_xlfn.XLOOKUP($B13, PlayerStatsSeason!$B$3:$B$996, PlayerStatsSeason!$M$3:$M$996)/(_xlfn.XLOOKUP($B13, PlayerStatsSeason!$B$3:$B$996, PlayerStatsSeason!$P$3:$P$996)+_xlfn.XLOOKUP($B13, PlayerStatsSeason!$B$3:$B$996, PlayerStatsSeason!$M$3:$M$996)+_xlfn.XLOOKUP(B$12,PlayerStatsSeason!$B$3:$B$996,PlayerStatsSeason!$T$3:$T$996))</f>
        <v>#NAME?</v>
      </c>
      <c r="K13" s="175" t="e">
        <f ca="1">_xlfn.LET(
  _xlpm.val, _xlfn.XLOOKUP(B13, PlayerStatsSeason!$B$3:$B$996, PlayerStatsSeason!$N$3:$N$996, ""),
  IF(OR(_xlpm.val=0, _xlpm.val=""), "", VALUE(_xlpm.val))
)</f>
        <v>#NAME?</v>
      </c>
      <c r="L13" s="174" t="e" cm="1">
        <f t="array" aca="1" ref="L13" ca="1">_xlfn.LET(
  _xlpm.val, _xlfn.XLOOKUP(B13, PlayerStatsSeason!$B$3:$B$996, PlayerStatsSeason!$M$3:$M$996, ""),
  IF(OR(_xlpm.val=0, _xlpm.val=""), "", VALUE(_xlpm.val))
)</f>
        <v>#NAME?</v>
      </c>
      <c r="M13" s="149" t="e">
        <f ca="1">_xlfn.XLOOKUP($B13, PlayerStatsSeason!$B$3:$B$996, PlayerStatsSeason!$T$3:$T$996)/(_xlfn.XLOOKUP($B13, PlayerStatsSeason!$B$3:$B$996, PlayerStatsSeason!$P$3:$P$996)+_xlfn.XLOOKUP($B13, PlayerStatsSeason!$B$3:$B$996, PlayerStatsSeason!$M$3:$M$996)+_xlfn.XLOOKUP(B$12,PlayerStatsSeason!$B$3:$B$996,PlayerStatsSeason!$T$3:$T$996))</f>
        <v>#NAME?</v>
      </c>
      <c r="N13" s="143" t="e">
        <f ca="1">_xlfn.LET(
  _xlpm.val, _xlfn.XLOOKUP(B13, PlayerStatsSeason!$B$3:$B$996, PlayerStatsSeason!$U$3:$U$996, ""),
  IF(OR(_xlpm.val=0, _xlpm.val=""), "", VALUE(_xlpm.val))
)</f>
        <v>#NAME?</v>
      </c>
      <c r="O13" s="144" t="e">
        <f ca="1">_xlfn.LET(
  _xlpm.val, _xlfn.XLOOKUP(B13, PlayerStatsSeason!$B$3:$B$996, PlayerStatsSeason!$T$3:$T$996, ""),
  IF(OR(_xlpm.val=0, _xlpm.val=""), "", VALUE(_xlpm.val))
)</f>
        <v>#NAME?</v>
      </c>
      <c r="P13" s="170" t="e" cm="1">
        <f t="array" aca="1" ref="P13" ca="1">_xlfn.LET(
  _xlpm.val, _xlfn.XLOOKUP(B13, PlayerStatsSeason!$B$3:$B$996, PlayerStatsSeason!$AD$3:$AD$996, ""),
  IF(OR(_xlpm.val=0, _xlpm.val=""), "", VALUE(_xlpm.val))
)</f>
        <v>#NAME?</v>
      </c>
      <c r="Q13" s="141" t="e">
        <f ca="1">_xlfn.RANK.EQ(_xlfn.XLOOKUP($B13,PlayerWorking!$I$5:$I$31,PlayerWorking!$J$5:$J$31),PlayerWorking!$J$5:$J$31)</f>
        <v>#NAME?</v>
      </c>
      <c r="R13" s="170" t="e">
        <f t="shared" ref="R13:R36" ca="1" si="1">IF(D13&gt;0,ROUND(((L13 * K13 * 3) + (I13 * H13 * 2) + (O13 * N13)) * (C13 / 32), 1),0)</f>
        <v>#NAME?</v>
      </c>
      <c r="S13" s="141"/>
      <c r="T13" s="154" t="e">
        <f ca="1">IF(D13&gt;0,IFERROR(2*_xlfn.BINOM.INV(_xlfn.BINOM.INV(F13,G13,RAND()),H13,RAND())+ 3*_xlfn.BINOM.INV(_xlfn.BINOM.INV(F13,J13,RAND()),K13,RAND())+ _xlfn.BINOM.INV(_xlfn.BINOM.INV(F13,M13,RAND()),N13,RAND()),ROUND((F13/E13)*_xlfn.XLOOKUP(B13,PlayerStatsSeason!B4:B997,PlayerStatsSeason!AD4:AD997),0)),0)</f>
        <v>#NAME?</v>
      </c>
      <c r="U13" s="9">
        <v>29.5</v>
      </c>
      <c r="V13" t="e">
        <f t="shared" ref="V13:V23" ca="1" si="2">R13-U13</f>
        <v>#NAME?</v>
      </c>
      <c r="W13" t="e">
        <f t="shared" ref="W13:W23" ca="1" si="3">T13-U13</f>
        <v>#NAME?</v>
      </c>
      <c r="X13" s="186" t="e">
        <f ca="1">IF(D13&gt;0,
   IFERROR(
      ROUND(
         0.5 * (
            3 * _xlfn.BINOM.INV(G13, H13, RAND()) +
            2 * _xlfn.BINOM.INV(J13, K13, RAND()) +
            _xlfn.BINOM.INV(M13, N13, RAND())
         ) +
         0.5 * _xlfn.XLOOKUP(B13, PlayerStatsSeason!B4:B997, PlayerStatsSeason!AD4:AD997),
      0),
   0),
0)</f>
        <v>#NAME?</v>
      </c>
      <c r="Y13" s="41" t="e">
        <f ca="1">IF(D13&gt;0,
   IFERROR(
      ROUND(
         0.5 * (
            3 * _xlfn.BINOM.INV(G13, H13, RAND()) +
            2 * _xlfn.BINOM.INV(J13, K13, RAND()) +
            _xlfn.BINOM.INV(M13, N13, RAND())
         ) +
         0.5 * _xlfn.XLOOKUP(B13, PlayerStatsSeason!$B$3:$B$996, PlayerStatsSeason!$AD$3:$AD$996),
      0),
   0),
0)</f>
        <v>#NAME?</v>
      </c>
    </row>
    <row r="14" spans="1:25" ht="15.75" x14ac:dyDescent="0.25">
      <c r="A14" s="146" t="s">
        <v>47</v>
      </c>
      <c r="B14" s="141" t="e">
        <f ca="1">_xlfn.XLOOKUP(A14,PlayerWorking!$K$5:$K$31,PlayerWorking!$I$5:$I$31)</f>
        <v>#NAME?</v>
      </c>
      <c r="C14" s="142">
        <v>51</v>
      </c>
      <c r="D14" s="142" t="e">
        <f ca="1">IF(Q14&lt;=5,C14,C14/SUM(PlayerWorking!$J$10:$J$27)*(240-SUM(PlayerWorking!$J$5:$J$9)))</f>
        <v>#NAME?</v>
      </c>
      <c r="E14" s="142" t="e">
        <f ca="1">IF(D14&gt;0,_xlfn.XLOOKUP(B14,PlayerStatsSeason!$B$3:$B$996,PlayerStatsSeason!$J$3:$J$996)+_xlfn.XLOOKUP(B14,PlayerStatsSeason!$B$3:$B$996,PlayerStatsSeason!$T$3:$T$996))</f>
        <v>#NAME?</v>
      </c>
      <c r="F14" s="145" t="e">
        <f t="shared" ca="1" si="0"/>
        <v>#NAME?</v>
      </c>
      <c r="G14" s="149" t="e">
        <f ca="1">_xlfn.XLOOKUP($B14, PlayerStatsSeason!$B$3:$B$996, PlayerStatsSeason!$P$3:$P$996)/(_xlfn.XLOOKUP($B14, PlayerStatsSeason!$B$3:$B$996, PlayerStatsSeason!$P$3:$P$996)+_xlfn.XLOOKUP($B14, PlayerStatsSeason!$B$3:$B$996, PlayerStatsSeason!$M$3:$M$996)+_xlfn.XLOOKUP(B$12,PlayerStatsSeason!$B$3:$B$996,PlayerStatsSeason!$T$3:$T$996))</f>
        <v>#NAME?</v>
      </c>
      <c r="H14" s="149" t="e">
        <f ca="1">_xlfn.LET(_xlpm.val, _xlfn.XLOOKUP(B14, PlayerStatsSeason!$B$3:$B$996, PlayerStatsSeason!$Q$3:$Q$996, ""),
  IF(OR(_xlpm.val=0, _xlpm.val=""), "", VALUE(_xlpm.val))
)</f>
        <v>#NAME?</v>
      </c>
      <c r="I14" s="144" t="e">
        <f ca="1">_xlfn.LET(
  _xlpm.val, _xlfn.XLOOKUP(B14, PlayerStatsSeason!$B$3:$B$996, PlayerStatsSeason!$P$3:$P$996, ""),
  IF(OR(_xlpm.val=0, _xlpm.val=""), "", VALUE(_xlpm.val))
)</f>
        <v>#NAME?</v>
      </c>
      <c r="J14" s="149" t="e">
        <f ca="1">_xlfn.XLOOKUP($B14, PlayerStatsSeason!$B$3:$B$996, PlayerStatsSeason!$M$3:$M$996)/(_xlfn.XLOOKUP($B14, PlayerStatsSeason!$B$3:$B$996, PlayerStatsSeason!$P$3:$P$996)+_xlfn.XLOOKUP($B14, PlayerStatsSeason!$B$3:$B$996, PlayerStatsSeason!$M$3:$M$996)+_xlfn.XLOOKUP(B$12,PlayerStatsSeason!$B$3:$B$996,PlayerStatsSeason!$T$3:$T$996))</f>
        <v>#NAME?</v>
      </c>
      <c r="K14" s="175" t="e">
        <f ca="1">_xlfn.LET(
  _xlpm.val, _xlfn.XLOOKUP(B14, PlayerStatsSeason!$B$3:$B$996, PlayerStatsSeason!$N$3:$N$996, ""),
  IF(OR(_xlpm.val=0, _xlpm.val=""), "", VALUE(_xlpm.val))
)</f>
        <v>#NAME?</v>
      </c>
      <c r="L14" s="174" t="e" cm="1">
        <f t="array" aca="1" ref="L14" ca="1">_xlfn.LET(
  _xlpm.val, _xlfn.XLOOKUP(B14, PlayerStatsSeason!$B$3:$B$996, PlayerStatsSeason!$M$3:$M$996, ""),
  IF(OR(_xlpm.val=0, _xlpm.val=""), "", VALUE(_xlpm.val))
)</f>
        <v>#NAME?</v>
      </c>
      <c r="M14" s="149" t="e">
        <f ca="1">_xlfn.XLOOKUP($B14, PlayerStatsSeason!$B$3:$B$996, PlayerStatsSeason!$T$3:$T$996)/(_xlfn.XLOOKUP($B14, PlayerStatsSeason!$B$3:$B$996, PlayerStatsSeason!$P$3:$P$996)+_xlfn.XLOOKUP($B14, PlayerStatsSeason!$B$3:$B$996, PlayerStatsSeason!$M$3:$M$996)+_xlfn.XLOOKUP(B$12,PlayerStatsSeason!$B$3:$B$996,PlayerStatsSeason!$T$3:$T$996))</f>
        <v>#NAME?</v>
      </c>
      <c r="N14" s="143" t="e">
        <f ca="1">_xlfn.LET(
  _xlpm.val, _xlfn.XLOOKUP(B14, PlayerStatsSeason!$B$3:$B$996, PlayerStatsSeason!$U$3:$U$996, ""),
  IF(OR(_xlpm.val=0, _xlpm.val=""), "", VALUE(_xlpm.val))
)</f>
        <v>#NAME?</v>
      </c>
      <c r="O14" s="144" t="e">
        <f ca="1">_xlfn.LET(
  _xlpm.val, _xlfn.XLOOKUP(B14, PlayerStatsSeason!$B$3:$B$996, PlayerStatsSeason!$T$3:$T$996, ""),
  IF(OR(_xlpm.val=0, _xlpm.val=""), "", VALUE(_xlpm.val))
)</f>
        <v>#NAME?</v>
      </c>
      <c r="P14" s="170" t="e" cm="1">
        <f t="array" aca="1" ref="P14" ca="1">_xlfn.LET(
  _xlpm.val, _xlfn.XLOOKUP(B14, PlayerStatsSeason!$B$3:$B$996, PlayerStatsSeason!$AD$3:$AD$996, ""),
  IF(OR(_xlpm.val=0, _xlpm.val=""), "", VALUE(_xlpm.val))
)</f>
        <v>#NAME?</v>
      </c>
      <c r="Q14" s="141" t="e">
        <f ca="1">_xlfn.RANK.EQ(_xlfn.XLOOKUP($B14,PlayerWorking!$I$5:$I$31,PlayerWorking!$J$5:$J$31),PlayerWorking!$J$5:$J$31)</f>
        <v>#NAME?</v>
      </c>
      <c r="R14" s="170" t="e">
        <f t="shared" ca="1" si="1"/>
        <v>#NAME?</v>
      </c>
      <c r="S14" s="141"/>
      <c r="T14" s="154" t="e">
        <f ca="1">IF(D14&gt;0,IFERROR(2*_xlfn.BINOM.INV(_xlfn.BINOM.INV(F14,G14,RAND()),H14,RAND())+ 3*_xlfn.BINOM.INV(_xlfn.BINOM.INV(F14,J14,RAND()),K14,RAND())+ _xlfn.BINOM.INV(_xlfn.BINOM.INV(F14,M14,RAND()),N14,RAND()),ROUND((F14/E14)*_xlfn.XLOOKUP(B14,PlayerStatsSeason!B5:B998,PlayerStatsSeason!AD5:AD998),0)),0)</f>
        <v>#NAME?</v>
      </c>
      <c r="U14" s="9">
        <v>13.5</v>
      </c>
      <c r="V14" t="e">
        <f t="shared" ca="1" si="2"/>
        <v>#NAME?</v>
      </c>
      <c r="W14" t="e">
        <f t="shared" ca="1" si="3"/>
        <v>#NAME?</v>
      </c>
      <c r="X14" s="186" t="e">
        <f ca="1">IF(D14&gt;0,
   IFERROR(
      ROUND(
         0.5 * (
            3 * _xlfn.BINOM.INV(G14, H14, RAND()) +
            2 * _xlfn.BINOM.INV(J14, K14, RAND()) +
            _xlfn.BINOM.INV(M14, N14, RAND())
         ) +
         0.5 * _xlfn.XLOOKUP(B14, PlayerStatsSeason!B5:B998, PlayerStatsSeason!AD5:AD998),
      0),
   0),
0)</f>
        <v>#NAME?</v>
      </c>
      <c r="Y14" s="41" t="e">
        <f ca="1">IF(D14&gt;0,
   IFERROR(
      ROUND(
         0.5 * (
            3 * _xlfn.BINOM.INV(G14, H14, RAND()) +
            2 * _xlfn.BINOM.INV(J14, K14, RAND()) +
            _xlfn.BINOM.INV(M14, N14, RAND())
         ) +
         0.5 * _xlfn.XLOOKUP(B14, PlayerStatsSeason!$B$3:$B$996, PlayerStatsSeason!$AD$3:$AD$996),
      0),
   0),
0)</f>
        <v>#NAME?</v>
      </c>
    </row>
    <row r="15" spans="1:25" ht="15.75" x14ac:dyDescent="0.25">
      <c r="A15" s="146" t="s">
        <v>93</v>
      </c>
      <c r="B15" s="141" t="e">
        <f ca="1">_xlfn.XLOOKUP(A15,PlayerWorking!$K$5:$K$31,PlayerWorking!$I$5:$I$31)</f>
        <v>#NAME?</v>
      </c>
      <c r="C15" s="142">
        <v>46</v>
      </c>
      <c r="D15" s="145" t="e">
        <f ca="1">IF(Q15&lt;=5,C15,C15/SUM(PlayerWorking!$J$10:$J$27)*(240-SUM(PlayerWorking!$J$5:$J$9)))</f>
        <v>#NAME?</v>
      </c>
      <c r="E15" s="142" t="e">
        <f ca="1">IF(D15&gt;0,_xlfn.XLOOKUP(B15,PlayerStatsSeason!$B$3:$B$996,PlayerStatsSeason!$J$3:$J$996)+_xlfn.XLOOKUP(B15,PlayerStatsSeason!$B$3:$B$996,PlayerStatsSeason!$T$3:$T$996))</f>
        <v>#NAME?</v>
      </c>
      <c r="F15" s="145" t="e">
        <f t="shared" ca="1" si="0"/>
        <v>#NAME?</v>
      </c>
      <c r="G15" s="149" t="e">
        <f ca="1">_xlfn.XLOOKUP($B15, PlayerStatsSeason!$B$3:$B$996, PlayerStatsSeason!$P$3:$P$996)/(_xlfn.XLOOKUP($B15, PlayerStatsSeason!$B$3:$B$996, PlayerStatsSeason!$P$3:$P$996)+_xlfn.XLOOKUP($B15, PlayerStatsSeason!$B$3:$B$996, PlayerStatsSeason!$M$3:$M$996)+_xlfn.XLOOKUP(B$12,PlayerStatsSeason!$B$3:$B$996,PlayerStatsSeason!$T$3:$T$996))</f>
        <v>#NAME?</v>
      </c>
      <c r="H15" s="149" t="e">
        <f ca="1">_xlfn.LET(_xlpm.val, _xlfn.XLOOKUP(B15, PlayerStatsSeason!$B$3:$B$996, PlayerStatsSeason!$Q$3:$Q$996, ""),
  IF(OR(_xlpm.val=0, _xlpm.val=""), "", VALUE(_xlpm.val))
)</f>
        <v>#NAME?</v>
      </c>
      <c r="I15" s="144" t="e">
        <f ca="1">_xlfn.LET(
  _xlpm.val, _xlfn.XLOOKUP(B15, PlayerStatsSeason!$B$3:$B$996, PlayerStatsSeason!$P$3:$P$996, ""),
  IF(OR(_xlpm.val=0, _xlpm.val=""), "", VALUE(_xlpm.val))
)</f>
        <v>#NAME?</v>
      </c>
      <c r="J15" s="149" t="e">
        <f ca="1">_xlfn.XLOOKUP($B15, PlayerStatsSeason!$B$3:$B$996, PlayerStatsSeason!$M$3:$M$996)/(_xlfn.XLOOKUP($B15, PlayerStatsSeason!$B$3:$B$996, PlayerStatsSeason!$P$3:$P$996)+_xlfn.XLOOKUP($B15, PlayerStatsSeason!$B$3:$B$996, PlayerStatsSeason!$M$3:$M$996)+_xlfn.XLOOKUP(B$12,PlayerStatsSeason!$B$3:$B$996,PlayerStatsSeason!$T$3:$T$996))</f>
        <v>#NAME?</v>
      </c>
      <c r="K15" s="175" t="e">
        <f ca="1">_xlfn.LET(
  _xlpm.val, _xlfn.XLOOKUP(B15, PlayerStatsSeason!$B$3:$B$996, PlayerStatsSeason!$N$3:$N$996, ""),
  IF(OR(_xlpm.val=0, _xlpm.val=""), "", VALUE(_xlpm.val))
)</f>
        <v>#NAME?</v>
      </c>
      <c r="L15" s="174" t="e" cm="1">
        <f t="array" aca="1" ref="L15" ca="1">_xlfn.LET(
  _xlpm.val, _xlfn.XLOOKUP(B15, PlayerStatsSeason!$B$3:$B$996, PlayerStatsSeason!$M$3:$M$996, ""),
  IF(OR(_xlpm.val=0, _xlpm.val=""), "", VALUE(_xlpm.val))
)</f>
        <v>#NAME?</v>
      </c>
      <c r="M15" s="149" t="e">
        <f ca="1">_xlfn.XLOOKUP($B15, PlayerStatsSeason!$B$3:$B$996, PlayerStatsSeason!$T$3:$T$996)/(_xlfn.XLOOKUP($B15, PlayerStatsSeason!$B$3:$B$996, PlayerStatsSeason!$P$3:$P$996)+_xlfn.XLOOKUP($B15, PlayerStatsSeason!$B$3:$B$996, PlayerStatsSeason!$M$3:$M$996)+_xlfn.XLOOKUP(B$12,PlayerStatsSeason!$B$3:$B$996,PlayerStatsSeason!$T$3:$T$996))</f>
        <v>#NAME?</v>
      </c>
      <c r="N15" s="143" t="e">
        <f ca="1">_xlfn.LET(
  _xlpm.val, _xlfn.XLOOKUP(B15, PlayerStatsSeason!$B$3:$B$996, PlayerStatsSeason!$U$3:$U$996, ""),
  IF(OR(_xlpm.val=0, _xlpm.val=""), "", VALUE(_xlpm.val))
)</f>
        <v>#NAME?</v>
      </c>
      <c r="O15" s="144" t="e">
        <f ca="1">_xlfn.LET(
  _xlpm.val, _xlfn.XLOOKUP(B15, PlayerStatsSeason!$B$3:$B$996, PlayerStatsSeason!$T$3:$T$996, ""),
  IF(OR(_xlpm.val=0, _xlpm.val=""), "", VALUE(_xlpm.val))
)</f>
        <v>#NAME?</v>
      </c>
      <c r="P15" s="170" t="e" cm="1">
        <f t="array" aca="1" ref="P15" ca="1">_xlfn.LET(
  _xlpm.val, _xlfn.XLOOKUP(B15, PlayerStatsSeason!$B$3:$B$996, PlayerStatsSeason!$AD$3:$AD$996, ""),
  IF(OR(_xlpm.val=0, _xlpm.val=""), "", VALUE(_xlpm.val))
)</f>
        <v>#NAME?</v>
      </c>
      <c r="Q15" s="141" t="e">
        <f ca="1">_xlfn.RANK.EQ(_xlfn.XLOOKUP($B15,PlayerWorking!$I$5:$I$31,PlayerWorking!$J$5:$J$31),PlayerWorking!$J$5:$J$31)</f>
        <v>#NAME?</v>
      </c>
      <c r="R15" s="170" t="e">
        <f t="shared" ca="1" si="1"/>
        <v>#NAME?</v>
      </c>
      <c r="S15" s="141"/>
      <c r="T15" s="154" t="e">
        <f ca="1">IF(D15&gt;0,IFERROR(2*_xlfn.BINOM.INV(_xlfn.BINOM.INV(F15,G15,RAND()),H15,RAND())+ 3*_xlfn.BINOM.INV(_xlfn.BINOM.INV(F15,J15,RAND()),K15,RAND())+ _xlfn.BINOM.INV(_xlfn.BINOM.INV(F15,M15,RAND()),N15,RAND()),ROUND((F15/E15)*_xlfn.XLOOKUP(B15,PlayerStatsSeason!B6:B999,PlayerStatsSeason!AD6:AD999),0)),0)</f>
        <v>#NAME?</v>
      </c>
      <c r="U15" s="9">
        <v>16.5</v>
      </c>
      <c r="V15" t="e">
        <f t="shared" ca="1" si="2"/>
        <v>#NAME?</v>
      </c>
      <c r="W15" t="e">
        <f t="shared" ca="1" si="3"/>
        <v>#NAME?</v>
      </c>
      <c r="X15" s="186" t="e">
        <f ca="1">IF(D15&gt;0,
   IFERROR(
      ROUND(
         0.5 * (
            3 * _xlfn.BINOM.INV(G15, H15, RAND()) +
            2 * _xlfn.BINOM.INV(J15, K15, RAND()) +
            _xlfn.BINOM.INV(M15, N15, RAND())
         ) +
         0.5 * _xlfn.XLOOKUP(B15, PlayerStatsSeason!B6:B999, PlayerStatsSeason!AD6:AD999),
      0),
   0),
0)</f>
        <v>#NAME?</v>
      </c>
      <c r="Y15" s="41" t="e">
        <f ca="1">IF(D15&gt;0,
   IFERROR(
      ROUND(
         0.5 * (
            3 * _xlfn.BINOM.INV(G15, H15, RAND()) +
            2 * _xlfn.BINOM.INV(J15, K15, RAND()) +
            _xlfn.BINOM.INV(M15, N15, RAND())
         ) +
         0.5 * _xlfn.XLOOKUP(B15, PlayerStatsSeason!$B$3:$B$996, PlayerStatsSeason!$AD$3:$AD$996),
      0),
   0),
0)</f>
        <v>#NAME?</v>
      </c>
    </row>
    <row r="16" spans="1:25" ht="15.75" x14ac:dyDescent="0.25">
      <c r="A16" s="146" t="s">
        <v>72</v>
      </c>
      <c r="B16" s="141" t="e">
        <f ca="1">_xlfn.XLOOKUP(A16,PlayerWorking!$K$5:$K$31,PlayerWorking!$I$5:$I$31)</f>
        <v>#NAME?</v>
      </c>
      <c r="C16" s="142">
        <v>31</v>
      </c>
      <c r="D16" s="142" t="e">
        <f ca="1">IF(Q16&lt;=5,C16,C16/SUM(PlayerWorking!$J$10:$J$27)*(240-SUM(PlayerWorking!$J$5:$J$9)))</f>
        <v>#NAME?</v>
      </c>
      <c r="E16" s="142" t="e">
        <f ca="1">IF(D16&gt;0,_xlfn.XLOOKUP(B16,PlayerStatsSeason!$B$3:$B$996,PlayerStatsSeason!$J$3:$J$996)+_xlfn.XLOOKUP(B16,PlayerStatsSeason!$B$3:$B$996,PlayerStatsSeason!$T$3:$T$996))</f>
        <v>#NAME?</v>
      </c>
      <c r="F16" s="145" t="e">
        <f t="shared" ca="1" si="0"/>
        <v>#NAME?</v>
      </c>
      <c r="G16" s="149" t="e">
        <f ca="1">_xlfn.XLOOKUP($B16, PlayerStatsSeason!$B$3:$B$996, PlayerStatsSeason!$P$3:$P$996)/(_xlfn.XLOOKUP($B16, PlayerStatsSeason!$B$3:$B$996, PlayerStatsSeason!$P$3:$P$996)+_xlfn.XLOOKUP($B16, PlayerStatsSeason!$B$3:$B$996, PlayerStatsSeason!$M$3:$M$996)+_xlfn.XLOOKUP(B$12,PlayerStatsSeason!$B$3:$B$996,PlayerStatsSeason!$T$3:$T$996))</f>
        <v>#NAME?</v>
      </c>
      <c r="H16" s="149" t="e">
        <f ca="1">_xlfn.LET(_xlpm.val, _xlfn.XLOOKUP(B16, PlayerStatsSeason!$B$3:$B$996, PlayerStatsSeason!$Q$3:$Q$996, ""),
  IF(OR(_xlpm.val=0, _xlpm.val=""), "", VALUE(_xlpm.val))
)</f>
        <v>#NAME?</v>
      </c>
      <c r="I16" s="144" t="e">
        <f ca="1">_xlfn.LET(
  _xlpm.val, _xlfn.XLOOKUP(B16, PlayerStatsSeason!$B$3:$B$996, PlayerStatsSeason!$P$3:$P$996, ""),
  IF(OR(_xlpm.val=0, _xlpm.val=""), "", VALUE(_xlpm.val))
)</f>
        <v>#NAME?</v>
      </c>
      <c r="J16" s="149" t="e">
        <f ca="1">_xlfn.XLOOKUP($B16, PlayerStatsSeason!$B$3:$B$996, PlayerStatsSeason!$M$3:$M$996)/(_xlfn.XLOOKUP($B16, PlayerStatsSeason!$B$3:$B$996, PlayerStatsSeason!$P$3:$P$996)+_xlfn.XLOOKUP($B16, PlayerStatsSeason!$B$3:$B$996, PlayerStatsSeason!$M$3:$M$996)+_xlfn.XLOOKUP(B$12,PlayerStatsSeason!$B$3:$B$996,PlayerStatsSeason!$T$3:$T$996))</f>
        <v>#NAME?</v>
      </c>
      <c r="K16" s="175">
        <v>0</v>
      </c>
      <c r="L16" s="174" t="e" cm="1">
        <f t="array" aca="1" ref="L16" ca="1">_xlfn.LET(
  _xlpm.val, _xlfn.XLOOKUP(B16, PlayerStatsSeason!$B$3:$B$996, PlayerStatsSeason!$M$3:$M$996, ""),
  IF(OR(_xlpm.val=0, _xlpm.val=""), "", VALUE(_xlpm.val))
)</f>
        <v>#NAME?</v>
      </c>
      <c r="M16" s="149" t="e">
        <f ca="1">_xlfn.XLOOKUP($B16, PlayerStatsSeason!$B$3:$B$996, PlayerStatsSeason!$T$3:$T$996)/(_xlfn.XLOOKUP($B16, PlayerStatsSeason!$B$3:$B$996, PlayerStatsSeason!$P$3:$P$996)+_xlfn.XLOOKUP($B16, PlayerStatsSeason!$B$3:$B$996, PlayerStatsSeason!$M$3:$M$996)+_xlfn.XLOOKUP(B$12,PlayerStatsSeason!$B$3:$B$996,PlayerStatsSeason!$T$3:$T$996))</f>
        <v>#NAME?</v>
      </c>
      <c r="N16" s="143" t="e">
        <f ca="1">_xlfn.LET(
  _xlpm.val, _xlfn.XLOOKUP(B16, PlayerStatsSeason!$B$3:$B$996, PlayerStatsSeason!$U$3:$U$996, ""),
  IF(OR(_xlpm.val=0, _xlpm.val=""), "", VALUE(_xlpm.val))
)</f>
        <v>#NAME?</v>
      </c>
      <c r="O16" s="144" t="e">
        <f ca="1">_xlfn.LET(
  _xlpm.val, _xlfn.XLOOKUP(B16, PlayerStatsSeason!$B$3:$B$996, PlayerStatsSeason!$T$3:$T$996, ""),
  IF(OR(_xlpm.val=0, _xlpm.val=""), "", VALUE(_xlpm.val))
)</f>
        <v>#NAME?</v>
      </c>
      <c r="P16" s="170" t="e" cm="1">
        <f t="array" aca="1" ref="P16" ca="1">_xlfn.LET(
  _xlpm.val, _xlfn.XLOOKUP(B16, PlayerStatsSeason!$B$3:$B$996, PlayerStatsSeason!$AD$3:$AD$996, ""),
  IF(OR(_xlpm.val=0, _xlpm.val=""), "", VALUE(_xlpm.val))
)</f>
        <v>#NAME?</v>
      </c>
      <c r="Q16" s="141" t="e">
        <f ca="1">_xlfn.RANK.EQ(_xlfn.XLOOKUP($B16,PlayerWorking!$I$5:$I$31,PlayerWorking!$J$5:$J$31),PlayerWorking!$J$5:$J$31)</f>
        <v>#NAME?</v>
      </c>
      <c r="R16" s="170" t="e">
        <f t="shared" ca="1" si="1"/>
        <v>#NAME?</v>
      </c>
      <c r="S16" s="141"/>
      <c r="T16" s="154" t="e">
        <f ca="1">IF(D16&gt;0,IFERROR(2*_xlfn.BINOM.INV(_xlfn.BINOM.INV(F16,G16,RAND()),H16,RAND())+ 3*_xlfn.BINOM.INV(_xlfn.BINOM.INV(F16,J16,RAND()),K16,RAND())+ _xlfn.BINOM.INV(_xlfn.BINOM.INV(F16,M16,RAND()),N16,RAND()),ROUND((F16/E16)*_xlfn.XLOOKUP(B16,PlayerStatsSeason!B7:B1000,PlayerStatsSeason!AD7:AD1000),0)),0)</f>
        <v>#NAME?</v>
      </c>
      <c r="U16" s="9">
        <v>13.5</v>
      </c>
      <c r="V16" t="e">
        <f t="shared" ca="1" si="2"/>
        <v>#NAME?</v>
      </c>
      <c r="W16" t="e">
        <f t="shared" ca="1" si="3"/>
        <v>#NAME?</v>
      </c>
      <c r="X16" s="186" t="e">
        <f ca="1">IF(D16&gt;0,
   IFERROR(
      ROUND(
         0.5 * (
            3 * _xlfn.BINOM.INV(G16, H16, RAND()) +
            2 * _xlfn.BINOM.INV(J16, K16, RAND()) +
            _xlfn.BINOM.INV(M16, N16, RAND())
         ) +
         0.5 * _xlfn.XLOOKUP(B16, PlayerStatsSeason!B7:B1000, PlayerStatsSeason!AD7:AD1000),
      0),
   0),
0)</f>
        <v>#NAME?</v>
      </c>
      <c r="Y16" s="41" t="e">
        <f ca="1">IF(D16&gt;0,
   IFERROR(
      ROUND(
         0.5 * (
            3 * _xlfn.BINOM.INV(G16, H16, RAND()) +
            2 * _xlfn.BINOM.INV(J16, K16, RAND()) +
            _xlfn.BINOM.INV(M16, N16, RAND())
         ) +
         0.5 * _xlfn.XLOOKUP(B16, PlayerStatsSeason!$B$3:$B$996, PlayerStatsSeason!$AD$3:$AD$996),
      0),
   0),
0)</f>
        <v>#NAME?</v>
      </c>
    </row>
    <row r="17" spans="1:25" ht="15.75" x14ac:dyDescent="0.25">
      <c r="A17" s="147" t="s">
        <v>3145</v>
      </c>
      <c r="B17" s="148" t="str">
        <f ca="1">IFERROR(IF(_xlfn.XLOOKUP(Q17,PlayerWorking!$H$5:$H$31,PlayerWorking!$I$5:$I$31)=0, "", _xlfn.XLOOKUP(Q17,PlayerWorking!$H$5:$H$31,PlayerWorking!$I$5:$I$31)), "")</f>
        <v/>
      </c>
      <c r="C17" s="150">
        <v>19</v>
      </c>
      <c r="D17" s="150">
        <f ca="1">IF(Q17&lt;=5,C17,C17/SUM(PlayerWorking!$J$10:$J$27)*(240-SUM(PlayerWorking!$J$5:$J$9)))</f>
        <v>19</v>
      </c>
      <c r="E17" s="150" t="e">
        <f ca="1">IF(D17&gt;0,_xlfn.XLOOKUP(B17,PlayerStatsSeason!$B$3:$B$996,PlayerStatsSeason!$J$3:$J$996)+_xlfn.XLOOKUP(B17,PlayerStatsSeason!$B$3:$B$996,PlayerStatsSeason!$T$3:$T$996))</f>
        <v>#NAME?</v>
      </c>
      <c r="F17" s="178" t="e">
        <f t="shared" ca="1" si="0"/>
        <v>#NAME?</v>
      </c>
      <c r="G17" s="151" t="e">
        <f ca="1">_xlfn.XLOOKUP($B17, PlayerStatsSeason!$B$3:$B$996, PlayerStatsSeason!$P$3:$P$996)/(_xlfn.XLOOKUP($B17, PlayerStatsSeason!$B$3:$B$996, PlayerStatsSeason!$P$3:$P$996)+_xlfn.XLOOKUP($B17, PlayerStatsSeason!$B$3:$B$996, PlayerStatsSeason!$M$3:$M$996)+_xlfn.XLOOKUP(B$12,PlayerStatsSeason!$B$3:$B$996,PlayerStatsSeason!$T$3:$T$996))</f>
        <v>#NAME?</v>
      </c>
      <c r="H17" s="151" t="e">
        <f ca="1">_xlfn.LET(_xlpm.val, _xlfn.XLOOKUP(B17, PlayerStatsSeason!$B$3:$B$996, PlayerStatsSeason!$Q$3:$Q$996, ""),
  IF(OR(_xlpm.val=0, _xlpm.val=""), "", VALUE(_xlpm.val))
)</f>
        <v>#NAME?</v>
      </c>
      <c r="I17" s="152" t="e">
        <f ca="1">_xlfn.LET(
  _xlpm.val, _xlfn.XLOOKUP(B17, PlayerStatsSeason!$B$3:$B$996, PlayerStatsSeason!$P$3:$P$996, ""),
  IF(OR(_xlpm.val=0, _xlpm.val=""), "", VALUE(_xlpm.val))
)</f>
        <v>#NAME?</v>
      </c>
      <c r="J17" s="151" t="e">
        <f ca="1">_xlfn.XLOOKUP($B17, PlayerStatsSeason!$B$3:$B$996, PlayerStatsSeason!$M$3:$M$996)/(_xlfn.XLOOKUP($B17, PlayerStatsSeason!$B$3:$B$996, PlayerStatsSeason!$P$3:$P$996)+_xlfn.XLOOKUP($B17, PlayerStatsSeason!$B$3:$B$996, PlayerStatsSeason!$M$3:$M$996)+_xlfn.XLOOKUP(B$12,PlayerStatsSeason!$B$3:$B$996,PlayerStatsSeason!$T$3:$T$996))</f>
        <v>#NAME?</v>
      </c>
      <c r="K17" s="175" t="e">
        <f ca="1">_xlfn.LET(
  _xlpm.val, _xlfn.XLOOKUP(B17, PlayerStatsSeason!$B$3:$B$996, PlayerStatsSeason!$N$3:$N$996, ""),
  IF(OR(_xlpm.val=0, _xlpm.val=""), "", VALUE(_xlpm.val))
)</f>
        <v>#NAME?</v>
      </c>
      <c r="L17" s="174" t="e" cm="1">
        <f t="array" aca="1" ref="L17" ca="1">_xlfn.LET(
  _xlpm.val, _xlfn.XLOOKUP(B17, PlayerStatsSeason!$B$3:$B$996, PlayerStatsSeason!$M$3:$M$996, ""),
  IF(OR(_xlpm.val=0, _xlpm.val=""), "", VALUE(_xlpm.val))
)</f>
        <v>#NAME?</v>
      </c>
      <c r="M17" s="151" t="e">
        <f ca="1">_xlfn.XLOOKUP($B17, PlayerStatsSeason!$B$3:$B$996, PlayerStatsSeason!$T$3:$T$996)/(_xlfn.XLOOKUP($B17, PlayerStatsSeason!$B$3:$B$996, PlayerStatsSeason!$P$3:$P$996)+_xlfn.XLOOKUP($B17, PlayerStatsSeason!$B$3:$B$996, PlayerStatsSeason!$M$3:$M$996)+_xlfn.XLOOKUP(B$12,PlayerStatsSeason!$B$3:$B$996,PlayerStatsSeason!$T$3:$T$996))</f>
        <v>#NAME?</v>
      </c>
      <c r="N17" s="153" t="e">
        <f ca="1">_xlfn.LET(
  _xlpm.val, _xlfn.XLOOKUP(B17, PlayerStatsSeason!$B$3:$B$996, PlayerStatsSeason!$U$3:$U$996, ""),
  IF(OR(_xlpm.val=0, _xlpm.val=""), "", VALUE(_xlpm.val))
)</f>
        <v>#NAME?</v>
      </c>
      <c r="O17" s="152" t="e">
        <f ca="1">_xlfn.LET(
  _xlpm.val, _xlfn.XLOOKUP(B17, PlayerStatsSeason!$B$3:$B$996, PlayerStatsSeason!$T$3:$T$996, ""),
  IF(OR(_xlpm.val=0, _xlpm.val=""), "", VALUE(_xlpm.val))
)</f>
        <v>#NAME?</v>
      </c>
      <c r="P17" s="170" t="e" cm="1">
        <f t="array" aca="1" ref="P17" ca="1">_xlfn.LET(
  _xlpm.val, _xlfn.XLOOKUP(B17, PlayerStatsSeason!$B$3:$B$996, PlayerStatsSeason!$AD$3:$AD$996, ""),
  IF(OR(_xlpm.val=0, _xlpm.val=""), "", VALUE(_xlpm.val))
)</f>
        <v>#NAME?</v>
      </c>
      <c r="Q17" s="148" cm="1">
        <f t="array" aca="1" ref="Q17" ca="1">MIN(IF(ISNA(MATCH(PlayerWorking!$H$5:OFFSET(PlayerWorking!$H$5,PlayerWorking!$C$5-1,0),Results!$Q$12:Q16,0)),PlayerWorking!$H$5:OFFSET(PlayerWorking!$H$5,PlayerWorking!$C$5-1,1)))</f>
        <v>0</v>
      </c>
      <c r="R17" s="170" t="e">
        <f t="shared" ca="1" si="1"/>
        <v>#NAME?</v>
      </c>
      <c r="S17" s="148"/>
      <c r="T17" s="155" t="e">
        <f ca="1">IF(D17&gt;0,IFERROR(2*_xlfn.BINOM.INV(_xlfn.BINOM.INV(F17,G17,RAND()),H17,RAND())+ 3*_xlfn.BINOM.INV(_xlfn.BINOM.INV(F17,J17,RAND()),K17,RAND())+ _xlfn.BINOM.INV(_xlfn.BINOM.INV(F17,M17,RAND()),N17,RAND()),ROUND((F17/E17)*_xlfn.XLOOKUP(B17,PlayerStatsSeason!B8:B1001,PlayerStatsSeason!AD8:AD1001),0)),0)</f>
        <v>#NAME?</v>
      </c>
      <c r="U17" s="9">
        <v>11</v>
      </c>
      <c r="V17" t="e">
        <f t="shared" ca="1" si="2"/>
        <v>#NAME?</v>
      </c>
      <c r="W17" t="e">
        <f t="shared" ca="1" si="3"/>
        <v>#NAME?</v>
      </c>
      <c r="X17" s="186">
        <f ca="1">IF(D17&gt;0,
   IFERROR(
      ROUND(
         0.5 * (
            3 * _xlfn.BINOM.INV(G17, H17, RAND()) +
            2 * _xlfn.BINOM.INV(J17, K17, RAND()) +
            _xlfn.BINOM.INV(M17, N17, RAND())
         ) +
         0.5 * _xlfn.XLOOKUP(B17, PlayerStatsSeason!B8:B1001, PlayerStatsSeason!AD8:AD1001),
      0),
   0),
0)</f>
        <v>0</v>
      </c>
      <c r="Y17" s="41">
        <f ca="1">IF(D17&gt;0,
   IFERROR(
      ROUND(
         0.5 * (
            3 * _xlfn.BINOM.INV(G17, H17, RAND()) +
            2 * _xlfn.BINOM.INV(J17, K17, RAND()) +
            _xlfn.BINOM.INV(M17, N17, RAND())
         ) +
         0.5 * _xlfn.XLOOKUP(B17, PlayerStatsSeason!$B$3:$B$996, PlayerStatsSeason!$AD$3:$AD$996),
      0),
   0),
0)</f>
        <v>0</v>
      </c>
    </row>
    <row r="18" spans="1:25" ht="15.75" x14ac:dyDescent="0.25">
      <c r="A18" s="161" t="s">
        <v>3146</v>
      </c>
      <c r="B18" s="162" t="str">
        <f ca="1">IFERROR(IF(_xlfn.XLOOKUP(Q18,PlayerWorking!$H$5:$H$31,PlayerWorking!$I$5:$I$31)=0, "", _xlfn.XLOOKUP(Q18,PlayerWorking!$H$5:$H$31,PlayerWorking!$I$5:$I$31)), "")</f>
        <v/>
      </c>
      <c r="C18" s="163">
        <v>5</v>
      </c>
      <c r="D18" s="164">
        <f ca="1">IF(Q18&lt;=5,C18,C18/SUM(PlayerWorking!$J$10:$J$27)*(240-SUM(PlayerWorking!$J$5:$J$9)))</f>
        <v>5</v>
      </c>
      <c r="E18" s="163" t="e">
        <f ca="1">IF(D18&gt;0,_xlfn.XLOOKUP(B18,PlayerStatsSeason!$B$3:$B$996,PlayerStatsSeason!$J$3:$J$996)+_xlfn.XLOOKUP(B18,PlayerStatsSeason!$B$3:$B$996,PlayerStatsSeason!$T$3:$T$996))</f>
        <v>#NAME?</v>
      </c>
      <c r="F18" s="164" t="e">
        <f t="shared" ca="1" si="0"/>
        <v>#NAME?</v>
      </c>
      <c r="G18" s="165" t="e">
        <f ca="1">_xlfn.XLOOKUP($B18, PlayerStatsSeason!$B$3:$B$996, PlayerStatsSeason!$P$3:$P$996)/(_xlfn.XLOOKUP($B18, PlayerStatsSeason!$B$3:$B$996, PlayerStatsSeason!$P$3:$P$996)+_xlfn.XLOOKUP($B18, PlayerStatsSeason!$B$3:$B$996, PlayerStatsSeason!$M$3:$M$996)+_xlfn.XLOOKUP(B$12,PlayerStatsSeason!$B$3:$B$996,PlayerStatsSeason!$T$3:$T$996))</f>
        <v>#NAME?</v>
      </c>
      <c r="H18" s="165" t="e">
        <f ca="1">_xlfn.LET(_xlpm.val, _xlfn.XLOOKUP(B18, PlayerStatsSeason!$B$3:$B$996, PlayerStatsSeason!$Q$3:$Q$996, ""),
  IF(OR(_xlpm.val=0, _xlpm.val=""), "", VALUE(_xlpm.val))
)</f>
        <v>#NAME?</v>
      </c>
      <c r="I18" s="166" t="e">
        <f ca="1">_xlfn.LET(
  _xlpm.val, _xlfn.XLOOKUP(B18, PlayerStatsSeason!$B$3:$B$996, PlayerStatsSeason!$P$3:$P$996, ""),
  IF(OR(_xlpm.val=0, _xlpm.val=""), "", VALUE(_xlpm.val))
)</f>
        <v>#NAME?</v>
      </c>
      <c r="J18" s="165" t="e">
        <f ca="1">_xlfn.XLOOKUP($B18, PlayerStatsSeason!$B$3:$B$996, PlayerStatsSeason!$M$3:$M$996)/(_xlfn.XLOOKUP($B18, PlayerStatsSeason!$B$3:$B$996, PlayerStatsSeason!$P$3:$P$996)+_xlfn.XLOOKUP($B18, PlayerStatsSeason!$B$3:$B$996, PlayerStatsSeason!$M$3:$M$996)+_xlfn.XLOOKUP(B$12,PlayerStatsSeason!$B$3:$B$996,PlayerStatsSeason!$T$3:$T$996))</f>
        <v>#NAME?</v>
      </c>
      <c r="K18" s="175" t="e">
        <f ca="1">_xlfn.LET(
  _xlpm.val, _xlfn.XLOOKUP(B18, PlayerStatsSeason!$B$3:$B$996, PlayerStatsSeason!$N$3:$N$996, ""),
  IF(OR(_xlpm.val=0, _xlpm.val=""), "", VALUE(_xlpm.val))
)</f>
        <v>#NAME?</v>
      </c>
      <c r="L18" s="174" t="e" cm="1">
        <f t="array" aca="1" ref="L18" ca="1">_xlfn.LET(
  _xlpm.val, _xlfn.XLOOKUP(B18, PlayerStatsSeason!$B$3:$B$996, PlayerStatsSeason!$M$3:$M$996, ""),
  IF(OR(_xlpm.val=0, _xlpm.val=""), "", VALUE(_xlpm.val))
)</f>
        <v>#NAME?</v>
      </c>
      <c r="M18" s="165" t="e">
        <f ca="1">_xlfn.XLOOKUP($B18, PlayerStatsSeason!$B$3:$B$996, PlayerStatsSeason!$T$3:$T$996)/(_xlfn.XLOOKUP($B18, PlayerStatsSeason!$B$3:$B$996, PlayerStatsSeason!$P$3:$P$996)+_xlfn.XLOOKUP($B18, PlayerStatsSeason!$B$3:$B$996, PlayerStatsSeason!$M$3:$M$996)+_xlfn.XLOOKUP(B$12,PlayerStatsSeason!$B$3:$B$996,PlayerStatsSeason!$T$3:$T$996))</f>
        <v>#NAME?</v>
      </c>
      <c r="N18" s="167" t="e">
        <f ca="1">_xlfn.LET(
  _xlpm.val, _xlfn.XLOOKUP(B18, PlayerStatsSeason!$B$3:$B$996, PlayerStatsSeason!$U$3:$U$996, ""),
  IF(OR(_xlpm.val=0, _xlpm.val=""), "", VALUE(_xlpm.val))
)</f>
        <v>#NAME?</v>
      </c>
      <c r="O18" s="166" t="e">
        <f ca="1">_xlfn.LET(
  _xlpm.val, _xlfn.XLOOKUP(B18, PlayerStatsSeason!$B$3:$B$996, PlayerStatsSeason!$T$3:$T$996, ""),
  IF(OR(_xlpm.val=0, _xlpm.val=""), "", VALUE(_xlpm.val))
)</f>
        <v>#NAME?</v>
      </c>
      <c r="P18" s="170" t="e" cm="1">
        <f t="array" aca="1" ref="P18" ca="1">_xlfn.LET(
  _xlpm.val, _xlfn.XLOOKUP(B18, PlayerStatsSeason!$B$3:$B$996, PlayerStatsSeason!$AD$3:$AD$996, ""),
  IF(OR(_xlpm.val=0, _xlpm.val=""), "", VALUE(_xlpm.val))
)</f>
        <v>#NAME?</v>
      </c>
      <c r="Q18" s="162" cm="1">
        <f t="array" aca="1" ref="Q18" ca="1">MIN(IF(ISNA(MATCH(PlayerWorking!$H$5:OFFSET(PlayerWorking!$H$5,PlayerWorking!$C$5-1,0),Results!$Q$12:Q17,0)),PlayerWorking!$H$5:OFFSET(PlayerWorking!$H$5,PlayerWorking!$C$5-1,1)))</f>
        <v>0</v>
      </c>
      <c r="R18" s="170" t="e">
        <f t="shared" ca="1" si="1"/>
        <v>#NAME?</v>
      </c>
      <c r="S18" s="162"/>
      <c r="T18" s="168" t="e">
        <f ca="1">IF(D18&gt;0,IFERROR(2*_xlfn.BINOM.INV(_xlfn.BINOM.INV(F18,G18,RAND()),H18,RAND())+ 3*_xlfn.BINOM.INV(_xlfn.BINOM.INV(F18,J18,RAND()),K18,RAND())+ _xlfn.BINOM.INV(_xlfn.BINOM.INV(F18,M18,RAND()),N18,RAND()),ROUND((F18/E18)*_xlfn.XLOOKUP(B18,PlayerStatsSeason!B9:B1002,PlayerStatsSeason!AD9:AD1002),0)),0)</f>
        <v>#NAME?</v>
      </c>
      <c r="U18" s="9"/>
      <c r="X18" s="186">
        <f ca="1">IF(D18&gt;0,
   IFERROR(
      ROUND(
         0.5 * (
            3 * _xlfn.BINOM.INV(G18, H18, RAND()) +
            2 * _xlfn.BINOM.INV(J18, K18, RAND()) +
            _xlfn.BINOM.INV(M18, N18, RAND())
         ) +
         0.5 * _xlfn.XLOOKUP(B18, PlayerStatsSeason!B9:B1002, PlayerStatsSeason!AD9:AD1002),
      0),
   0),
0)</f>
        <v>0</v>
      </c>
      <c r="Y18" s="41">
        <f ca="1">IF(D18&gt;0,
   IFERROR(
      ROUND(
         0.5 * (
            3 * _xlfn.BINOM.INV(G18, H18, RAND()) +
            2 * _xlfn.BINOM.INV(J18, K18, RAND()) +
            _xlfn.BINOM.INV(M18, N18, RAND())
         ) +
         0.5 * _xlfn.XLOOKUP(B18, PlayerStatsSeason!$B$3:$B$996, PlayerStatsSeason!$AD$3:$AD$996),
      0),
   0),
0)</f>
        <v>0</v>
      </c>
    </row>
    <row r="19" spans="1:25" ht="15.75" x14ac:dyDescent="0.25">
      <c r="A19" s="146" t="s">
        <v>3147</v>
      </c>
      <c r="B19" s="141" t="str">
        <f ca="1">IFERROR(IF(_xlfn.XLOOKUP(Q19,PlayerWorking!$H$5:$H$31,PlayerWorking!$I$5:$I$31)=0, "", _xlfn.XLOOKUP(Q19,PlayerWorking!$H$5:$H$31,PlayerWorking!$I$5:$I$31)), "")</f>
        <v/>
      </c>
      <c r="C19" s="142">
        <v>0</v>
      </c>
      <c r="D19" s="145">
        <f ca="1">IF(Q19&lt;=5,C19,C19/SUM(PlayerWorking!$J$10:$J$27)*(240-SUM(PlayerWorking!$J$5:$J$9)))</f>
        <v>0</v>
      </c>
      <c r="E19" s="142" t="b">
        <f ca="1">IF(D19&gt;0,_xlfn.XLOOKUP(B19,PlayerStatsSeason!$B$3:$B$996,PlayerStatsSeason!$J$3:$J$996)+_xlfn.XLOOKUP(B19,PlayerStatsSeason!$B$3:$B$996,PlayerStatsSeason!$T$3:$T$996))</f>
        <v>0</v>
      </c>
      <c r="F19" s="145">
        <f t="shared" ca="1" si="0"/>
        <v>0</v>
      </c>
      <c r="G19" s="149" t="e">
        <f ca="1">_xlfn.XLOOKUP($B19, PlayerStatsSeason!$B$3:$B$996, PlayerStatsSeason!$P$3:$P$996)/(_xlfn.XLOOKUP($B19, PlayerStatsSeason!$B$3:$B$996, PlayerStatsSeason!$P$3:$P$996)+_xlfn.XLOOKUP($B19, PlayerStatsSeason!$B$3:$B$996, PlayerStatsSeason!$M$3:$M$996)+_xlfn.XLOOKUP(B$12,PlayerStatsSeason!$B$3:$B$996,PlayerStatsSeason!$T$3:$T$996))</f>
        <v>#NAME?</v>
      </c>
      <c r="H19" s="149" t="e">
        <f ca="1">_xlfn.LET(_xlpm.val, _xlfn.XLOOKUP(B19, PlayerStatsSeason!$B$3:$B$996, PlayerStatsSeason!$Q$3:$Q$996, ""),
  IF(OR(_xlpm.val=0, _xlpm.val=""), "", VALUE(_xlpm.val))
)</f>
        <v>#NAME?</v>
      </c>
      <c r="I19" s="144" t="e">
        <f ca="1">_xlfn.LET(
  _xlpm.val, _xlfn.XLOOKUP(B19, PlayerStatsSeason!$B$3:$B$996, PlayerStatsSeason!$P$3:$P$996, ""),
  IF(OR(_xlpm.val=0, _xlpm.val=""), "", VALUE(_xlpm.val))
)</f>
        <v>#NAME?</v>
      </c>
      <c r="J19" s="149" t="e">
        <f ca="1">_xlfn.XLOOKUP($B19, PlayerStatsSeason!$B$3:$B$996, PlayerStatsSeason!$M$3:$M$996)/(_xlfn.XLOOKUP($B19, PlayerStatsSeason!$B$3:$B$996, PlayerStatsSeason!$P$3:$P$996)+_xlfn.XLOOKUP($B19, PlayerStatsSeason!$B$3:$B$996, PlayerStatsSeason!$M$3:$M$996)+_xlfn.XLOOKUP(B$12,PlayerStatsSeason!$B$3:$B$996,PlayerStatsSeason!$T$3:$T$996))</f>
        <v>#NAME?</v>
      </c>
      <c r="K19" s="175" t="e">
        <f ca="1">_xlfn.LET(
  _xlpm.val, _xlfn.XLOOKUP(B19, PlayerStatsSeason!$B$3:$B$996, PlayerStatsSeason!$N$3:$N$996, ""),
  IF(OR(_xlpm.val=0, _xlpm.val=""), "", VALUE(_xlpm.val))
)</f>
        <v>#NAME?</v>
      </c>
      <c r="L19" s="174" t="e" cm="1">
        <f t="array" aca="1" ref="L19" ca="1">_xlfn.LET(
  _xlpm.val, _xlfn.XLOOKUP(B19, PlayerStatsSeason!$B$3:$B$996, PlayerStatsSeason!$M$3:$M$996, ""),
  IF(OR(_xlpm.val=0, _xlpm.val=""), "", VALUE(_xlpm.val))
)</f>
        <v>#NAME?</v>
      </c>
      <c r="M19" s="149" t="e">
        <f ca="1">_xlfn.XLOOKUP($B19, PlayerStatsSeason!$B$3:$B$996, PlayerStatsSeason!$T$3:$T$996)/(_xlfn.XLOOKUP($B19, PlayerStatsSeason!$B$3:$B$996, PlayerStatsSeason!$P$3:$P$996)+_xlfn.XLOOKUP($B19, PlayerStatsSeason!$B$3:$B$996, PlayerStatsSeason!$M$3:$M$996)+_xlfn.XLOOKUP(B$12,PlayerStatsSeason!$B$3:$B$996,PlayerStatsSeason!$T$3:$T$996))</f>
        <v>#NAME?</v>
      </c>
      <c r="N19" s="143" t="e">
        <f ca="1">_xlfn.LET(
  _xlpm.val, _xlfn.XLOOKUP(B19, PlayerStatsSeason!$B$3:$B$996, PlayerStatsSeason!$U$3:$U$996, ""),
  IF(OR(_xlpm.val=0, _xlpm.val=""), "", VALUE(_xlpm.val))
)</f>
        <v>#NAME?</v>
      </c>
      <c r="O19" s="144" t="e">
        <f ca="1">_xlfn.LET(
  _xlpm.val, _xlfn.XLOOKUP(B19, PlayerStatsSeason!$B$3:$B$996, PlayerStatsSeason!$T$3:$T$996, ""),
  IF(OR(_xlpm.val=0, _xlpm.val=""), "", VALUE(_xlpm.val))
)</f>
        <v>#NAME?</v>
      </c>
      <c r="P19" s="170" t="e" cm="1">
        <f t="array" aca="1" ref="P19" ca="1">_xlfn.LET(
  _xlpm.val, _xlfn.XLOOKUP(B19, PlayerStatsSeason!$B$3:$B$996, PlayerStatsSeason!$AD$3:$AD$996, ""),
  IF(OR(_xlpm.val=0, _xlpm.val=""), "", VALUE(_xlpm.val))
)</f>
        <v>#NAME?</v>
      </c>
      <c r="Q19" s="141" cm="1">
        <f t="array" aca="1" ref="Q19" ca="1">MIN(IF(ISNA(MATCH(PlayerWorking!$H$5:OFFSET(PlayerWorking!$H$5,PlayerWorking!$C$5-1,0),Results!$Q$12:Q18,0)),PlayerWorking!$H$5:OFFSET(PlayerWorking!$H$5,PlayerWorking!$C$5-1,1)))</f>
        <v>0</v>
      </c>
      <c r="R19" s="170">
        <f t="shared" ca="1" si="1"/>
        <v>0</v>
      </c>
      <c r="S19" s="141"/>
      <c r="T19" s="154">
        <f ca="1">IF(D19&gt;0,IFERROR(2*_xlfn.BINOM.INV(_xlfn.BINOM.INV(F19,G19,RAND()),H19,RAND())+ 3*_xlfn.BINOM.INV(_xlfn.BINOM.INV(F19,J19,RAND()),K19,RAND())+ _xlfn.BINOM.INV(_xlfn.BINOM.INV(F19,M19,RAND()),N19,RAND()),ROUND((F19/E19)*_xlfn.XLOOKUP(B19,PlayerStatsSeason!B10:B1003,PlayerStatsSeason!AD10:AD1003),0)),0)</f>
        <v>0</v>
      </c>
      <c r="U19" s="9"/>
      <c r="X19" s="186">
        <f ca="1">IF(D19&gt;0,
   IFERROR(
      ROUND(
         0.5 * (
            3 * _xlfn.BINOM.INV(G19, H19, RAND()) +
            2 * _xlfn.BINOM.INV(J19, K19, RAND()) +
            _xlfn.BINOM.INV(M19, N19, RAND())
         ) +
         0.5 * _xlfn.XLOOKUP(B19, PlayerStatsSeason!B10:B1003, PlayerStatsSeason!AD10:AD1003),
      0),
   0),
0)</f>
        <v>0</v>
      </c>
      <c r="Y19" s="41">
        <f ca="1">IF(D19&gt;0,
   IFERROR(
      ROUND(
         0.5 * (
            3 * _xlfn.BINOM.INV(G19, H19, RAND()) +
            2 * _xlfn.BINOM.INV(J19, K19, RAND()) +
            _xlfn.BINOM.INV(M19, N19, RAND())
         ) +
         0.5 * _xlfn.XLOOKUP(B19, PlayerStatsSeason!$B$3:$B$996, PlayerStatsSeason!$AD$3:$AD$996),
      0),
   0),
0)</f>
        <v>0</v>
      </c>
    </row>
    <row r="20" spans="1:25" ht="22.5" customHeight="1" x14ac:dyDescent="0.25">
      <c r="A20" s="146" t="s">
        <v>3148</v>
      </c>
      <c r="B20" s="141" t="str">
        <f ca="1">IFERROR(IF(_xlfn.XLOOKUP(Q20,PlayerWorking!$H$5:$H$31,PlayerWorking!$I$5:$I$31)=0, "", _xlfn.XLOOKUP(Q20,PlayerWorking!$H$5:$H$31,PlayerWorking!$I$5:$I$31)), "")</f>
        <v/>
      </c>
      <c r="C20" s="142">
        <v>21</v>
      </c>
      <c r="D20" s="145">
        <f ca="1">IF(Q20&lt;=5,C20,C20/SUM(PlayerWorking!$J$10:$J$27)*(240-SUM(PlayerWorking!$J$5:$J$9)))</f>
        <v>21</v>
      </c>
      <c r="E20" s="142" t="e">
        <f ca="1">IF(D20&gt;0,_xlfn.XLOOKUP(B20,PlayerStatsSeason!$B$3:$B$996,PlayerStatsSeason!$J$3:$J$996)+_xlfn.XLOOKUP(B20,PlayerStatsSeason!$B$3:$B$996,PlayerStatsSeason!$T$3:$T$996))</f>
        <v>#NAME?</v>
      </c>
      <c r="F20" s="145" t="e">
        <f t="shared" ca="1" si="0"/>
        <v>#NAME?</v>
      </c>
      <c r="G20" s="149" t="e">
        <f ca="1">_xlfn.XLOOKUP($B20, PlayerStatsSeason!$B$3:$B$996, PlayerStatsSeason!$P$3:$P$996)/(_xlfn.XLOOKUP($B20, PlayerStatsSeason!$B$3:$B$996, PlayerStatsSeason!$P$3:$P$996)+_xlfn.XLOOKUP($B20, PlayerStatsSeason!$B$3:$B$996, PlayerStatsSeason!$M$3:$M$996)+_xlfn.XLOOKUP(B$12,PlayerStatsSeason!$B$3:$B$996,PlayerStatsSeason!$T$3:$T$996))</f>
        <v>#NAME?</v>
      </c>
      <c r="H20" s="149" t="e">
        <f ca="1">_xlfn.LET(_xlpm.val, _xlfn.XLOOKUP(B20, PlayerStatsSeason!$B$3:$B$996, PlayerStatsSeason!$Q$3:$Q$996, ""),
  IF(OR(_xlpm.val=0, _xlpm.val=""), "", VALUE(_xlpm.val))
)</f>
        <v>#NAME?</v>
      </c>
      <c r="I20" s="144" t="e">
        <f ca="1">_xlfn.LET(
  _xlpm.val, _xlfn.XLOOKUP(B20, PlayerStatsSeason!$B$3:$B$996, PlayerStatsSeason!$P$3:$P$996, ""),
  IF(OR(_xlpm.val=0, _xlpm.val=""), "", VALUE(_xlpm.val))
)</f>
        <v>#NAME?</v>
      </c>
      <c r="J20" s="149" t="e">
        <f ca="1">_xlfn.XLOOKUP($B20, PlayerStatsSeason!$B$3:$B$996, PlayerStatsSeason!$M$3:$M$996)/(_xlfn.XLOOKUP($B20, PlayerStatsSeason!$B$3:$B$996, PlayerStatsSeason!$P$3:$P$996)+_xlfn.XLOOKUP($B20, PlayerStatsSeason!$B$3:$B$996, PlayerStatsSeason!$M$3:$M$996)+_xlfn.XLOOKUP(B$12,PlayerStatsSeason!$B$3:$B$996,PlayerStatsSeason!$T$3:$T$996))</f>
        <v>#NAME?</v>
      </c>
      <c r="K20" s="175">
        <v>0</v>
      </c>
      <c r="L20" s="174" t="e" cm="1">
        <f t="array" aca="1" ref="L20" ca="1">_xlfn.LET(
  _xlpm.val, _xlfn.XLOOKUP(B20, PlayerStatsSeason!$B$3:$B$996, PlayerStatsSeason!$M$3:$M$996, ""),
  IF(OR(_xlpm.val=0, _xlpm.val=""), "", VALUE(_xlpm.val))
)</f>
        <v>#NAME?</v>
      </c>
      <c r="M20" s="149" t="e">
        <f ca="1">_xlfn.XLOOKUP($B20, PlayerStatsSeason!$B$3:$B$996, PlayerStatsSeason!$T$3:$T$996)/(_xlfn.XLOOKUP($B20, PlayerStatsSeason!$B$3:$B$996, PlayerStatsSeason!$P$3:$P$996)+_xlfn.XLOOKUP($B20, PlayerStatsSeason!$B$3:$B$996, PlayerStatsSeason!$M$3:$M$996)+_xlfn.XLOOKUP(B$12,PlayerStatsSeason!$B$3:$B$996,PlayerStatsSeason!$T$3:$T$996))</f>
        <v>#NAME?</v>
      </c>
      <c r="N20" s="143" t="e">
        <f ca="1">_xlfn.LET(
  _xlpm.val, _xlfn.XLOOKUP(B20, PlayerStatsSeason!$B$3:$B$996, PlayerStatsSeason!$U$3:$U$996, ""),
  IF(OR(_xlpm.val=0, _xlpm.val=""), "", VALUE(_xlpm.val))
)</f>
        <v>#NAME?</v>
      </c>
      <c r="O20" s="144" t="e">
        <f ca="1">_xlfn.LET(
  _xlpm.val, _xlfn.XLOOKUP(B20, PlayerStatsSeason!$B$3:$B$996, PlayerStatsSeason!$T$3:$T$996, ""),
  IF(OR(_xlpm.val=0, _xlpm.val=""), "", VALUE(_xlpm.val))
)</f>
        <v>#NAME?</v>
      </c>
      <c r="P20" s="170" t="e" cm="1">
        <f t="array" aca="1" ref="P20" ca="1">_xlfn.LET(
  _xlpm.val, _xlfn.XLOOKUP(B20, PlayerStatsSeason!$B$3:$B$996, PlayerStatsSeason!$AD$3:$AD$996, ""),
  IF(OR(_xlpm.val=0, _xlpm.val=""), "", VALUE(_xlpm.val))
)</f>
        <v>#NAME?</v>
      </c>
      <c r="Q20" s="141" cm="1">
        <f t="array" aca="1" ref="Q20" ca="1">MIN(IF(ISNA(MATCH(PlayerWorking!$H$5:OFFSET(PlayerWorking!$H$5,PlayerWorking!$C$5-1,0),Results!$Q$12:Q19,0)),PlayerWorking!$H$5:OFFSET(PlayerWorking!$H$5,PlayerWorking!$C$5-1,1)))</f>
        <v>0</v>
      </c>
      <c r="R20" s="170" t="e">
        <f t="shared" ca="1" si="1"/>
        <v>#NAME?</v>
      </c>
      <c r="S20" s="141"/>
      <c r="T20" s="154" t="e">
        <f ca="1">IF(D20&gt;0,IFERROR(2*_xlfn.BINOM.INV(_xlfn.BINOM.INV(F20,G20,RAND()),H20,RAND())+ 3*_xlfn.BINOM.INV(_xlfn.BINOM.INV(F20,J20,RAND()),K20,RAND())+ _xlfn.BINOM.INV(_xlfn.BINOM.INV(F20,M20,RAND()),N20,RAND()),ROUND((F20/E20)*_xlfn.XLOOKUP(B20,PlayerStatsSeason!B11:B1004,PlayerStatsSeason!AD11:AD1004),0)),0)</f>
        <v>#NAME?</v>
      </c>
      <c r="U20" s="9"/>
      <c r="X20" s="186">
        <f ca="1">IF(D20&gt;0,
   IFERROR(
      ROUND(
         0.5 * (
            3 * _xlfn.BINOM.INV(G20, H20, RAND()) +
            2 * _xlfn.BINOM.INV(J20, K20, RAND()) +
            _xlfn.BINOM.INV(M20, N20, RAND())
         ) +
         0.5 * _xlfn.XLOOKUP(B20, PlayerStatsSeason!B11:B1004, PlayerStatsSeason!AD11:AD1004),
      0),
   0),
0)</f>
        <v>0</v>
      </c>
      <c r="Y20" s="41">
        <f ca="1">IF(D20&gt;0,
   IFERROR(
      ROUND(
         0.5 * (
            3 * _xlfn.BINOM.INV(G20, H20, RAND()) +
            2 * _xlfn.BINOM.INV(J20, K20, RAND()) +
            _xlfn.BINOM.INV(M20, N20, RAND())
         ) +
         0.5 * _xlfn.XLOOKUP(B20, PlayerStatsSeason!$B$3:$B$996, PlayerStatsSeason!$AD$3:$AD$996),
      0),
   0),
0)</f>
        <v>0</v>
      </c>
    </row>
    <row r="21" spans="1:25" ht="15.75" x14ac:dyDescent="0.25">
      <c r="A21" s="146" t="s">
        <v>3149</v>
      </c>
      <c r="B21" s="141" t="str">
        <f ca="1">IFERROR(IF(_xlfn.XLOOKUP(Q21,PlayerWorking!$H$5:$H$31,PlayerWorking!$I$5:$I$31)=0, "", _xlfn.XLOOKUP(Q21,PlayerWorking!$H$5:$H$31,PlayerWorking!$I$5:$I$31)), "")</f>
        <v/>
      </c>
      <c r="C21" s="142">
        <v>0</v>
      </c>
      <c r="D21" s="145">
        <f ca="1">IF(Q21&lt;=5,C21,C21/SUM(PlayerWorking!$J$10:$J$27)*(240-SUM(PlayerWorking!$J$5:$J$9)))</f>
        <v>0</v>
      </c>
      <c r="E21" s="142" t="b">
        <f ca="1">IF(D21&gt;0,_xlfn.XLOOKUP(B21,PlayerStatsSeason!$B$3:$B$996,PlayerStatsSeason!$J$3:$J$996)+_xlfn.XLOOKUP(B21,PlayerStatsSeason!$B$3:$B$996,PlayerStatsSeason!$T$3:$T$996))</f>
        <v>0</v>
      </c>
      <c r="F21" s="145">
        <f t="shared" ca="1" si="0"/>
        <v>0</v>
      </c>
      <c r="G21" s="149" t="e">
        <f ca="1">_xlfn.XLOOKUP($B21, PlayerStatsSeason!$B$3:$B$996, PlayerStatsSeason!$P$3:$P$996)/(_xlfn.XLOOKUP($B21, PlayerStatsSeason!$B$3:$B$996, PlayerStatsSeason!$P$3:$P$996)+_xlfn.XLOOKUP($B21, PlayerStatsSeason!$B$3:$B$996, PlayerStatsSeason!$M$3:$M$996)+_xlfn.XLOOKUP(B$12,PlayerStatsSeason!$B$3:$B$996,PlayerStatsSeason!$T$3:$T$996))</f>
        <v>#NAME?</v>
      </c>
      <c r="H21" s="149" t="e">
        <f ca="1">_xlfn.LET(_xlpm.val, _xlfn.XLOOKUP(B21, PlayerStatsSeason!$B$3:$B$996, PlayerStatsSeason!$Q$3:$Q$996, ""),
  IF(OR(_xlpm.val=0, _xlpm.val=""), "", VALUE(_xlpm.val))
)</f>
        <v>#NAME?</v>
      </c>
      <c r="I21" s="144" t="e">
        <f ca="1">_xlfn.LET(
  _xlpm.val, _xlfn.XLOOKUP(B21, PlayerStatsSeason!$B$3:$B$996, PlayerStatsSeason!$P$3:$P$996, ""),
  IF(OR(_xlpm.val=0, _xlpm.val=""), "", VALUE(_xlpm.val))
)</f>
        <v>#NAME?</v>
      </c>
      <c r="J21" s="149" t="e">
        <f ca="1">_xlfn.XLOOKUP($B21, PlayerStatsSeason!$B$3:$B$996, PlayerStatsSeason!$M$3:$M$996)/(_xlfn.XLOOKUP($B21, PlayerStatsSeason!$B$3:$B$996, PlayerStatsSeason!$P$3:$P$996)+_xlfn.XLOOKUP($B21, PlayerStatsSeason!$B$3:$B$996, PlayerStatsSeason!$M$3:$M$996)+_xlfn.XLOOKUP(B$12,PlayerStatsSeason!$B$3:$B$996,PlayerStatsSeason!$T$3:$T$996))</f>
        <v>#NAME?</v>
      </c>
      <c r="K21" s="175" t="e">
        <f ca="1">_xlfn.LET(
  _xlpm.val, _xlfn.XLOOKUP(B21, PlayerStatsSeason!$B$3:$B$996, PlayerStatsSeason!$N$3:$N$996, ""),
  IF(OR(_xlpm.val=0, _xlpm.val=""), "", VALUE(_xlpm.val))
)</f>
        <v>#NAME?</v>
      </c>
      <c r="L21" s="174" t="e" cm="1">
        <f t="array" aca="1" ref="L21" ca="1">_xlfn.LET(
  _xlpm.val, _xlfn.XLOOKUP(B21, PlayerStatsSeason!$B$3:$B$996, PlayerStatsSeason!$M$3:$M$996, ""),
  IF(OR(_xlpm.val=0, _xlpm.val=""), "", VALUE(_xlpm.val))
)</f>
        <v>#NAME?</v>
      </c>
      <c r="M21" s="149" t="e">
        <f ca="1">_xlfn.XLOOKUP($B21, PlayerStatsSeason!$B$3:$B$996, PlayerStatsSeason!$T$3:$T$996)/(_xlfn.XLOOKUP($B21, PlayerStatsSeason!$B$3:$B$996, PlayerStatsSeason!$P$3:$P$996)+_xlfn.XLOOKUP($B21, PlayerStatsSeason!$B$3:$B$996, PlayerStatsSeason!$M$3:$M$996)+_xlfn.XLOOKUP(B$12,PlayerStatsSeason!$B$3:$B$996,PlayerStatsSeason!$T$3:$T$996))</f>
        <v>#NAME?</v>
      </c>
      <c r="N21" s="143" t="e">
        <f ca="1">_xlfn.LET(
  _xlpm.val, _xlfn.XLOOKUP(B21, PlayerStatsSeason!$B$3:$B$996, PlayerStatsSeason!$U$3:$U$996, ""),
  IF(OR(_xlpm.val=0, _xlpm.val=""), "", VALUE(_xlpm.val))
)</f>
        <v>#NAME?</v>
      </c>
      <c r="O21" s="144" t="e">
        <f ca="1">_xlfn.LET(
  _xlpm.val, _xlfn.XLOOKUP(B21, PlayerStatsSeason!$B$3:$B$996, PlayerStatsSeason!$T$3:$T$996, ""),
  IF(OR(_xlpm.val=0, _xlpm.val=""), "", VALUE(_xlpm.val))
)</f>
        <v>#NAME?</v>
      </c>
      <c r="P21" s="170" t="e" cm="1">
        <f t="array" aca="1" ref="P21" ca="1">_xlfn.LET(
  _xlpm.val, _xlfn.XLOOKUP(B21, PlayerStatsSeason!$B$3:$B$996, PlayerStatsSeason!$AD$3:$AD$996, ""),
  IF(OR(_xlpm.val=0, _xlpm.val=""), "", VALUE(_xlpm.val))
)</f>
        <v>#NAME?</v>
      </c>
      <c r="Q21" s="141" cm="1">
        <f t="array" aca="1" ref="Q21" ca="1">MIN(IF(ISNA(MATCH(PlayerWorking!$H$5:OFFSET(PlayerWorking!$H$5,PlayerWorking!$C$5-1,0),Results!$Q$12:Q20,0)),PlayerWorking!$H$5:OFFSET(PlayerWorking!$H$5,PlayerWorking!$C$5-1,1)))</f>
        <v>0</v>
      </c>
      <c r="R21" s="170">
        <f t="shared" ca="1" si="1"/>
        <v>0</v>
      </c>
      <c r="S21" s="141"/>
      <c r="T21" s="154">
        <f ca="1">IF(D21&gt;0,IFERROR(2*_xlfn.BINOM.INV(_xlfn.BINOM.INV(F21,G21,RAND()),H21,RAND())+ 3*_xlfn.BINOM.INV(_xlfn.BINOM.INV(F21,J21,RAND()),K21,RAND())+ _xlfn.BINOM.INV(_xlfn.BINOM.INV(F21,M21,RAND()),N21,RAND()),ROUND((F21/E21)*_xlfn.XLOOKUP(B21,PlayerStatsSeason!B12:B1005,PlayerStatsSeason!AD12:AD1005),0)),0)</f>
        <v>0</v>
      </c>
      <c r="U21" s="9"/>
      <c r="X21" s="186">
        <f ca="1">IF(D21&gt;0,
   IFERROR(
      ROUND(
         0.5 * (
            3 * _xlfn.BINOM.INV(G21, H21, RAND()) +
            2 * _xlfn.BINOM.INV(J21, K21, RAND()) +
            _xlfn.BINOM.INV(M21, N21, RAND())
         ) +
         0.5 * _xlfn.XLOOKUP(B21, PlayerStatsSeason!B12:B1005, PlayerStatsSeason!AD12:AD1005),
      0),
   0),
0)</f>
        <v>0</v>
      </c>
      <c r="Y21" s="41">
        <f ca="1">IF(D21&gt;0,
   IFERROR(
      ROUND(
         0.5 * (
            3 * _xlfn.BINOM.INV(G21, H21, RAND()) +
            2 * _xlfn.BINOM.INV(J21, K21, RAND()) +
            _xlfn.BINOM.INV(M21, N21, RAND())
         ) +
         0.5 * _xlfn.XLOOKUP(B21, PlayerStatsSeason!$B$3:$B$996, PlayerStatsSeason!$AD$3:$AD$996),
      0),
   0),
0)</f>
        <v>0</v>
      </c>
    </row>
    <row r="22" spans="1:25" ht="15.75" x14ac:dyDescent="0.25">
      <c r="A22" s="146" t="s">
        <v>3150</v>
      </c>
      <c r="B22" s="141" t="str">
        <f ca="1">IFERROR(IF(_xlfn.XLOOKUP(Q22,PlayerWorking!$H$5:$H$31,PlayerWorking!$I$5:$I$31)=0, "", _xlfn.XLOOKUP(Q22,PlayerWorking!$H$5:$H$31,PlayerWorking!$I$5:$I$31)), "")</f>
        <v/>
      </c>
      <c r="C22" s="142">
        <v>0</v>
      </c>
      <c r="D22" s="145">
        <f ca="1">IF(Q22&lt;=5,C22,C22/SUM(PlayerWorking!$J$10:$J$27)*(240-SUM(PlayerWorking!$J$5:$J$9)))</f>
        <v>0</v>
      </c>
      <c r="E22" s="142" t="b">
        <f ca="1">IF(D22&gt;0,_xlfn.XLOOKUP(B22,PlayerStatsSeason!$B$3:$B$996,PlayerStatsSeason!$J$3:$J$996)+_xlfn.XLOOKUP(B22,PlayerStatsSeason!$B$3:$B$996,PlayerStatsSeason!$T$3:$T$996))</f>
        <v>0</v>
      </c>
      <c r="F22" s="145">
        <f t="shared" ca="1" si="0"/>
        <v>0</v>
      </c>
      <c r="G22" s="149" t="e">
        <f ca="1">_xlfn.XLOOKUP($B22, PlayerStatsSeason!$B$3:$B$996, PlayerStatsSeason!$P$3:$P$996)/(_xlfn.XLOOKUP($B22, PlayerStatsSeason!$B$3:$B$996, PlayerStatsSeason!$P$3:$P$996)+_xlfn.XLOOKUP($B22, PlayerStatsSeason!$B$3:$B$996, PlayerStatsSeason!$M$3:$M$996)+_xlfn.XLOOKUP(B$12,PlayerStatsSeason!$B$3:$B$996,PlayerStatsSeason!$T$3:$T$996))</f>
        <v>#NAME?</v>
      </c>
      <c r="H22" s="149" t="e">
        <f ca="1">_xlfn.LET(_xlpm.val, _xlfn.XLOOKUP(B22, PlayerStatsSeason!$B$3:$B$996, PlayerStatsSeason!$Q$3:$Q$996, ""),
  IF(OR(_xlpm.val=0, _xlpm.val=""), "", VALUE(_xlpm.val))
)</f>
        <v>#NAME?</v>
      </c>
      <c r="I22" s="144" t="e">
        <f ca="1">_xlfn.LET(
  _xlpm.val, _xlfn.XLOOKUP(B22, PlayerStatsSeason!$B$3:$B$996, PlayerStatsSeason!$P$3:$P$996, ""),
  IF(OR(_xlpm.val=0, _xlpm.val=""), "", VALUE(_xlpm.val))
)</f>
        <v>#NAME?</v>
      </c>
      <c r="J22" s="149" t="e">
        <f ca="1">_xlfn.XLOOKUP($B22, PlayerStatsSeason!$B$3:$B$996, PlayerStatsSeason!$M$3:$M$996)/(_xlfn.XLOOKUP($B22, PlayerStatsSeason!$B$3:$B$996, PlayerStatsSeason!$P$3:$P$996)+_xlfn.XLOOKUP($B22, PlayerStatsSeason!$B$3:$B$996, PlayerStatsSeason!$M$3:$M$996)+_xlfn.XLOOKUP(B$12,PlayerStatsSeason!$B$3:$B$996,PlayerStatsSeason!$T$3:$T$996))</f>
        <v>#NAME?</v>
      </c>
      <c r="K22" s="175" t="e">
        <f ca="1">_xlfn.LET(
  _xlpm.val, _xlfn.XLOOKUP(B22, PlayerStatsSeason!$B$3:$B$996, PlayerStatsSeason!$N$3:$N$996, ""),
  IF(OR(_xlpm.val=0, _xlpm.val=""), "", VALUE(_xlpm.val))
)</f>
        <v>#NAME?</v>
      </c>
      <c r="L22" s="174" t="e" cm="1">
        <f t="array" aca="1" ref="L22" ca="1">_xlfn.LET(
  _xlpm.val, _xlfn.XLOOKUP(B22, PlayerStatsSeason!$B$3:$B$996, PlayerStatsSeason!$M$3:$M$996, ""),
  IF(OR(_xlpm.val=0, _xlpm.val=""), "", VALUE(_xlpm.val))
)</f>
        <v>#NAME?</v>
      </c>
      <c r="M22" s="149" t="e">
        <f ca="1">_xlfn.XLOOKUP($B22, PlayerStatsSeason!$B$3:$B$996, PlayerStatsSeason!$T$3:$T$996)/(_xlfn.XLOOKUP($B22, PlayerStatsSeason!$B$3:$B$996, PlayerStatsSeason!$P$3:$P$996)+_xlfn.XLOOKUP($B22, PlayerStatsSeason!$B$3:$B$996, PlayerStatsSeason!$M$3:$M$996)+_xlfn.XLOOKUP(B$12,PlayerStatsSeason!$B$3:$B$996,PlayerStatsSeason!$T$3:$T$996))</f>
        <v>#NAME?</v>
      </c>
      <c r="N22" s="143" t="e">
        <f ca="1">_xlfn.LET(
  _xlpm.val, _xlfn.XLOOKUP(B22, PlayerStatsSeason!$B$3:$B$996, PlayerStatsSeason!$U$3:$U$996, ""),
  IF(OR(_xlpm.val=0, _xlpm.val=""), "", VALUE(_xlpm.val))
)</f>
        <v>#NAME?</v>
      </c>
      <c r="O22" s="144" t="e">
        <f ca="1">_xlfn.LET(
  _xlpm.val, _xlfn.XLOOKUP(B22, PlayerStatsSeason!$B$3:$B$996, PlayerStatsSeason!$T$3:$T$996, ""),
  IF(OR(_xlpm.val=0, _xlpm.val=""), "", VALUE(_xlpm.val))
)</f>
        <v>#NAME?</v>
      </c>
      <c r="P22" s="170" t="e" cm="1">
        <f t="array" aca="1" ref="P22" ca="1">_xlfn.LET(
  _xlpm.val, _xlfn.XLOOKUP(B22, PlayerStatsSeason!$B$3:$B$996, PlayerStatsSeason!$AD$3:$AD$996, ""),
  IF(OR(_xlpm.val=0, _xlpm.val=""), "", VALUE(_xlpm.val))
)</f>
        <v>#NAME?</v>
      </c>
      <c r="Q22" s="141" cm="1">
        <f t="array" aca="1" ref="Q22" ca="1">MIN(IF(ISNA(MATCH(PlayerWorking!$H$5:OFFSET(PlayerWorking!$H$5,PlayerWorking!$C$5-1,0),Results!$Q$12:Q21,0)),PlayerWorking!$H$5:OFFSET(PlayerWorking!$H$5,PlayerWorking!$C$5-1,1)))</f>
        <v>0</v>
      </c>
      <c r="R22" s="170">
        <f t="shared" ca="1" si="1"/>
        <v>0</v>
      </c>
      <c r="S22" s="141"/>
      <c r="T22" s="154">
        <f ca="1">IF(D22&gt;0,IFERROR(2*_xlfn.BINOM.INV(_xlfn.BINOM.INV(F22,G22,RAND()),H22,RAND())+ 3*_xlfn.BINOM.INV(_xlfn.BINOM.INV(F22,J22,RAND()),K22,RAND())+ _xlfn.BINOM.INV(_xlfn.BINOM.INV(F22,M22,RAND()),N22,RAND()),ROUND((F22/E22)*_xlfn.XLOOKUP(B22,PlayerStatsSeason!B13:B1006,PlayerStatsSeason!AD13:AD1006),0)),0)</f>
        <v>0</v>
      </c>
      <c r="U22" s="9">
        <v>15.5</v>
      </c>
      <c r="V22">
        <f t="shared" ca="1" si="2"/>
        <v>-15.5</v>
      </c>
      <c r="W22">
        <f t="shared" ca="1" si="3"/>
        <v>-15.5</v>
      </c>
      <c r="X22" s="186">
        <f ca="1">IF(D22&gt;0,
   IFERROR(
      ROUND(
         0.5 * (
            3 * _xlfn.BINOM.INV(G22, H22, RAND()) +
            2 * _xlfn.BINOM.INV(J22, K22, RAND()) +
            _xlfn.BINOM.INV(M22, N22, RAND())
         ) +
         0.5 * _xlfn.XLOOKUP(B22, PlayerStatsSeason!B13:B1006, PlayerStatsSeason!AD13:AD1006),
      0),
   0),
0)</f>
        <v>0</v>
      </c>
      <c r="Y22" s="41">
        <f ca="1">IF(D22&gt;0,
   IFERROR(
      ROUND(
         0.5 * (
            3 * _xlfn.BINOM.INV(G22, H22, RAND()) +
            2 * _xlfn.BINOM.INV(J22, K22, RAND()) +
            _xlfn.BINOM.INV(M22, N22, RAND())
         ) +
         0.5 * _xlfn.XLOOKUP(B22, PlayerStatsSeason!$B$3:$B$996, PlayerStatsSeason!$AD$3:$AD$996),
      0),
   0),
0)</f>
        <v>0</v>
      </c>
    </row>
    <row r="23" spans="1:25" ht="15.75" x14ac:dyDescent="0.25">
      <c r="A23" s="146" t="s">
        <v>3151</v>
      </c>
      <c r="B23" s="141" t="str">
        <f ca="1">IFERROR(IF(_xlfn.XLOOKUP(Q23,PlayerWorking!$H$5:$H$31,PlayerWorking!$I$5:$I$31)=0, "", _xlfn.XLOOKUP(Q23,PlayerWorking!$H$5:$H$31,PlayerWorking!$I$5:$I$31)), "")</f>
        <v/>
      </c>
      <c r="C23" s="142">
        <v>3</v>
      </c>
      <c r="D23" s="145">
        <f ca="1">IF(Q23&lt;=5,C23,C23/SUM(PlayerWorking!$J$10:$J$27)*(240-SUM(PlayerWorking!$J$5:$J$9)))</f>
        <v>3</v>
      </c>
      <c r="E23" s="142" t="e">
        <f ca="1">IF(D23&gt;0,_xlfn.XLOOKUP(B23,PlayerStatsSeason!$B$3:$B$996,PlayerStatsSeason!$J$3:$J$996)+_xlfn.XLOOKUP(B23,PlayerStatsSeason!$B$3:$B$996,PlayerStatsSeason!$T$3:$T$996))</f>
        <v>#NAME?</v>
      </c>
      <c r="F23" s="145" t="e">
        <f t="shared" ca="1" si="0"/>
        <v>#NAME?</v>
      </c>
      <c r="G23" s="149" t="e">
        <f ca="1">_xlfn.XLOOKUP($B23, PlayerStatsSeason!$B$3:$B$996, PlayerStatsSeason!$P$3:$P$996)/(_xlfn.XLOOKUP($B23, PlayerStatsSeason!$B$3:$B$996, PlayerStatsSeason!$P$3:$P$996)+_xlfn.XLOOKUP($B23, PlayerStatsSeason!$B$3:$B$996, PlayerStatsSeason!$M$3:$M$996)+_xlfn.XLOOKUP(B$12,PlayerStatsSeason!$B$3:$B$996,PlayerStatsSeason!$T$3:$T$996))</f>
        <v>#NAME?</v>
      </c>
      <c r="H23" s="149" t="e">
        <f ca="1">_xlfn.LET(_xlpm.val, _xlfn.XLOOKUP(B23, PlayerStatsSeason!$B$3:$B$996, PlayerStatsSeason!$Q$3:$Q$996, ""),
  IF(OR(_xlpm.val=0, _xlpm.val=""), "", VALUE(_xlpm.val))
)</f>
        <v>#NAME?</v>
      </c>
      <c r="I23" s="144" t="e">
        <f ca="1">_xlfn.LET(
  _xlpm.val, _xlfn.XLOOKUP(B23, PlayerStatsSeason!$B$3:$B$996, PlayerStatsSeason!$P$3:$P$996, ""),
  IF(OR(_xlpm.val=0, _xlpm.val=""), "", VALUE(_xlpm.val))
)</f>
        <v>#NAME?</v>
      </c>
      <c r="J23" s="149" t="e">
        <f ca="1">_xlfn.XLOOKUP($B23, PlayerStatsSeason!$B$3:$B$996, PlayerStatsSeason!$M$3:$M$996)/(_xlfn.XLOOKUP($B23, PlayerStatsSeason!$B$3:$B$996, PlayerStatsSeason!$P$3:$P$996)+_xlfn.XLOOKUP($B23, PlayerStatsSeason!$B$3:$B$996, PlayerStatsSeason!$M$3:$M$996)+_xlfn.XLOOKUP(B$12,PlayerStatsSeason!$B$3:$B$996,PlayerStatsSeason!$T$3:$T$996))</f>
        <v>#NAME?</v>
      </c>
      <c r="K23" s="175" t="e">
        <f ca="1">_xlfn.LET(
  _xlpm.val, _xlfn.XLOOKUP(B23, PlayerStatsSeason!$B$3:$B$996, PlayerStatsSeason!$N$3:$N$996, ""),
  IF(OR(_xlpm.val=0, _xlpm.val=""), "", VALUE(_xlpm.val))
)</f>
        <v>#NAME?</v>
      </c>
      <c r="L23" s="174" t="e" cm="1">
        <f t="array" aca="1" ref="L23" ca="1">_xlfn.LET(
  _xlpm.val, _xlfn.XLOOKUP(B23, PlayerStatsSeason!$B$3:$B$996, PlayerStatsSeason!$M$3:$M$996, ""),
  IF(OR(_xlpm.val=0, _xlpm.val=""), "", VALUE(_xlpm.val))
)</f>
        <v>#NAME?</v>
      </c>
      <c r="M23" s="149" t="e">
        <f ca="1">_xlfn.XLOOKUP($B23, PlayerStatsSeason!$B$3:$B$996, PlayerStatsSeason!$T$3:$T$996)/(_xlfn.XLOOKUP($B23, PlayerStatsSeason!$B$3:$B$996, PlayerStatsSeason!$P$3:$P$996)+_xlfn.XLOOKUP($B23, PlayerStatsSeason!$B$3:$B$996, PlayerStatsSeason!$M$3:$M$996)+_xlfn.XLOOKUP(B$12,PlayerStatsSeason!$B$3:$B$996,PlayerStatsSeason!$T$3:$T$996))</f>
        <v>#NAME?</v>
      </c>
      <c r="N23" s="143" t="e">
        <f ca="1">_xlfn.LET(
  _xlpm.val, _xlfn.XLOOKUP(B23, PlayerStatsSeason!$B$3:$B$996, PlayerStatsSeason!$U$3:$U$996, ""),
  IF(OR(_xlpm.val=0, _xlpm.val=""), "", VALUE(_xlpm.val))
)</f>
        <v>#NAME?</v>
      </c>
      <c r="O23" s="144" t="e">
        <f ca="1">_xlfn.LET(
  _xlpm.val, _xlfn.XLOOKUP(B23, PlayerStatsSeason!$B$3:$B$996, PlayerStatsSeason!$T$3:$T$996, ""),
  IF(OR(_xlpm.val=0, _xlpm.val=""), "", VALUE(_xlpm.val))
)</f>
        <v>#NAME?</v>
      </c>
      <c r="P23" s="170" t="e" cm="1">
        <f t="array" aca="1" ref="P23" ca="1">_xlfn.LET(
  _xlpm.val, _xlfn.XLOOKUP(B23, PlayerStatsSeason!$B$3:$B$996, PlayerStatsSeason!$AD$3:$AD$996, ""),
  IF(OR(_xlpm.val=0, _xlpm.val=""), "", VALUE(_xlpm.val))
)</f>
        <v>#NAME?</v>
      </c>
      <c r="Q23" s="141" cm="1">
        <f t="array" aca="1" ref="Q23" ca="1">MIN(IF(ISNA(MATCH(PlayerWorking!$H$5:OFFSET(PlayerWorking!$H$5,PlayerWorking!$C$5-1,0),Results!$Q$12:Q22,0)),PlayerWorking!$H$5:OFFSET(PlayerWorking!$H$5,PlayerWorking!$C$5-1,1)))</f>
        <v>0</v>
      </c>
      <c r="R23" s="170" t="e">
        <f t="shared" ca="1" si="1"/>
        <v>#NAME?</v>
      </c>
      <c r="S23" s="141"/>
      <c r="T23" s="154" t="e">
        <f ca="1">IF(D23&gt;0,IFERROR(2*_xlfn.BINOM.INV(_xlfn.BINOM.INV(F23,G23,RAND()),H23,RAND())+ 3*_xlfn.BINOM.INV(_xlfn.BINOM.INV(F23,J23,RAND()),K23,RAND())+ _xlfn.BINOM.INV(_xlfn.BINOM.INV(F23,M23,RAND()),N23,RAND()),ROUND((F23/E23)*_xlfn.XLOOKUP(B23,PlayerStatsSeason!B14:B1007,PlayerStatsSeason!AD14:AD1007),0)),0)</f>
        <v>#NAME?</v>
      </c>
      <c r="U23" s="9">
        <v>6.5</v>
      </c>
      <c r="V23" t="e">
        <f t="shared" ca="1" si="2"/>
        <v>#NAME?</v>
      </c>
      <c r="W23" t="e">
        <f t="shared" ca="1" si="3"/>
        <v>#NAME?</v>
      </c>
      <c r="X23" s="186">
        <f ca="1">IF(D23&gt;0,
   IFERROR(
      ROUND(
         0.5 * (
            3 * _xlfn.BINOM.INV(G23, H23, RAND()) +
            2 * _xlfn.BINOM.INV(J23, K23, RAND()) +
            _xlfn.BINOM.INV(M23, N23, RAND())
         ) +
         0.5 * _xlfn.XLOOKUP(B23, PlayerStatsSeason!B14:B1007, PlayerStatsSeason!AD14:AD1007),
      0),
   0),
0)</f>
        <v>0</v>
      </c>
      <c r="Y23" s="41">
        <f ca="1">IF(D23&gt;0,
   IFERROR(
      ROUND(
         0.5 * (
            3 * _xlfn.BINOM.INV(G23, H23, RAND()) +
            2 * _xlfn.BINOM.INV(J23, K23, RAND()) +
            _xlfn.BINOM.INV(M23, N23, RAND())
         ) +
         0.5 * _xlfn.XLOOKUP(B23, PlayerStatsSeason!$B$3:$B$996, PlayerStatsSeason!$AD$3:$AD$996),
      0),
   0),
0)</f>
        <v>0</v>
      </c>
    </row>
    <row r="24" spans="1:25" ht="15.75" x14ac:dyDescent="0.25">
      <c r="A24" s="146" t="s">
        <v>3152</v>
      </c>
      <c r="B24" s="141" t="str">
        <f ca="1">IFERROR(IF(_xlfn.XLOOKUP(Q24,PlayerWorking!$H$5:$H$31,PlayerWorking!$I$5:$I$31)=0, "", _xlfn.XLOOKUP(Q24,PlayerWorking!$H$5:$H$31,PlayerWorking!$I$5:$I$31)), "")</f>
        <v/>
      </c>
      <c r="C24" s="142">
        <v>0</v>
      </c>
      <c r="D24" s="145">
        <f ca="1">IF(Q24&lt;=5,C24,C24/SUM(PlayerWorking!$J$10:$J$27)*(240-SUM(PlayerWorking!$J$5:$J$9)))</f>
        <v>0</v>
      </c>
      <c r="E24" s="142" t="b">
        <f ca="1">IF(D24&gt;0,_xlfn.XLOOKUP(B24,PlayerStatsSeason!$B$3:$B$996,PlayerStatsSeason!$J$3:$J$996)+_xlfn.XLOOKUP(B24,PlayerStatsSeason!$B$3:$B$996,PlayerStatsSeason!$T$3:$T$996))</f>
        <v>0</v>
      </c>
      <c r="F24" s="145">
        <f t="shared" ca="1" si="0"/>
        <v>0</v>
      </c>
      <c r="G24" s="149" t="e">
        <f ca="1">_xlfn.XLOOKUP($B24, PlayerStatsSeason!$B$3:$B$996, PlayerStatsSeason!$P$3:$P$996)/(_xlfn.XLOOKUP($B24, PlayerStatsSeason!$B$3:$B$996, PlayerStatsSeason!$P$3:$P$996)+_xlfn.XLOOKUP($B24, PlayerStatsSeason!$B$3:$B$996, PlayerStatsSeason!$M$3:$M$996)+_xlfn.XLOOKUP(B$12,PlayerStatsSeason!$B$3:$B$996,PlayerStatsSeason!$T$3:$T$996))</f>
        <v>#NAME?</v>
      </c>
      <c r="H24" s="149" t="e">
        <f ca="1">_xlfn.LET(_xlpm.val, _xlfn.XLOOKUP(B24, PlayerStatsSeason!$B$3:$B$996, PlayerStatsSeason!$Q$3:$Q$996, ""),
  IF(OR(_xlpm.val=0, _xlpm.val=""), "", VALUE(_xlpm.val))
)</f>
        <v>#NAME?</v>
      </c>
      <c r="I24" s="144" t="e">
        <f ca="1">_xlfn.LET(
  _xlpm.val, _xlfn.XLOOKUP(B24, PlayerStatsSeason!$B$3:$B$996, PlayerStatsSeason!$P$3:$P$996, ""),
  IF(OR(_xlpm.val=0, _xlpm.val=""), "", VALUE(_xlpm.val))
)</f>
        <v>#NAME?</v>
      </c>
      <c r="J24" s="149" t="e">
        <f ca="1">_xlfn.XLOOKUP($B24, PlayerStatsSeason!$B$3:$B$996, PlayerStatsSeason!$M$3:$M$996)/(_xlfn.XLOOKUP($B24, PlayerStatsSeason!$B$3:$B$996, PlayerStatsSeason!$P$3:$P$996)+_xlfn.XLOOKUP($B24, PlayerStatsSeason!$B$3:$B$996, PlayerStatsSeason!$M$3:$M$996)+_xlfn.XLOOKUP(B$12,PlayerStatsSeason!$B$3:$B$996,PlayerStatsSeason!$T$3:$T$996))</f>
        <v>#NAME?</v>
      </c>
      <c r="K24" s="175" t="e">
        <f ca="1">_xlfn.LET(
  _xlpm.val, _xlfn.XLOOKUP(B24, PlayerStatsSeason!$B$3:$B$996, PlayerStatsSeason!$N$3:$N$996, ""),
  IF(OR(_xlpm.val=0, _xlpm.val=""), "", VALUE(_xlpm.val))
)</f>
        <v>#NAME?</v>
      </c>
      <c r="L24" s="174" t="e" cm="1">
        <f t="array" aca="1" ref="L24" ca="1">_xlfn.LET(
  _xlpm.val, _xlfn.XLOOKUP(B24, PlayerStatsSeason!$B$3:$B$996, PlayerStatsSeason!$M$3:$M$996, ""),
  IF(OR(_xlpm.val=0, _xlpm.val=""), "", VALUE(_xlpm.val))
)</f>
        <v>#NAME?</v>
      </c>
      <c r="M24" s="149" t="e">
        <f ca="1">_xlfn.XLOOKUP($B24, PlayerStatsSeason!$B$3:$B$996, PlayerStatsSeason!$T$3:$T$996)/(_xlfn.XLOOKUP($B24, PlayerStatsSeason!$B$3:$B$996, PlayerStatsSeason!$P$3:$P$996)+_xlfn.XLOOKUP($B24, PlayerStatsSeason!$B$3:$B$996, PlayerStatsSeason!$M$3:$M$996)+_xlfn.XLOOKUP(B$12,PlayerStatsSeason!$B$3:$B$996,PlayerStatsSeason!$T$3:$T$996))</f>
        <v>#NAME?</v>
      </c>
      <c r="N24" s="143" t="e">
        <f ca="1">_xlfn.LET(
  _xlpm.val, _xlfn.XLOOKUP(B24, PlayerStatsSeason!$B$3:$B$996, PlayerStatsSeason!$U$3:$U$996, ""),
  IF(OR(_xlpm.val=0, _xlpm.val=""), "", VALUE(_xlpm.val))
)</f>
        <v>#NAME?</v>
      </c>
      <c r="O24" s="144" t="e">
        <f ca="1">_xlfn.LET(
  _xlpm.val, _xlfn.XLOOKUP(B24, PlayerStatsSeason!$B$3:$B$996, PlayerStatsSeason!$T$3:$T$996, ""),
  IF(OR(_xlpm.val=0, _xlpm.val=""), "", VALUE(_xlpm.val))
)</f>
        <v>#NAME?</v>
      </c>
      <c r="P24" s="170" t="e" cm="1">
        <f t="array" aca="1" ref="P24" ca="1">_xlfn.LET(
  _xlpm.val, _xlfn.XLOOKUP(B24, PlayerStatsSeason!$B$3:$B$996, PlayerStatsSeason!$AD$3:$AD$996, ""),
  IF(OR(_xlpm.val=0, _xlpm.val=""), "", VALUE(_xlpm.val))
)</f>
        <v>#NAME?</v>
      </c>
      <c r="Q24" s="141" cm="1">
        <f t="array" aca="1" ref="Q24" ca="1">MIN(IF(ISNA(MATCH(PlayerWorking!$H$5:OFFSET(PlayerWorking!$H$5,PlayerWorking!$C$5-1,0),Results!$Q$12:Q23,0)),PlayerWorking!$H$5:OFFSET(PlayerWorking!$H$5,PlayerWorking!$C$5-1,1)))</f>
        <v>0</v>
      </c>
      <c r="R24" s="170">
        <f t="shared" ca="1" si="1"/>
        <v>0</v>
      </c>
      <c r="S24" s="141"/>
      <c r="T24" s="154">
        <f ca="1">IF(D24&gt;0,IFERROR(2*_xlfn.BINOM.INV(_xlfn.BINOM.INV(F24,G24,RAND()),H24,RAND())+ 3*_xlfn.BINOM.INV(_xlfn.BINOM.INV(F24,J24,RAND()),K24,RAND())+ _xlfn.BINOM.INV(_xlfn.BINOM.INV(F24,M24,RAND()),N24,RAND()),ROUND((F24/E24)*_xlfn.XLOOKUP(B24,PlayerStatsSeason!B15:B1008,PlayerStatsSeason!AD15:AD1008),0)),0)</f>
        <v>0</v>
      </c>
      <c r="U24" s="9"/>
      <c r="X24" s="186">
        <f ca="1">IF(D24&gt;0,
   IFERROR(
      ROUND(
         0.5 * (
            3 * _xlfn.BINOM.INV(G24, H24, RAND()) +
            2 * _xlfn.BINOM.INV(J24, K24, RAND()) +
            _xlfn.BINOM.INV(M24, N24, RAND())
         ) +
         0.5 * _xlfn.XLOOKUP(B24, PlayerStatsSeason!B15:B1008, PlayerStatsSeason!AD15:AD1008),
      0),
   0),
0)</f>
        <v>0</v>
      </c>
      <c r="Y24" s="41"/>
    </row>
    <row r="25" spans="1:25" ht="15.75" x14ac:dyDescent="0.25">
      <c r="A25" s="146" t="s">
        <v>3153</v>
      </c>
      <c r="B25" s="141" t="str">
        <f ca="1">IFERROR(IF(_xlfn.XLOOKUP(Q25,PlayerWorking!$H$5:$H$31,PlayerWorking!$I$5:$I$31)=0, "", _xlfn.XLOOKUP(Q25,PlayerWorking!$H$5:$H$31,PlayerWorking!$I$5:$I$31)), "")</f>
        <v/>
      </c>
      <c r="C25" s="142">
        <v>0</v>
      </c>
      <c r="D25" s="145">
        <f ca="1">IF(Q25&lt;=5,C25,C25/SUM(PlayerWorking!$J$10:$J$27)*(240-SUM(PlayerWorking!$J$5:$J$9)))</f>
        <v>0</v>
      </c>
      <c r="E25" s="142" t="b">
        <f ca="1">IF(D25&gt;0,_xlfn.XLOOKUP(B25,PlayerStatsSeason!$B$3:$B$996,PlayerStatsSeason!$J$3:$J$996)+_xlfn.XLOOKUP(B25,PlayerStatsSeason!$B$3:$B$996,PlayerStatsSeason!$T$3:$T$996))</f>
        <v>0</v>
      </c>
      <c r="F25" s="145">
        <f t="shared" ca="1" si="0"/>
        <v>0</v>
      </c>
      <c r="G25" s="149" t="e">
        <f ca="1">_xlfn.XLOOKUP($B25, PlayerStatsSeason!$B$3:$B$996, PlayerStatsSeason!$P$3:$P$996)/(_xlfn.XLOOKUP($B25, PlayerStatsSeason!$B$3:$B$996, PlayerStatsSeason!$P$3:$P$996)+_xlfn.XLOOKUP($B25, PlayerStatsSeason!$B$3:$B$996, PlayerStatsSeason!$M$3:$M$996)+_xlfn.XLOOKUP(B$12,PlayerStatsSeason!$B$3:$B$996,PlayerStatsSeason!$T$3:$T$996))</f>
        <v>#NAME?</v>
      </c>
      <c r="H25" s="149" t="e">
        <f ca="1">_xlfn.LET(_xlpm.val, _xlfn.XLOOKUP(B25, PlayerStatsSeason!$B$3:$B$996, PlayerStatsSeason!$Q$3:$Q$996, ""),
  IF(OR(_xlpm.val=0, _xlpm.val=""), "", VALUE(_xlpm.val))
)</f>
        <v>#NAME?</v>
      </c>
      <c r="I25" s="144" t="e">
        <f ca="1">_xlfn.LET(
  _xlpm.val, _xlfn.XLOOKUP(B25, PlayerStatsSeason!$B$3:$B$996, PlayerStatsSeason!$P$3:$P$996, ""),
  IF(OR(_xlpm.val=0, _xlpm.val=""), "", VALUE(_xlpm.val))
)</f>
        <v>#NAME?</v>
      </c>
      <c r="J25" s="149" t="e">
        <f ca="1">_xlfn.XLOOKUP($B25, PlayerStatsSeason!$B$3:$B$996, PlayerStatsSeason!$M$3:$M$996)/(_xlfn.XLOOKUP($B25, PlayerStatsSeason!$B$3:$B$996, PlayerStatsSeason!$P$3:$P$996)+_xlfn.XLOOKUP($B25, PlayerStatsSeason!$B$3:$B$996, PlayerStatsSeason!$M$3:$M$996)+_xlfn.XLOOKUP(B$12,PlayerStatsSeason!$B$3:$B$996,PlayerStatsSeason!$T$3:$T$996))</f>
        <v>#NAME?</v>
      </c>
      <c r="K25" s="175" t="e">
        <f ca="1">_xlfn.LET(
  _xlpm.val, _xlfn.XLOOKUP(B25, PlayerStatsSeason!$B$3:$B$996, PlayerStatsSeason!$N$3:$N$996, ""),
  IF(OR(_xlpm.val=0, _xlpm.val=""), "", VALUE(_xlpm.val))
)</f>
        <v>#NAME?</v>
      </c>
      <c r="L25" s="174" t="e" cm="1">
        <f t="array" aca="1" ref="L25" ca="1">_xlfn.LET(
  _xlpm.val, _xlfn.XLOOKUP(B25, PlayerStatsSeason!$B$3:$B$996, PlayerStatsSeason!$M$3:$M$996, ""),
  IF(OR(_xlpm.val=0, _xlpm.val=""), "", VALUE(_xlpm.val))
)</f>
        <v>#NAME?</v>
      </c>
      <c r="M25" s="149" t="e">
        <f ca="1">_xlfn.XLOOKUP($B25, PlayerStatsSeason!$B$3:$B$996, PlayerStatsSeason!$T$3:$T$996)/(_xlfn.XLOOKUP($B25, PlayerStatsSeason!$B$3:$B$996, PlayerStatsSeason!$P$3:$P$996)+_xlfn.XLOOKUP($B25, PlayerStatsSeason!$B$3:$B$996, PlayerStatsSeason!$M$3:$M$996)+_xlfn.XLOOKUP(B$12,PlayerStatsSeason!$B$3:$B$996,PlayerStatsSeason!$T$3:$T$996))</f>
        <v>#NAME?</v>
      </c>
      <c r="N25" s="143">
        <v>0</v>
      </c>
      <c r="O25" s="144" t="e">
        <f ca="1">_xlfn.LET(
  _xlpm.val, _xlfn.XLOOKUP(B25, PlayerStatsSeason!$B$3:$B$996, PlayerStatsSeason!$T$3:$T$996, ""),
  IF(OR(_xlpm.val=0, _xlpm.val=""), "", VALUE(_xlpm.val))
)</f>
        <v>#NAME?</v>
      </c>
      <c r="P25" s="170" t="e" cm="1">
        <f t="array" aca="1" ref="P25" ca="1">_xlfn.LET(
  _xlpm.val, _xlfn.XLOOKUP(B25, PlayerStatsSeason!$B$3:$B$996, PlayerStatsSeason!$AD$3:$AD$996, ""),
  IF(OR(_xlpm.val=0, _xlpm.val=""), "", VALUE(_xlpm.val))
)</f>
        <v>#NAME?</v>
      </c>
      <c r="Q25" s="141" cm="1">
        <f t="array" aca="1" ref="Q25" ca="1">MIN(IF(ISNA(MATCH(PlayerWorking!$H$5:OFFSET(PlayerWorking!$H$5,PlayerWorking!$C$5-1,0),Results!$Q$12:Q24,0)),PlayerWorking!$H$5:OFFSET(PlayerWorking!$H$5,PlayerWorking!$C$5-1,1)))</f>
        <v>0</v>
      </c>
      <c r="R25" s="170">
        <f t="shared" ca="1" si="1"/>
        <v>0</v>
      </c>
      <c r="S25" s="141"/>
      <c r="T25" s="154">
        <f ca="1">IF(D25&gt;0,IFERROR(2*_xlfn.BINOM.INV(_xlfn.BINOM.INV(F25,G25,RAND()),H25,RAND())+ 3*_xlfn.BINOM.INV(_xlfn.BINOM.INV(F25,J25,RAND()),K25,RAND())+ _xlfn.BINOM.INV(_xlfn.BINOM.INV(F25,M25,RAND()),N25,RAND()),ROUND((F25/E25)*_xlfn.XLOOKUP(B25,PlayerStatsSeason!B16:B1009,PlayerStatsSeason!AD16:AD1009),0)),0)</f>
        <v>0</v>
      </c>
      <c r="U25" s="9"/>
      <c r="X25" s="186">
        <f ca="1">IF(D25&gt;0,
   IFERROR(
      ROUND(
         0.5 * (
            3 * _xlfn.BINOM.INV(G25, H25, RAND()) +
            2 * _xlfn.BINOM.INV(J25, K25, RAND()) +
            _xlfn.BINOM.INV(M25, N25, RAND())
         ) +
         0.5 * _xlfn.XLOOKUP(B25, PlayerStatsSeason!B16:B1009, PlayerStatsSeason!AD16:AD1009),
      0),
   0),
0)</f>
        <v>0</v>
      </c>
      <c r="Y25" s="41"/>
    </row>
    <row r="26" spans="1:25" ht="15.75" x14ac:dyDescent="0.25">
      <c r="A26" s="146" t="s">
        <v>3154</v>
      </c>
      <c r="B26" s="141" t="str">
        <f ca="1">IFERROR(IF(_xlfn.XLOOKUP(Q26,PlayerWorking!$H$5:$H$31,PlayerWorking!$I$5:$I$31)=0, "", _xlfn.XLOOKUP(Q26,PlayerWorking!$H$5:$H$31,PlayerWorking!$I$5:$I$31)), "")</f>
        <v/>
      </c>
      <c r="C26" s="142">
        <v>0</v>
      </c>
      <c r="D26" s="145">
        <f ca="1">IF(Q26&lt;=5,C26,C26/SUM(PlayerWorking!$J$10:$J$27)*(240-SUM(PlayerWorking!$J$5:$J$9)))</f>
        <v>0</v>
      </c>
      <c r="E26" s="142" t="b">
        <f ca="1">IF(D26&gt;0,_xlfn.XLOOKUP(B26,PlayerStatsSeason!$B$3:$B$996,PlayerStatsSeason!$J$3:$J$996)+_xlfn.XLOOKUP(B26,PlayerStatsSeason!$B$3:$B$996,PlayerStatsSeason!$T$3:$T$996))</f>
        <v>0</v>
      </c>
      <c r="F26" s="145">
        <f t="shared" ca="1" si="0"/>
        <v>0</v>
      </c>
      <c r="G26" s="149" t="e">
        <f ca="1">_xlfn.XLOOKUP($B26, PlayerStatsSeason!$B$3:$B$996, PlayerStatsSeason!$P$3:$P$996)/(_xlfn.XLOOKUP($B26, PlayerStatsSeason!$B$3:$B$996, PlayerStatsSeason!$P$3:$P$996)+_xlfn.XLOOKUP($B26, PlayerStatsSeason!$B$3:$B$996, PlayerStatsSeason!$M$3:$M$996)+_xlfn.XLOOKUP(B$12,PlayerStatsSeason!$B$3:$B$996,PlayerStatsSeason!$T$3:$T$996))</f>
        <v>#NAME?</v>
      </c>
      <c r="H26" s="149" t="e">
        <f ca="1">_xlfn.LET(_xlpm.val, _xlfn.XLOOKUP(B26, PlayerStatsSeason!$B$3:$B$996, PlayerStatsSeason!$Q$3:$Q$996, ""),
  IF(OR(_xlpm.val=0, _xlpm.val=""), "", VALUE(_xlpm.val))
)</f>
        <v>#NAME?</v>
      </c>
      <c r="I26" s="144" t="e">
        <f ca="1">_xlfn.LET(
  _xlpm.val, _xlfn.XLOOKUP(B26, PlayerStatsSeason!$B$3:$B$996, PlayerStatsSeason!$P$3:$P$996, ""),
  IF(OR(_xlpm.val=0, _xlpm.val=""), "", VALUE(_xlpm.val))
)</f>
        <v>#NAME?</v>
      </c>
      <c r="J26" s="149" t="e">
        <f ca="1">_xlfn.XLOOKUP($B26, PlayerStatsSeason!$B$3:$B$996, PlayerStatsSeason!$M$3:$M$996)/(_xlfn.XLOOKUP($B26, PlayerStatsSeason!$B$3:$B$996, PlayerStatsSeason!$P$3:$P$996)+_xlfn.XLOOKUP($B26, PlayerStatsSeason!$B$3:$B$996, PlayerStatsSeason!$M$3:$M$996)+_xlfn.XLOOKUP(B$12,PlayerStatsSeason!$B$3:$B$996,PlayerStatsSeason!$T$3:$T$996))</f>
        <v>#NAME?</v>
      </c>
      <c r="K26" s="175" t="e">
        <f ca="1">_xlfn.LET(
  _xlpm.val, _xlfn.XLOOKUP(B26, PlayerStatsSeason!$B$3:$B$996, PlayerStatsSeason!$N$3:$N$996, ""),
  IF(OR(_xlpm.val=0, _xlpm.val=""), "", VALUE(_xlpm.val))
)</f>
        <v>#NAME?</v>
      </c>
      <c r="L26" s="174" t="e" cm="1">
        <f t="array" aca="1" ref="L26" ca="1">_xlfn.LET(
  _xlpm.val, _xlfn.XLOOKUP(B26, PlayerStatsSeason!$B$3:$B$996, PlayerStatsSeason!$M$3:$M$996, ""),
  IF(OR(_xlpm.val=0, _xlpm.val=""), "", VALUE(_xlpm.val))
)</f>
        <v>#NAME?</v>
      </c>
      <c r="M26" s="149" t="e">
        <f ca="1">_xlfn.XLOOKUP($B26, PlayerStatsSeason!$B$3:$B$996, PlayerStatsSeason!$T$3:$T$996)/(_xlfn.XLOOKUP($B26, PlayerStatsSeason!$B$3:$B$996, PlayerStatsSeason!$P$3:$P$996)+_xlfn.XLOOKUP($B26, PlayerStatsSeason!$B$3:$B$996, PlayerStatsSeason!$M$3:$M$996)+_xlfn.XLOOKUP(B$12,PlayerStatsSeason!$B$3:$B$996,PlayerStatsSeason!$T$3:$T$996))</f>
        <v>#NAME?</v>
      </c>
      <c r="N26" s="143" t="e">
        <f ca="1">_xlfn.LET(
  _xlpm.val, _xlfn.XLOOKUP(B26, PlayerStatsSeason!$B$3:$B$996, PlayerStatsSeason!$U$3:$U$996, ""),
  IF(OR(_xlpm.val=0, _xlpm.val=""), "", VALUE(_xlpm.val))
)</f>
        <v>#NAME?</v>
      </c>
      <c r="O26" s="144" t="e">
        <f ca="1">_xlfn.LET(
  _xlpm.val, _xlfn.XLOOKUP(B26, PlayerStatsSeason!$B$3:$B$996, PlayerStatsSeason!$T$3:$T$996, ""),
  IF(OR(_xlpm.val=0, _xlpm.val=""), "", VALUE(_xlpm.val))
)</f>
        <v>#NAME?</v>
      </c>
      <c r="P26" s="170" t="e" cm="1">
        <f t="array" aca="1" ref="P26" ca="1">_xlfn.LET(
  _xlpm.val, _xlfn.XLOOKUP(B26, PlayerStatsSeason!$B$3:$B$996, PlayerStatsSeason!$AD$3:$AD$996, ""),
  IF(OR(_xlpm.val=0, _xlpm.val=""), "", VALUE(_xlpm.val))
)</f>
        <v>#NAME?</v>
      </c>
      <c r="Q26" s="141" cm="1">
        <f t="array" aca="1" ref="Q26" ca="1">MIN(IF(ISNA(MATCH(PlayerWorking!$H$5:OFFSET(PlayerWorking!$H$5,PlayerWorking!$C$5-1,0),Results!$Q$12:Q25,0)),PlayerWorking!$H$5:OFFSET(PlayerWorking!$H$5,PlayerWorking!$C$5-1,1)))</f>
        <v>0</v>
      </c>
      <c r="R26" s="170">
        <f t="shared" ca="1" si="1"/>
        <v>0</v>
      </c>
      <c r="S26" s="141"/>
      <c r="T26" s="154">
        <f ca="1">IF(D26&gt;0,IFERROR(2*_xlfn.BINOM.INV(_xlfn.BINOM.INV(F26,G26,RAND()),H26,RAND())+ 3*_xlfn.BINOM.INV(_xlfn.BINOM.INV(F26,J26,RAND()),K26,RAND())+ _xlfn.BINOM.INV(_xlfn.BINOM.INV(F26,M26,RAND()),N26,RAND()),ROUND((F26/E26)*_xlfn.XLOOKUP(B26,PlayerStatsSeason!B17:B1010,PlayerStatsSeason!AD17:AD1010),0)),0)</f>
        <v>0</v>
      </c>
      <c r="U26" s="9"/>
      <c r="X26" s="186">
        <f ca="1">IF(D26&gt;0,
   IFERROR(
      ROUND(
         0.5 * (
            3 * _xlfn.BINOM.INV(G26, H26, RAND()) +
            2 * _xlfn.BINOM.INV(J26, K26, RAND()) +
            _xlfn.BINOM.INV(M26, N26, RAND())
         ) +
         0.5 * _xlfn.XLOOKUP(B26, PlayerStatsSeason!B17:B1010, PlayerStatsSeason!AD17:AD1010),
      0),
   0),
0)</f>
        <v>0</v>
      </c>
      <c r="Y26" s="41"/>
    </row>
    <row r="27" spans="1:25" ht="15.75" x14ac:dyDescent="0.25">
      <c r="A27" s="146" t="s">
        <v>3155</v>
      </c>
      <c r="B27" s="141" t="str">
        <f ca="1">IFERROR(IF(_xlfn.XLOOKUP(Q27,PlayerWorking!$H$5:$H$31,PlayerWorking!$I$5:$I$31)=0, "", _xlfn.XLOOKUP(Q27,PlayerWorking!$H$5:$H$31,PlayerWorking!$I$5:$I$31)), "")</f>
        <v/>
      </c>
      <c r="C27" s="142">
        <v>0</v>
      </c>
      <c r="D27" s="145">
        <f ca="1">IF(Q27&lt;=5,C27,C27/SUM(PlayerWorking!$J$10:$J$27)*(240-SUM(PlayerWorking!$J$5:$J$9)))</f>
        <v>0</v>
      </c>
      <c r="E27" s="142" t="b">
        <f ca="1">IF(D27&gt;0,_xlfn.XLOOKUP(B27,PlayerStatsSeason!$B$3:$B$996,PlayerStatsSeason!$J$3:$J$996)+_xlfn.XLOOKUP(B27,PlayerStatsSeason!$B$3:$B$996,PlayerStatsSeason!$T$3:$T$996))</f>
        <v>0</v>
      </c>
      <c r="F27" s="145">
        <f t="shared" ca="1" si="0"/>
        <v>0</v>
      </c>
      <c r="G27" s="149" t="e">
        <f ca="1">_xlfn.XLOOKUP($B27, PlayerStatsSeason!$B$3:$B$996, PlayerStatsSeason!$P$3:$P$996)/(_xlfn.XLOOKUP($B27, PlayerStatsSeason!$B$3:$B$996, PlayerStatsSeason!$P$3:$P$996)+_xlfn.XLOOKUP($B27, PlayerStatsSeason!$B$3:$B$996, PlayerStatsSeason!$M$3:$M$996)+_xlfn.XLOOKUP(B$12,PlayerStatsSeason!$B$3:$B$996,PlayerStatsSeason!$T$3:$T$996))</f>
        <v>#NAME?</v>
      </c>
      <c r="H27" s="149">
        <v>0</v>
      </c>
      <c r="I27" s="144" t="e">
        <f ca="1">_xlfn.LET(
  _xlpm.val, _xlfn.XLOOKUP(B27, PlayerStatsSeason!$B$3:$B$996, PlayerStatsSeason!$P$3:$P$996, ""),
  IF(OR(_xlpm.val=0, _xlpm.val=""), "", VALUE(_xlpm.val))
)</f>
        <v>#NAME?</v>
      </c>
      <c r="J27" s="149" t="e">
        <f ca="1">_xlfn.XLOOKUP($B27, PlayerStatsSeason!$B$3:$B$996, PlayerStatsSeason!$M$3:$M$996)/(_xlfn.XLOOKUP($B27, PlayerStatsSeason!$B$3:$B$996, PlayerStatsSeason!$P$3:$P$996)+_xlfn.XLOOKUP($B27, PlayerStatsSeason!$B$3:$B$996, PlayerStatsSeason!$M$3:$M$996)+_xlfn.XLOOKUP(B$12,PlayerStatsSeason!$B$3:$B$996,PlayerStatsSeason!$T$3:$T$996))</f>
        <v>#NAME?</v>
      </c>
      <c r="K27" s="175" t="e">
        <f ca="1">_xlfn.LET(
  _xlpm.val, _xlfn.XLOOKUP(B27, PlayerStatsSeason!$B$3:$B$996, PlayerStatsSeason!$N$3:$N$996, ""),
  IF(OR(_xlpm.val=0, _xlpm.val=""), "", VALUE(_xlpm.val))
)</f>
        <v>#NAME?</v>
      </c>
      <c r="L27" s="174" t="e" cm="1">
        <f t="array" aca="1" ref="L27" ca="1">_xlfn.LET(
  _xlpm.val, _xlfn.XLOOKUP(B27, PlayerStatsSeason!$B$3:$B$996, PlayerStatsSeason!$M$3:$M$996, ""),
  IF(OR(_xlpm.val=0, _xlpm.val=""), "", VALUE(_xlpm.val))
)</f>
        <v>#NAME?</v>
      </c>
      <c r="M27" s="149" t="e">
        <f ca="1">_xlfn.XLOOKUP($B27, PlayerStatsSeason!$B$3:$B$996, PlayerStatsSeason!$T$3:$T$996)/(_xlfn.XLOOKUP($B27, PlayerStatsSeason!$B$3:$B$996, PlayerStatsSeason!$P$3:$P$996)+_xlfn.XLOOKUP($B27, PlayerStatsSeason!$B$3:$B$996, PlayerStatsSeason!$M$3:$M$996)+_xlfn.XLOOKUP(B$12,PlayerStatsSeason!$B$3:$B$996,PlayerStatsSeason!$T$3:$T$996))</f>
        <v>#NAME?</v>
      </c>
      <c r="N27" s="143" t="e">
        <f ca="1">_xlfn.LET(
  _xlpm.val, _xlfn.XLOOKUP(B27, PlayerStatsSeason!$B$3:$B$996, PlayerStatsSeason!$U$3:$U$996, ""),
  IF(OR(_xlpm.val=0, _xlpm.val=""), "", VALUE(_xlpm.val))
)</f>
        <v>#NAME?</v>
      </c>
      <c r="O27" s="144" t="e">
        <f ca="1">_xlfn.LET(
  _xlpm.val, _xlfn.XLOOKUP(B27, PlayerStatsSeason!$B$3:$B$996, PlayerStatsSeason!$T$3:$T$996, ""),
  IF(OR(_xlpm.val=0, _xlpm.val=""), "", VALUE(_xlpm.val))
)</f>
        <v>#NAME?</v>
      </c>
      <c r="P27" s="170" t="e" cm="1">
        <f t="array" aca="1" ref="P27" ca="1">_xlfn.LET(
  _xlpm.val, _xlfn.XLOOKUP(B27, PlayerStatsSeason!$B$3:$B$996, PlayerStatsSeason!$AD$3:$AD$996, ""),
  IF(OR(_xlpm.val=0, _xlpm.val=""), "", VALUE(_xlpm.val))
)</f>
        <v>#NAME?</v>
      </c>
      <c r="Q27" s="141" cm="1">
        <f t="array" aca="1" ref="Q27" ca="1">MIN(IF(ISNA(MATCH(PlayerWorking!$H$5:OFFSET(PlayerWorking!$H$5,PlayerWorking!$C$5-1,0),Results!$Q$12:Q26,0)),PlayerWorking!$H$5:OFFSET(PlayerWorking!$H$5,PlayerWorking!$C$5-1,1)))</f>
        <v>0</v>
      </c>
      <c r="R27" s="170">
        <f t="shared" ca="1" si="1"/>
        <v>0</v>
      </c>
      <c r="S27" s="141"/>
      <c r="T27" s="154">
        <f ca="1">IF(D27&gt;0,IFERROR(2*_xlfn.BINOM.INV(_xlfn.BINOM.INV(F27,G27,RAND()),H27,RAND())+ 3*_xlfn.BINOM.INV(_xlfn.BINOM.INV(F27,J27,RAND()),K27,RAND())+ _xlfn.BINOM.INV(_xlfn.BINOM.INV(F27,M27,RAND()),N27,RAND()),ROUND((F27/E27)*_xlfn.XLOOKUP(B27,PlayerStatsSeason!B18:B1011,PlayerStatsSeason!AD18:AD1011),0)),0)</f>
        <v>0</v>
      </c>
      <c r="U27" s="9"/>
      <c r="X27" s="186">
        <f ca="1">IF(D27&gt;0,
   IFERROR(
      ROUND(
         0.5 * (
            3 * _xlfn.BINOM.INV(G27, H27, RAND()) +
            2 * _xlfn.BINOM.INV(J27, K27, RAND()) +
            _xlfn.BINOM.INV(M27, N27, RAND())
         ) +
         0.5 * _xlfn.XLOOKUP(B27, PlayerStatsSeason!B18:B1011, PlayerStatsSeason!AD18:AD1011),
      0),
   0),
0)</f>
        <v>0</v>
      </c>
      <c r="Y27" s="41"/>
    </row>
    <row r="28" spans="1:25" ht="15.75" x14ac:dyDescent="0.25">
      <c r="A28" s="146" t="s">
        <v>3156</v>
      </c>
      <c r="B28" s="141" t="str">
        <f ca="1">IFERROR(IF(_xlfn.XLOOKUP(Q28,PlayerWorking!$H$5:$H$31,PlayerWorking!$I$5:$I$31)=0, "", _xlfn.XLOOKUP(Q28,PlayerWorking!$H$5:$H$31,PlayerWorking!$I$5:$I$31)), "")</f>
        <v/>
      </c>
      <c r="C28" s="142">
        <v>0</v>
      </c>
      <c r="D28" s="145">
        <f ca="1">IF(Q28&lt;=5,C28,C28/SUM(PlayerWorking!$J$10:$J$27)*(240-SUM(PlayerWorking!$J$5:$J$9)))</f>
        <v>0</v>
      </c>
      <c r="E28" s="142" t="b">
        <f ca="1">IF(D28&gt;0,_xlfn.XLOOKUP(B28,PlayerStatsSeason!$B$3:$B$996,PlayerStatsSeason!$J$3:$J$996)+_xlfn.XLOOKUP(B28,PlayerStatsSeason!$B$3:$B$996,PlayerStatsSeason!$T$3:$T$996))</f>
        <v>0</v>
      </c>
      <c r="F28" s="145">
        <f t="shared" ca="1" si="0"/>
        <v>0</v>
      </c>
      <c r="G28" s="149" t="e">
        <f ca="1">_xlfn.XLOOKUP($B28, PlayerStatsSeason!$B$3:$B$996, PlayerStatsSeason!$P$3:$P$996)/(_xlfn.XLOOKUP($B28, PlayerStatsSeason!$B$3:$B$996, PlayerStatsSeason!$P$3:$P$996)+_xlfn.XLOOKUP($B28, PlayerStatsSeason!$B$3:$B$996, PlayerStatsSeason!$M$3:$M$996)+_xlfn.XLOOKUP(B$12,PlayerStatsSeason!$B$3:$B$996,PlayerStatsSeason!$T$3:$T$996))</f>
        <v>#NAME?</v>
      </c>
      <c r="H28" s="149">
        <v>0</v>
      </c>
      <c r="I28" s="144" t="e">
        <f ca="1">_xlfn.LET(
  _xlpm.val, _xlfn.XLOOKUP(B28, PlayerStatsSeason!$B$3:$B$996, PlayerStatsSeason!$P$3:$P$996, ""),
  IF(OR(_xlpm.val=0, _xlpm.val=""), "", VALUE(_xlpm.val))
)</f>
        <v>#NAME?</v>
      </c>
      <c r="J28" s="149" t="e">
        <f ca="1">_xlfn.XLOOKUP($B28, PlayerStatsSeason!$B$3:$B$996, PlayerStatsSeason!$M$3:$M$996)/(_xlfn.XLOOKUP($B28, PlayerStatsSeason!$B$3:$B$996, PlayerStatsSeason!$P$3:$P$996)+_xlfn.XLOOKUP($B28, PlayerStatsSeason!$B$3:$B$996, PlayerStatsSeason!$M$3:$M$996)+_xlfn.XLOOKUP(B$12,PlayerStatsSeason!$B$3:$B$996,PlayerStatsSeason!$T$3:$T$996))</f>
        <v>#NAME?</v>
      </c>
      <c r="K28" s="175" t="e">
        <f ca="1">_xlfn.LET(
  _xlpm.val, _xlfn.XLOOKUP(B28, PlayerStatsSeason!$B$3:$B$996, PlayerStatsSeason!$N$3:$N$996, ""),
  IF(OR(_xlpm.val=0, _xlpm.val=""), "", VALUE(_xlpm.val))
)</f>
        <v>#NAME?</v>
      </c>
      <c r="L28" s="174" t="e" cm="1">
        <f t="array" aca="1" ref="L28" ca="1">_xlfn.LET(
  _xlpm.val, _xlfn.XLOOKUP(B28, PlayerStatsSeason!$B$3:$B$996, PlayerStatsSeason!$M$3:$M$996, ""),
  IF(OR(_xlpm.val=0, _xlpm.val=""), "", VALUE(_xlpm.val))
)</f>
        <v>#NAME?</v>
      </c>
      <c r="M28" s="149" t="e">
        <f ca="1">_xlfn.XLOOKUP($B28, PlayerStatsSeason!$B$3:$B$996, PlayerStatsSeason!$T$3:$T$996)/(_xlfn.XLOOKUP($B28, PlayerStatsSeason!$B$3:$B$996, PlayerStatsSeason!$P$3:$P$996)+_xlfn.XLOOKUP($B28, PlayerStatsSeason!$B$3:$B$996, PlayerStatsSeason!$M$3:$M$996)+_xlfn.XLOOKUP(B$12,PlayerStatsSeason!$B$3:$B$996,PlayerStatsSeason!$T$3:$T$996))</f>
        <v>#NAME?</v>
      </c>
      <c r="N28" s="143" t="e">
        <f ca="1">_xlfn.LET(
  _xlpm.val, _xlfn.XLOOKUP(B28, PlayerStatsSeason!$B$3:$B$996, PlayerStatsSeason!$U$3:$U$996, ""),
  IF(OR(_xlpm.val=0, _xlpm.val=""), "", VALUE(_xlpm.val))
)</f>
        <v>#NAME?</v>
      </c>
      <c r="O28" s="144" t="e">
        <f ca="1">_xlfn.LET(
  _xlpm.val, _xlfn.XLOOKUP(B28, PlayerStatsSeason!$B$3:$B$996, PlayerStatsSeason!$T$3:$T$996, ""),
  IF(OR(_xlpm.val=0, _xlpm.val=""), "", VALUE(_xlpm.val))
)</f>
        <v>#NAME?</v>
      </c>
      <c r="P28" s="170" t="e" cm="1">
        <f t="array" aca="1" ref="P28" ca="1">_xlfn.LET(
  _xlpm.val, _xlfn.XLOOKUP(B28, PlayerStatsSeason!$B$3:$B$996, PlayerStatsSeason!$AD$3:$AD$996, ""),
  IF(OR(_xlpm.val=0, _xlpm.val=""), "", VALUE(_xlpm.val))
)</f>
        <v>#NAME?</v>
      </c>
      <c r="Q28" s="141" cm="1">
        <f t="array" aca="1" ref="Q28" ca="1">MIN(IF(ISNA(MATCH(PlayerWorking!$H$5:OFFSET(PlayerWorking!$H$5,PlayerWorking!$C$5-1,0),Results!$Q$12:Q27,0)),PlayerWorking!$H$5:OFFSET(PlayerWorking!$H$5,PlayerWorking!$C$5-1,1)))</f>
        <v>0</v>
      </c>
      <c r="R28" s="170">
        <f t="shared" ca="1" si="1"/>
        <v>0</v>
      </c>
      <c r="S28" s="141"/>
      <c r="T28" s="154">
        <f ca="1">IF(D28&gt;0,IFERROR(2*_xlfn.BINOM.INV(_xlfn.BINOM.INV(F28,G28,RAND()),H28,RAND())+ 3*_xlfn.BINOM.INV(_xlfn.BINOM.INV(F28,J28,RAND()),K28,RAND())+ _xlfn.BINOM.INV(_xlfn.BINOM.INV(F28,M28,RAND()),N28,RAND()),ROUND((F28/E28)*_xlfn.XLOOKUP(B28,PlayerStatsSeason!B19:B1012,PlayerStatsSeason!AD19:AD1012),0)),0)</f>
        <v>0</v>
      </c>
      <c r="U28" s="9"/>
      <c r="X28" s="186">
        <f ca="1">IF(D28&gt;0,
   IFERROR(
      ROUND(
         0.5 * (
            3 * _xlfn.BINOM.INV(G28, H28, RAND()) +
            2 * _xlfn.BINOM.INV(J28, K28, RAND()) +
            _xlfn.BINOM.INV(M28, N28, RAND())
         ) +
         0.5 * _xlfn.XLOOKUP(B28, PlayerStatsSeason!B19:B1012, PlayerStatsSeason!AD19:AD1012),
      0),
   0),
0)</f>
        <v>0</v>
      </c>
      <c r="Y28" s="41"/>
    </row>
    <row r="29" spans="1:25" ht="15.75" x14ac:dyDescent="0.25">
      <c r="A29" s="146" t="s">
        <v>3157</v>
      </c>
      <c r="B29" s="141" t="str">
        <f ca="1">IFERROR(IF(_xlfn.XLOOKUP(Q29,PlayerWorking!$H$5:$H$31,PlayerWorking!$I$5:$I$31)=0, "", _xlfn.XLOOKUP(Q29,PlayerWorking!$H$5:$H$31,PlayerWorking!$I$5:$I$31)), "")</f>
        <v/>
      </c>
      <c r="C29" s="142">
        <v>0</v>
      </c>
      <c r="D29" s="145">
        <f ca="1">IF(Q29&lt;=5,C29,C29/SUM(PlayerWorking!$J$10:$J$27)*(240-SUM(PlayerWorking!$J$5:$J$9)))</f>
        <v>0</v>
      </c>
      <c r="E29" s="142" t="b">
        <f ca="1">IF(D29&gt;0,_xlfn.XLOOKUP(B29,PlayerStatsSeason!$B$3:$B$996,PlayerStatsSeason!$J$3:$J$996)+_xlfn.XLOOKUP(B29,PlayerStatsSeason!$B$3:$B$996,PlayerStatsSeason!$T$3:$T$996))</f>
        <v>0</v>
      </c>
      <c r="F29" s="145">
        <f t="shared" ca="1" si="0"/>
        <v>0</v>
      </c>
      <c r="G29" s="149" t="e">
        <f ca="1">_xlfn.XLOOKUP($B29, PlayerStatsSeason!$B$3:$B$996, PlayerStatsSeason!$P$3:$P$996)/(_xlfn.XLOOKUP($B29, PlayerStatsSeason!$B$3:$B$996, PlayerStatsSeason!$P$3:$P$996)+_xlfn.XLOOKUP($B29, PlayerStatsSeason!$B$3:$B$996, PlayerStatsSeason!$M$3:$M$996)+_xlfn.XLOOKUP(B$12,PlayerStatsSeason!$B$3:$B$996,PlayerStatsSeason!$T$3:$T$996))</f>
        <v>#NAME?</v>
      </c>
      <c r="H29" s="149" t="e">
        <f ca="1">_xlfn.LET(_xlpm.val, _xlfn.XLOOKUP(B29, PlayerStatsSeason!$B$3:$B$996, PlayerStatsSeason!$Q$3:$Q$996, ""),
  IF(OR(_xlpm.val=0, _xlpm.val=""), "", VALUE(_xlpm.val))
)</f>
        <v>#NAME?</v>
      </c>
      <c r="I29" s="144" t="e">
        <f ca="1">_xlfn.LET(
  _xlpm.val, _xlfn.XLOOKUP(B29, PlayerStatsSeason!$B$3:$B$996, PlayerStatsSeason!$P$3:$P$996, ""),
  IF(OR(_xlpm.val=0, _xlpm.val=""), "", VALUE(_xlpm.val))
)</f>
        <v>#NAME?</v>
      </c>
      <c r="J29" s="149" t="e">
        <f ca="1">_xlfn.XLOOKUP($B29, PlayerStatsSeason!$B$3:$B$996, PlayerStatsSeason!$M$3:$M$996)/(_xlfn.XLOOKUP($B29, PlayerStatsSeason!$B$3:$B$996, PlayerStatsSeason!$P$3:$P$996)+_xlfn.XLOOKUP($B29, PlayerStatsSeason!$B$3:$B$996, PlayerStatsSeason!$M$3:$M$996)+_xlfn.XLOOKUP(B$12,PlayerStatsSeason!$B$3:$B$996,PlayerStatsSeason!$T$3:$T$996))</f>
        <v>#NAME?</v>
      </c>
      <c r="K29" s="175" t="e">
        <f ca="1">_xlfn.LET(
  _xlpm.val, _xlfn.XLOOKUP(B29, PlayerStatsSeason!$B$3:$B$996, PlayerStatsSeason!$N$3:$N$996, ""),
  IF(OR(_xlpm.val=0, _xlpm.val=""), "", VALUE(_xlpm.val))
)</f>
        <v>#NAME?</v>
      </c>
      <c r="L29" s="174" t="e" cm="1">
        <f t="array" aca="1" ref="L29" ca="1">_xlfn.LET(
  _xlpm.val, _xlfn.XLOOKUP(B29, PlayerStatsSeason!$B$3:$B$996, PlayerStatsSeason!$M$3:$M$996, ""),
  IF(OR(_xlpm.val=0, _xlpm.val=""), "", VALUE(_xlpm.val))
)</f>
        <v>#NAME?</v>
      </c>
      <c r="M29" s="149" t="e">
        <f ca="1">_xlfn.XLOOKUP($B29, PlayerStatsSeason!$B$3:$B$996, PlayerStatsSeason!$T$3:$T$996)/(_xlfn.XLOOKUP($B29, PlayerStatsSeason!$B$3:$B$996, PlayerStatsSeason!$P$3:$P$996)+_xlfn.XLOOKUP($B29, PlayerStatsSeason!$B$3:$B$996, PlayerStatsSeason!$M$3:$M$996)+_xlfn.XLOOKUP(B$12,PlayerStatsSeason!$B$3:$B$996,PlayerStatsSeason!$T$3:$T$996))</f>
        <v>#NAME?</v>
      </c>
      <c r="N29" s="143" t="e">
        <f ca="1">_xlfn.LET(
  _xlpm.val, _xlfn.XLOOKUP(B29, PlayerStatsSeason!$B$3:$B$996, PlayerStatsSeason!$U$3:$U$996, ""),
  IF(OR(_xlpm.val=0, _xlpm.val=""), "", VALUE(_xlpm.val))
)</f>
        <v>#NAME?</v>
      </c>
      <c r="O29" s="144" t="e">
        <f ca="1">_xlfn.LET(
  _xlpm.val, _xlfn.XLOOKUP(B29, PlayerStatsSeason!$B$3:$B$996, PlayerStatsSeason!$T$3:$T$996, ""),
  IF(OR(_xlpm.val=0, _xlpm.val=""), "", VALUE(_xlpm.val))
)</f>
        <v>#NAME?</v>
      </c>
      <c r="P29" s="170" t="e" cm="1">
        <f t="array" aca="1" ref="P29" ca="1">_xlfn.LET(
  _xlpm.val, _xlfn.XLOOKUP(B29, PlayerStatsSeason!$B$3:$B$996, PlayerStatsSeason!$AD$3:$AD$996, ""),
  IF(OR(_xlpm.val=0, _xlpm.val=""), "", VALUE(_xlpm.val))
)</f>
        <v>#NAME?</v>
      </c>
      <c r="Q29" s="141" cm="1">
        <f t="array" aca="1" ref="Q29" ca="1">MIN(IF(ISNA(MATCH(PlayerWorking!$H$5:OFFSET(PlayerWorking!$H$5,PlayerWorking!$C$5-1,0),Results!$Q$12:Q28,0)),PlayerWorking!$H$5:OFFSET(PlayerWorking!$H$5,PlayerWorking!$C$5-1,1)))</f>
        <v>0</v>
      </c>
      <c r="R29" s="170">
        <f t="shared" ca="1" si="1"/>
        <v>0</v>
      </c>
      <c r="S29" s="141"/>
      <c r="T29" s="154">
        <f ca="1">IF(D29&gt;0,IFERROR(2*_xlfn.BINOM.INV(_xlfn.BINOM.INV(F29,G29,RAND()),H29,RAND())+ 3*_xlfn.BINOM.INV(_xlfn.BINOM.INV(F29,J29,RAND()),K29,RAND())+ _xlfn.BINOM.INV(_xlfn.BINOM.INV(F29,M29,RAND()),N29,RAND()),ROUND((F29/E29)*_xlfn.XLOOKUP(B29,PlayerStatsSeason!B20:B1013,PlayerStatsSeason!AD20:AD1013),0)),0)</f>
        <v>0</v>
      </c>
      <c r="U29" s="9"/>
      <c r="X29" s="186">
        <f ca="1">IF(D29&gt;0,
   IFERROR(
      ROUND(
         0.5 * (
            3 * _xlfn.BINOM.INV(G29, H29, RAND()) +
            2 * _xlfn.BINOM.INV(J29, K29, RAND()) +
            _xlfn.BINOM.INV(M29, N29, RAND())
         ) +
         0.5 * _xlfn.XLOOKUP(B29, PlayerStatsSeason!B20:B1013, PlayerStatsSeason!AD20:AD1013),
      0),
   0),
0)</f>
        <v>0</v>
      </c>
      <c r="Y29" s="41"/>
    </row>
    <row r="30" spans="1:25" ht="15.75" x14ac:dyDescent="0.25">
      <c r="A30" s="146" t="s">
        <v>3158</v>
      </c>
      <c r="B30" s="141" t="str">
        <f ca="1">IFERROR(IF(_xlfn.XLOOKUP(Q30,PlayerWorking!$H$5:$H$31,PlayerWorking!$I$5:$I$31)=0, "", _xlfn.XLOOKUP(Q30,PlayerWorking!$H$5:$H$31,PlayerWorking!$I$5:$I$31)), "")</f>
        <v/>
      </c>
      <c r="C30" s="142">
        <v>0</v>
      </c>
      <c r="D30" s="145">
        <f ca="1">IF(Q30&lt;=5,C30,C30/SUM(PlayerWorking!$J$10:$J$27)*(240-SUM(PlayerWorking!$J$5:$J$9)))</f>
        <v>0</v>
      </c>
      <c r="E30" s="145" t="b">
        <f ca="1">IF(D30&gt;0,_xlfn.XLOOKUP(B30,PlayerStatsSeason!$B$3:$B$996,PlayerStatsSeason!$J$3:$J$996)+_xlfn.XLOOKUP(B30,PlayerStatsSeason!$B$3:$B$996,PlayerStatsSeason!$T$3:$T$996))</f>
        <v>0</v>
      </c>
      <c r="F30" s="145">
        <f t="shared" ca="1" si="0"/>
        <v>0</v>
      </c>
      <c r="G30" s="149" t="e">
        <f ca="1">_xlfn.XLOOKUP($B30, PlayerStatsSeason!$B$3:$B$996, PlayerStatsSeason!$P$3:$P$996)/(_xlfn.XLOOKUP($B30, PlayerStatsSeason!$B$3:$B$996, PlayerStatsSeason!$P$3:$P$996)+_xlfn.XLOOKUP($B30, PlayerStatsSeason!$B$3:$B$996, PlayerStatsSeason!$M$3:$M$996)+_xlfn.XLOOKUP(B$12,PlayerStatsSeason!$B$3:$B$996,PlayerStatsSeason!$T$3:$T$996))</f>
        <v>#NAME?</v>
      </c>
      <c r="H30" s="149">
        <v>0</v>
      </c>
      <c r="I30" s="144" t="e">
        <f ca="1">_xlfn.LET(
  _xlpm.val, _xlfn.XLOOKUP(B30, PlayerStatsSeason!$B$3:$B$996, PlayerStatsSeason!$P$3:$P$996, ""),
  IF(OR(_xlpm.val=0, _xlpm.val=""), "", VALUE(_xlpm.val))
)</f>
        <v>#NAME?</v>
      </c>
      <c r="J30" s="149" t="e">
        <f ca="1">_xlfn.XLOOKUP($B30, PlayerStatsSeason!$B$3:$B$996, PlayerStatsSeason!$M$3:$M$996)/(_xlfn.XLOOKUP($B30, PlayerStatsSeason!$B$3:$B$996, PlayerStatsSeason!$P$3:$P$996)+_xlfn.XLOOKUP($B30, PlayerStatsSeason!$B$3:$B$996, PlayerStatsSeason!$M$3:$M$996)+_xlfn.XLOOKUP(B$12,PlayerStatsSeason!$B$3:$B$996,PlayerStatsSeason!$T$3:$T$996))</f>
        <v>#NAME?</v>
      </c>
      <c r="K30" s="175">
        <v>0</v>
      </c>
      <c r="L30" s="174" t="e" cm="1">
        <f t="array" aca="1" ref="L30" ca="1">_xlfn.LET(
  _xlpm.val, _xlfn.XLOOKUP(B30, PlayerStatsSeason!$B$3:$B$996, PlayerStatsSeason!$M$3:$M$996, ""),
  IF(OR(_xlpm.val=0, _xlpm.val=""), "", VALUE(_xlpm.val))
)</f>
        <v>#NAME?</v>
      </c>
      <c r="M30" s="149" t="e">
        <f ca="1">_xlfn.XLOOKUP($B30, PlayerStatsSeason!$B$3:$B$996, PlayerStatsSeason!$T$3:$T$996)/(_xlfn.XLOOKUP($B30, PlayerStatsSeason!$B$3:$B$996, PlayerStatsSeason!$P$3:$P$996)+_xlfn.XLOOKUP($B30, PlayerStatsSeason!$B$3:$B$996, PlayerStatsSeason!$M$3:$M$996)+_xlfn.XLOOKUP(B$12,PlayerStatsSeason!$B$3:$B$996,PlayerStatsSeason!$T$3:$T$996))</f>
        <v>#NAME?</v>
      </c>
      <c r="N30" s="143">
        <v>0</v>
      </c>
      <c r="O30" s="144" t="e">
        <f ca="1">_xlfn.LET(
  _xlpm.val, _xlfn.XLOOKUP(B30, PlayerStatsSeason!$B$3:$B$996, PlayerStatsSeason!$T$3:$T$996, ""),
  IF(OR(_xlpm.val=0, _xlpm.val=""), "", VALUE(_xlpm.val))
)</f>
        <v>#NAME?</v>
      </c>
      <c r="P30" s="170" t="e" cm="1">
        <f t="array" aca="1" ref="P30" ca="1">_xlfn.LET(
  _xlpm.val, _xlfn.XLOOKUP(B30, PlayerStatsSeason!$B$3:$B$996, PlayerStatsSeason!$AD$3:$AD$996, ""),
  IF(OR(_xlpm.val=0, _xlpm.val=""), "", VALUE(_xlpm.val))
)</f>
        <v>#NAME?</v>
      </c>
      <c r="Q30" s="141" cm="1">
        <f t="array" aca="1" ref="Q30" ca="1">MIN(IF(ISNA(MATCH(PlayerWorking!$H$5:OFFSET(PlayerWorking!$H$5,PlayerWorking!$C$5-1,0),Results!$Q$12:Q29,0)),PlayerWorking!$H$5:OFFSET(PlayerWorking!$H$5,PlayerWorking!$C$5-1,1)))</f>
        <v>0</v>
      </c>
      <c r="R30" s="170">
        <f t="shared" ca="1" si="1"/>
        <v>0</v>
      </c>
      <c r="S30" s="141"/>
      <c r="T30" s="154">
        <f ca="1">IF(D30&gt;0,IFERROR(2*_xlfn.BINOM.INV(_xlfn.BINOM.INV(F30,G30,RAND()),H30,RAND())+ 3*_xlfn.BINOM.INV(_xlfn.BINOM.INV(F30,J30,RAND()),K30,RAND())+ _xlfn.BINOM.INV(_xlfn.BINOM.INV(F30,M30,RAND()),N30,RAND()),ROUND((F30/E30)*_xlfn.XLOOKUP(B30,PlayerStatsSeason!B21:B1014,PlayerStatsSeason!AD21:AD1014),0)),0)</f>
        <v>0</v>
      </c>
      <c r="U30" s="9"/>
      <c r="X30" s="186">
        <f ca="1">IF(D30&gt;0,
   IFERROR(
      ROUND(
         0.5 * (
            3 * _xlfn.BINOM.INV(G30, H30, RAND()) +
            2 * _xlfn.BINOM.INV(J30, K30, RAND()) +
            _xlfn.BINOM.INV(M30, N30, RAND())
         ) +
         0.5 * _xlfn.XLOOKUP(B30, PlayerStatsSeason!B21:B1014, PlayerStatsSeason!AD21:AD1014),
      0),
   0),
0)</f>
        <v>0</v>
      </c>
      <c r="Y30" s="41"/>
    </row>
    <row r="31" spans="1:25" ht="15.75" x14ac:dyDescent="0.25">
      <c r="A31" s="146" t="s">
        <v>3159</v>
      </c>
      <c r="B31" s="141"/>
      <c r="C31" s="142" t="e">
        <f ca="1">_xlfn.XLOOKUP(B31,PlayerStatsSeason!$B$3:$B$996,PlayerStatsSeason!$H$3:$H$996)</f>
        <v>#NAME?</v>
      </c>
      <c r="D31" s="142" t="e">
        <f ca="1">IF(Q31&lt;=5,C31,C31/SUM(PlayerWorking!$J$10:$J$27)*(240-SUM(PlayerWorking!$J$5:$J$9)))</f>
        <v>#NAME?</v>
      </c>
      <c r="E31" s="142" t="e">
        <f ca="1">IF(D31&gt;0,_xlfn.XLOOKUP(B31,PlayerStatsSeason!$B$3:$B$996,PlayerStatsSeason!$J$3:$J$996)+_xlfn.XLOOKUP(B31,PlayerStatsSeason!$B$3:$B$996,PlayerStatsSeason!$T$3:$T$996))</f>
        <v>#NAME?</v>
      </c>
      <c r="F31" s="142" t="e">
        <f t="shared" ca="1" si="0"/>
        <v>#NAME?</v>
      </c>
      <c r="G31" s="149" t="e">
        <f ca="1">_xlfn.XLOOKUP($B31, PlayerStatsSeason!$B$3:$B$996, PlayerStatsSeason!$P$3:$P$996)/(_xlfn.XLOOKUP($B31, PlayerStatsSeason!$B$3:$B$996, PlayerStatsSeason!$P$3:$P$996)+_xlfn.XLOOKUP($B31, PlayerStatsSeason!$B$3:$B$996, PlayerStatsSeason!$M$3:$M$996)+_xlfn.XLOOKUP(B$12,PlayerStatsSeason!$B$3:$B$996,PlayerStatsSeason!$T$3:$T$996))</f>
        <v>#NAME?</v>
      </c>
      <c r="H31" s="149" t="str">
        <f>_xlfn.LET(_xlpm.val, _xlfn.XLOOKUP(B31, PlayerStatsSeason!$B$3:$B$996, PlayerStatsSeason!$Q$3:$Q$996, ""),
  IF(OR(_xlpm.val=0, _xlpm.val=""), "", VALUE(_xlpm.val))
)</f>
        <v/>
      </c>
      <c r="I31" s="144" t="str">
        <f>_xlfn.LET(
  _xlpm.val, _xlfn.XLOOKUP(B31, PlayerStatsSeason!$B$3:$B$996, PlayerStatsSeason!$P$3:$P$996, ""),
  IF(OR(_xlpm.val=0, _xlpm.val=""), "", VALUE(_xlpm.val))
)</f>
        <v/>
      </c>
      <c r="J31" s="149" t="e">
        <f ca="1">_xlfn.XLOOKUP($B31, PlayerStatsSeason!$B$3:$B$996, PlayerStatsSeason!$M$3:$M$996)/(_xlfn.XLOOKUP($B31, PlayerStatsSeason!$B$3:$B$996, PlayerStatsSeason!$P$3:$P$996)+_xlfn.XLOOKUP($B31, PlayerStatsSeason!$B$3:$B$996, PlayerStatsSeason!$M$3:$M$996)+_xlfn.XLOOKUP(B$12,PlayerStatsSeason!$B$3:$B$996,PlayerStatsSeason!$T$3:$T$996))</f>
        <v>#NAME?</v>
      </c>
      <c r="K31" s="143" t="str">
        <f>_xlfn.LET(
  _xlpm.val, _xlfn.XLOOKUP(B31, PlayerStatsSeason!$B$3:$B$996, PlayerStatsSeason!$N$3:$N$996, ""),
  IF(OR(_xlpm.val=0, _xlpm.val=""), "", VALUE(_xlpm.val))
)</f>
        <v/>
      </c>
      <c r="L31" s="144" t="str">
        <f>_xlfn.LET(
  _xlpm.val, _xlfn.XLOOKUP(B31, PlayerStatsSeason!$B$3:$B$996, PlayerStatsSeason!$L$3:$L$996, ""),
  IF(OR(_xlpm.val=0, _xlpm.val=""), "", VALUE(_xlpm.val))
)</f>
        <v/>
      </c>
      <c r="M31" s="149" t="e">
        <f ca="1">_xlfn.XLOOKUP($B31, PlayerStatsSeason!$B$3:$B$996, PlayerStatsSeason!$T$3:$T$996)/(_xlfn.XLOOKUP($B31, PlayerStatsSeason!$B$3:$B$996, PlayerStatsSeason!$P$3:$P$996)+_xlfn.XLOOKUP($B31, PlayerStatsSeason!$B$3:$B$996, PlayerStatsSeason!$M$3:$M$996)+_xlfn.XLOOKUP(B$12,PlayerStatsSeason!$B$3:$B$996,PlayerStatsSeason!$T$3:$T$996))</f>
        <v>#NAME?</v>
      </c>
      <c r="N31" s="143" t="str">
        <f>_xlfn.LET(
  _xlpm.val, _xlfn.XLOOKUP(B31, PlayerStatsSeason!$B$3:$B$996, PlayerStatsSeason!$U$3:$U$996, ""),
  IF(OR(_xlpm.val=0, _xlpm.val=""), "", VALUE(_xlpm.val))
)</f>
        <v/>
      </c>
      <c r="O31" s="144" t="str">
        <f>_xlfn.LET(
  _xlpm.val, _xlfn.XLOOKUP(B31, PlayerStatsSeason!$B$3:$B$996, PlayerStatsSeason!$T$3:$T$996, ""),
  IF(OR(_xlpm.val=0, _xlpm.val=""), "", VALUE(_xlpm.val))
)</f>
        <v/>
      </c>
      <c r="P31" s="170" t="str" cm="1">
        <f t="array" ref="P31">_xlfn.LET(
  _xlpm.val, _xlfn.XLOOKUP(B31, PlayerStatsSeason!$B$3:$B$996, PlayerStatsSeason!$AD$3:$AD$996, ""),
  IF(OR(_xlpm.val=0, _xlpm.val=""), "", VALUE(_xlpm.val))
)</f>
        <v/>
      </c>
      <c r="Q31" s="141" cm="1">
        <f t="array" aca="1" ref="Q31" ca="1">MIN(IF(ISNA(MATCH(PlayerWorking!$H$5:OFFSET(PlayerWorking!$H$5,PlayerWorking!$C$5-1,0),Results!$Q$12:Q30,0)),PlayerWorking!$H$5:OFFSET(PlayerWorking!$H$5,PlayerWorking!$C$5-1,1)))</f>
        <v>0</v>
      </c>
      <c r="R31" s="170" t="e">
        <f t="shared" ca="1" si="1"/>
        <v>#NAME?</v>
      </c>
      <c r="S31" s="141"/>
      <c r="T31" s="154" t="e">
        <f ca="1">IF(D31&gt;0,IFERROR(2*_xlfn.BINOM.INV(_xlfn.BINOM.INV(F31,G31,RAND()),H31,RAND())+ 3*_xlfn.BINOM.INV(_xlfn.BINOM.INV(F31,J31,RAND()),K31,RAND())+ _xlfn.BINOM.INV(_xlfn.BINOM.INV(F31,M31,RAND()),N31,RAND()),ROUND((F31/E31)*_xlfn.XLOOKUP(B31,PlayerStatsSeason!B22:B1015,PlayerStatsSeason!AD22:AD1015),0)),0)</f>
        <v>#NAME?</v>
      </c>
      <c r="U31" s="9"/>
      <c r="X31" s="186" t="e">
        <f ca="1">IF(D31&gt;0,
   IFERROR(
      ROUND(
         0.5 * (
            3 * _xlfn.BINOM.INV(G31, H31, RAND()) +
            2 * _xlfn.BINOM.INV(J31, K31, RAND()) +
            _xlfn.BINOM.INV(M31, N31, RAND())
         ) +
         0.5 * _xlfn.XLOOKUP(B31, PlayerStatsSeason!B22:B1015, PlayerStatsSeason!AD22:AD1015),
      0),
   0),
0)</f>
        <v>#NAME?</v>
      </c>
      <c r="Y31" s="41"/>
    </row>
    <row r="32" spans="1:25" ht="15.75" x14ac:dyDescent="0.25">
      <c r="A32" s="146" t="s">
        <v>3160</v>
      </c>
      <c r="B32" s="141"/>
      <c r="C32" s="142" t="e">
        <f ca="1">_xlfn.XLOOKUP(B32,PlayerStatsSeason!$B$3:$B$996,PlayerStatsSeason!$H$3:$H$996)</f>
        <v>#NAME?</v>
      </c>
      <c r="D32" s="142" t="e">
        <f ca="1">IF(Q32&lt;=5,C32,C32/SUM(PlayerWorking!$J$10:$J$27)*(240-SUM(PlayerWorking!$J$5:$J$9)))</f>
        <v>#NAME?</v>
      </c>
      <c r="E32" s="142" t="e">
        <f ca="1">IF(D32&gt;0,_xlfn.XLOOKUP(B32,PlayerStatsSeason!$B$3:$B$996,PlayerStatsSeason!$J$3:$J$996)+_xlfn.XLOOKUP(B32,PlayerStatsSeason!$B$3:$B$996,PlayerStatsSeason!$T$3:$T$996))</f>
        <v>#NAME?</v>
      </c>
      <c r="F32" s="142" t="e">
        <f t="shared" ca="1" si="0"/>
        <v>#NAME?</v>
      </c>
      <c r="G32" s="149" t="e">
        <f ca="1">_xlfn.XLOOKUP($B32, PlayerStatsSeason!$B$3:$B$996, PlayerStatsSeason!$P$3:$P$996)/(_xlfn.XLOOKUP($B32, PlayerStatsSeason!$B$3:$B$996, PlayerStatsSeason!$P$3:$P$996)+_xlfn.XLOOKUP($B32, PlayerStatsSeason!$B$3:$B$996, PlayerStatsSeason!$M$3:$M$996)+_xlfn.XLOOKUP(B$12,PlayerStatsSeason!$B$3:$B$996,PlayerStatsSeason!$T$3:$T$996))</f>
        <v>#NAME?</v>
      </c>
      <c r="H32" s="149" t="str">
        <f>_xlfn.LET(_xlpm.val, _xlfn.XLOOKUP(B32, PlayerStatsSeason!$B$3:$B$996, PlayerStatsSeason!$Q$3:$Q$996, ""),
  IF(OR(_xlpm.val=0, _xlpm.val=""), "", VALUE(_xlpm.val))
)</f>
        <v/>
      </c>
      <c r="I32" s="144" t="str">
        <f>_xlfn.LET(
  _xlpm.val, _xlfn.XLOOKUP(B32, PlayerStatsSeason!$B$3:$B$996, PlayerStatsSeason!$P$3:$P$996, ""),
  IF(OR(_xlpm.val=0, _xlpm.val=""), "", VALUE(_xlpm.val))
)</f>
        <v/>
      </c>
      <c r="J32" s="149" t="e">
        <f ca="1">_xlfn.XLOOKUP($B32, PlayerStatsSeason!$B$3:$B$996, PlayerStatsSeason!$M$3:$M$996)/(_xlfn.XLOOKUP($B32, PlayerStatsSeason!$B$3:$B$996, PlayerStatsSeason!$P$3:$P$996)+_xlfn.XLOOKUP($B32, PlayerStatsSeason!$B$3:$B$996, PlayerStatsSeason!$M$3:$M$996)+_xlfn.XLOOKUP(B$12,PlayerStatsSeason!$B$3:$B$996,PlayerStatsSeason!$T$3:$T$996))</f>
        <v>#NAME?</v>
      </c>
      <c r="K32" s="143" t="str">
        <f>_xlfn.LET(
  _xlpm.val, _xlfn.XLOOKUP(B32, PlayerStatsSeason!$B$3:$B$996, PlayerStatsSeason!$N$3:$N$996, ""),
  IF(OR(_xlpm.val=0, _xlpm.val=""), "", VALUE(_xlpm.val))
)</f>
        <v/>
      </c>
      <c r="L32" s="144" t="str">
        <f>_xlfn.LET(
  _xlpm.val, _xlfn.XLOOKUP(B32, PlayerStatsSeason!$B$3:$B$996, PlayerStatsSeason!$L$3:$L$996, ""),
  IF(OR(_xlpm.val=0, _xlpm.val=""), "", VALUE(_xlpm.val))
)</f>
        <v/>
      </c>
      <c r="M32" s="149" t="e">
        <f ca="1">_xlfn.XLOOKUP($B32, PlayerStatsSeason!$B$3:$B$996, PlayerStatsSeason!$T$3:$T$996)/(_xlfn.XLOOKUP($B32, PlayerStatsSeason!$B$3:$B$996, PlayerStatsSeason!$P$3:$P$996)+_xlfn.XLOOKUP($B32, PlayerStatsSeason!$B$3:$B$996, PlayerStatsSeason!$M$3:$M$996)+_xlfn.XLOOKUP(B$12,PlayerStatsSeason!$B$3:$B$996,PlayerStatsSeason!$T$3:$T$996))</f>
        <v>#NAME?</v>
      </c>
      <c r="N32" s="143" t="str">
        <f>_xlfn.LET(
  _xlpm.val, _xlfn.XLOOKUP(B32, PlayerStatsSeason!$B$3:$B$996, PlayerStatsSeason!$U$3:$U$996, ""),
  IF(OR(_xlpm.val=0, _xlpm.val=""), "", VALUE(_xlpm.val))
)</f>
        <v/>
      </c>
      <c r="O32" s="144" t="str">
        <f>_xlfn.LET(
  _xlpm.val, _xlfn.XLOOKUP(B32, PlayerStatsSeason!$B$3:$B$996, PlayerStatsSeason!$T$3:$T$996, ""),
  IF(OR(_xlpm.val=0, _xlpm.val=""), "", VALUE(_xlpm.val))
)</f>
        <v/>
      </c>
      <c r="P32" s="170" t="str" cm="1">
        <f t="array" ref="P32">_xlfn.LET(
  _xlpm.val, _xlfn.XLOOKUP(B32, PlayerStatsSeason!$B$3:$B$996, PlayerStatsSeason!$AD$3:$AD$996, ""),
  IF(OR(_xlpm.val=0, _xlpm.val=""), "", VALUE(_xlpm.val))
)</f>
        <v/>
      </c>
      <c r="Q32" s="141" cm="1">
        <f t="array" aca="1" ref="Q32" ca="1">MIN(IF(ISNA(MATCH(PlayerWorking!$H$5:OFFSET(PlayerWorking!$H$5,PlayerWorking!$C$5-1,0),Results!$Q$12:Q31,0)),PlayerWorking!$H$5:OFFSET(PlayerWorking!$H$5,PlayerWorking!$C$5-1,1)))</f>
        <v>0</v>
      </c>
      <c r="R32" s="170" t="e">
        <f t="shared" ca="1" si="1"/>
        <v>#NAME?</v>
      </c>
      <c r="S32" s="141"/>
      <c r="T32" s="154" t="e">
        <f ca="1">IF(D32&gt;0,IFERROR(2*_xlfn.BINOM.INV(_xlfn.BINOM.INV(F32,G32,RAND()),H32,RAND())+ 3*_xlfn.BINOM.INV(_xlfn.BINOM.INV(F32,J32,RAND()),K32,RAND())+ _xlfn.BINOM.INV(_xlfn.BINOM.INV(F32,M32,RAND()),N32,RAND()),ROUND((F32/E32)*_xlfn.XLOOKUP(B32,PlayerStatsSeason!B23:B1016,PlayerStatsSeason!AD23:AD1016),0)),0)</f>
        <v>#NAME?</v>
      </c>
      <c r="U32" s="9"/>
      <c r="X32" s="186" t="e">
        <f ca="1">IF(D32&gt;0,
   IFERROR(
      ROUND(
         0.5 * (
            3 * _xlfn.BINOM.INV(G32, H32, RAND()) +
            2 * _xlfn.BINOM.INV(J32, K32, RAND()) +
            _xlfn.BINOM.INV(M32, N32, RAND())
         ) +
         0.5 * _xlfn.XLOOKUP(B32, PlayerStatsSeason!B23:B1016, PlayerStatsSeason!AD23:AD1016),
      0),
   0),
0)</f>
        <v>#NAME?</v>
      </c>
      <c r="Y32" s="41"/>
    </row>
    <row r="33" spans="1:25" ht="15.75" x14ac:dyDescent="0.25">
      <c r="A33" s="146" t="s">
        <v>3161</v>
      </c>
      <c r="B33" s="141"/>
      <c r="C33" s="142" t="e">
        <f ca="1">_xlfn.XLOOKUP(B33,PlayerStatsSeason!$B$3:$B$996,PlayerStatsSeason!$H$3:$H$996)</f>
        <v>#NAME?</v>
      </c>
      <c r="D33" s="142" t="e">
        <f ca="1">IF(Q33&lt;=5,C33,C33/SUM(PlayerWorking!$J$10:$J$27)*(240-SUM(PlayerWorking!$J$5:$J$9)))</f>
        <v>#NAME?</v>
      </c>
      <c r="E33" s="142" t="e">
        <f ca="1">IF(D33&gt;0,_xlfn.XLOOKUP(B33,PlayerStatsSeason!$B$3:$B$996,PlayerStatsSeason!$J$3:$J$996)+_xlfn.XLOOKUP(B33,PlayerStatsSeason!$B$3:$B$996,PlayerStatsSeason!$T$3:$T$996))</f>
        <v>#NAME?</v>
      </c>
      <c r="F33" s="142" t="e">
        <f t="shared" ca="1" si="0"/>
        <v>#NAME?</v>
      </c>
      <c r="G33" s="149" t="e">
        <f ca="1">_xlfn.XLOOKUP($B33, PlayerStatsSeason!$B$3:$B$996, PlayerStatsSeason!$P$3:$P$996)/(_xlfn.XLOOKUP($B33, PlayerStatsSeason!$B$3:$B$996, PlayerStatsSeason!$P$3:$P$996)+_xlfn.XLOOKUP($B33, PlayerStatsSeason!$B$3:$B$996, PlayerStatsSeason!$M$3:$M$996)+_xlfn.XLOOKUP(B$12,PlayerStatsSeason!$B$3:$B$996,PlayerStatsSeason!$T$3:$T$996))</f>
        <v>#NAME?</v>
      </c>
      <c r="H33" s="149" t="str">
        <f>_xlfn.LET(_xlpm.val, _xlfn.XLOOKUP(B33, PlayerStatsSeason!$B$3:$B$996, PlayerStatsSeason!$Q$3:$Q$996, ""),
  IF(OR(_xlpm.val=0, _xlpm.val=""), "", VALUE(_xlpm.val))
)</f>
        <v/>
      </c>
      <c r="I33" s="144" t="str">
        <f>_xlfn.LET(
  _xlpm.val, _xlfn.XLOOKUP(B33, PlayerStatsSeason!$B$3:$B$996, PlayerStatsSeason!$P$3:$P$996, ""),
  IF(OR(_xlpm.val=0, _xlpm.val=""), "", VALUE(_xlpm.val))
)</f>
        <v/>
      </c>
      <c r="J33" s="149" t="e">
        <f ca="1">_xlfn.XLOOKUP($B33, PlayerStatsSeason!$B$3:$B$996, PlayerStatsSeason!$M$3:$M$996)/(_xlfn.XLOOKUP($B33, PlayerStatsSeason!$B$3:$B$996, PlayerStatsSeason!$P$3:$P$996)+_xlfn.XLOOKUP($B33, PlayerStatsSeason!$B$3:$B$996, PlayerStatsSeason!$M$3:$M$996)+_xlfn.XLOOKUP(B$12,PlayerStatsSeason!$B$3:$B$996,PlayerStatsSeason!$T$3:$T$996))</f>
        <v>#NAME?</v>
      </c>
      <c r="K33" s="143" t="str">
        <f>_xlfn.LET(
  _xlpm.val, _xlfn.XLOOKUP(B33, PlayerStatsSeason!$B$3:$B$996, PlayerStatsSeason!$N$3:$N$996, ""),
  IF(OR(_xlpm.val=0, _xlpm.val=""), "", VALUE(_xlpm.val))
)</f>
        <v/>
      </c>
      <c r="L33" s="144" t="str">
        <f>_xlfn.LET(
  _xlpm.val, _xlfn.XLOOKUP(B33, PlayerStatsSeason!$B$3:$B$996, PlayerStatsSeason!$L$3:$L$996, ""),
  IF(OR(_xlpm.val=0, _xlpm.val=""), "", VALUE(_xlpm.val))
)</f>
        <v/>
      </c>
      <c r="M33" s="149" t="e">
        <f ca="1">_xlfn.XLOOKUP($B33, PlayerStatsSeason!$B$3:$B$996, PlayerStatsSeason!$T$3:$T$996)/(_xlfn.XLOOKUP($B33, PlayerStatsSeason!$B$3:$B$996, PlayerStatsSeason!$P$3:$P$996)+_xlfn.XLOOKUP($B33, PlayerStatsSeason!$B$3:$B$996, PlayerStatsSeason!$M$3:$M$996)+_xlfn.XLOOKUP(B$12,PlayerStatsSeason!$B$3:$B$996,PlayerStatsSeason!$T$3:$T$996))</f>
        <v>#NAME?</v>
      </c>
      <c r="N33" s="143" t="str">
        <f>_xlfn.LET(
  _xlpm.val, _xlfn.XLOOKUP(B33, PlayerStatsSeason!$B$3:$B$996, PlayerStatsSeason!$U$3:$U$996, ""),
  IF(OR(_xlpm.val=0, _xlpm.val=""), "", VALUE(_xlpm.val))
)</f>
        <v/>
      </c>
      <c r="O33" s="144" t="str">
        <f>_xlfn.LET(
  _xlpm.val, _xlfn.XLOOKUP(B33, PlayerStatsSeason!$B$3:$B$996, PlayerStatsSeason!$T$3:$T$996, ""),
  IF(OR(_xlpm.val=0, _xlpm.val=""), "", VALUE(_xlpm.val))
)</f>
        <v/>
      </c>
      <c r="P33" s="170" t="str" cm="1">
        <f t="array" ref="P33">_xlfn.LET(
  _xlpm.val, _xlfn.XLOOKUP(B33, PlayerStatsSeason!$B$3:$B$996, PlayerStatsSeason!$AD$3:$AD$996, ""),
  IF(OR(_xlpm.val=0, _xlpm.val=""), "", VALUE(_xlpm.val))
)</f>
        <v/>
      </c>
      <c r="Q33" s="141" cm="1">
        <f t="array" aca="1" ref="Q33" ca="1">MIN(IF(ISNA(MATCH(PlayerWorking!$H$5:OFFSET(PlayerWorking!$H$5,PlayerWorking!$C$5-1,0),Results!$Q$12:Q32,0)),PlayerWorking!$H$5:OFFSET(PlayerWorking!$H$5,PlayerWorking!$C$5-1,1)))</f>
        <v>0</v>
      </c>
      <c r="R33" s="170" t="e">
        <f t="shared" ca="1" si="1"/>
        <v>#NAME?</v>
      </c>
      <c r="S33" s="141"/>
      <c r="T33" s="154" t="e">
        <f ca="1">IF(D33&gt;0,IFERROR(2*_xlfn.BINOM.INV(_xlfn.BINOM.INV(F33,G33,RAND()),H33,RAND())+ 3*_xlfn.BINOM.INV(_xlfn.BINOM.INV(F33,J33,RAND()),K33,RAND())+ _xlfn.BINOM.INV(_xlfn.BINOM.INV(F33,M33,RAND()),N33,RAND()),ROUND((F33/E33)*_xlfn.XLOOKUP(B33,PlayerStatsSeason!B24:B1017,PlayerStatsSeason!AD24:AD1017),0)),0)</f>
        <v>#NAME?</v>
      </c>
      <c r="U33" s="9"/>
      <c r="X33" s="186" t="e">
        <f ca="1">IF(D33&gt;0,
   IFERROR(
      ROUND(
         0.5 * (
            3 * _xlfn.BINOM.INV(G33, H33, RAND()) +
            2 * _xlfn.BINOM.INV(J33, K33, RAND()) +
            _xlfn.BINOM.INV(M33, N33, RAND())
         ) +
         0.5 * _xlfn.XLOOKUP(B33, PlayerStatsSeason!B24:B1017, PlayerStatsSeason!AD24:AD1017),
      0),
   0),
0)</f>
        <v>#NAME?</v>
      </c>
      <c r="Y33" s="41"/>
    </row>
    <row r="34" spans="1:25" ht="15.75" x14ac:dyDescent="0.25">
      <c r="A34" s="146" t="s">
        <v>3162</v>
      </c>
      <c r="B34" s="141"/>
      <c r="C34" s="142" t="e">
        <f ca="1">_xlfn.XLOOKUP(B34,PlayerStatsSeason!$B$3:$B$996,PlayerStatsSeason!$H$3:$H$996)</f>
        <v>#NAME?</v>
      </c>
      <c r="D34" s="142" t="e">
        <f ca="1">IF(Q34&lt;=5,C34,C34/SUM(PlayerWorking!$J$10:$J$27)*(240-SUM(PlayerWorking!$J$5:$J$9)))</f>
        <v>#NAME?</v>
      </c>
      <c r="E34" s="142" t="e">
        <f ca="1">IF(D34&gt;0,_xlfn.XLOOKUP(B34,PlayerStatsSeason!$B$3:$B$996,PlayerStatsSeason!$J$3:$J$996)+_xlfn.XLOOKUP(B34,PlayerStatsSeason!$B$3:$B$996,PlayerStatsSeason!$T$3:$T$996))</f>
        <v>#NAME?</v>
      </c>
      <c r="F34" s="142" t="e">
        <f t="shared" ca="1" si="0"/>
        <v>#NAME?</v>
      </c>
      <c r="G34" s="149" t="e">
        <f ca="1">_xlfn.XLOOKUP($B34, PlayerStatsSeason!$B$3:$B$996, PlayerStatsSeason!$P$3:$P$996)/(_xlfn.XLOOKUP($B34, PlayerStatsSeason!$B$3:$B$996, PlayerStatsSeason!$P$3:$P$996)+_xlfn.XLOOKUP($B34, PlayerStatsSeason!$B$3:$B$996, PlayerStatsSeason!$M$3:$M$996)+_xlfn.XLOOKUP(B$12,PlayerStatsSeason!$B$3:$B$996,PlayerStatsSeason!$T$3:$T$996))</f>
        <v>#NAME?</v>
      </c>
      <c r="H34" s="149" t="str">
        <f>_xlfn.LET(_xlpm.val, _xlfn.XLOOKUP(B34, PlayerStatsSeason!$B$3:$B$996, PlayerStatsSeason!$Q$3:$Q$996, ""),
  IF(OR(_xlpm.val=0, _xlpm.val=""), "", VALUE(_xlpm.val))
)</f>
        <v/>
      </c>
      <c r="I34" s="144" t="str">
        <f>_xlfn.LET(
  _xlpm.val, _xlfn.XLOOKUP(B34, PlayerStatsSeason!$B$3:$B$996, PlayerStatsSeason!$P$3:$P$996, ""),
  IF(OR(_xlpm.val=0, _xlpm.val=""), "", VALUE(_xlpm.val))
)</f>
        <v/>
      </c>
      <c r="J34" s="149" t="e">
        <f ca="1">_xlfn.XLOOKUP($B34, PlayerStatsSeason!$B$3:$B$996, PlayerStatsSeason!$M$3:$M$996)/(_xlfn.XLOOKUP($B34, PlayerStatsSeason!$B$3:$B$996, PlayerStatsSeason!$P$3:$P$996)+_xlfn.XLOOKUP($B34, PlayerStatsSeason!$B$3:$B$996, PlayerStatsSeason!$M$3:$M$996)+_xlfn.XLOOKUP(B$12,PlayerStatsSeason!$B$3:$B$996,PlayerStatsSeason!$T$3:$T$996))</f>
        <v>#NAME?</v>
      </c>
      <c r="K34" s="143" t="str">
        <f>_xlfn.LET(
  _xlpm.val, _xlfn.XLOOKUP(B34, PlayerStatsSeason!$B$3:$B$996, PlayerStatsSeason!$N$3:$N$996, ""),
  IF(OR(_xlpm.val=0, _xlpm.val=""), "", VALUE(_xlpm.val))
)</f>
        <v/>
      </c>
      <c r="L34" s="144" t="str">
        <f>_xlfn.LET(
  _xlpm.val, _xlfn.XLOOKUP(B34, PlayerStatsSeason!$B$3:$B$996, PlayerStatsSeason!$L$3:$L$996, ""),
  IF(OR(_xlpm.val=0, _xlpm.val=""), "", VALUE(_xlpm.val))
)</f>
        <v/>
      </c>
      <c r="M34" s="149" t="e">
        <f ca="1">_xlfn.XLOOKUP($B34, PlayerStatsSeason!$B$3:$B$996, PlayerStatsSeason!$T$3:$T$996)/(_xlfn.XLOOKUP($B34, PlayerStatsSeason!$B$3:$B$996, PlayerStatsSeason!$P$3:$P$996)+_xlfn.XLOOKUP($B34, PlayerStatsSeason!$B$3:$B$996, PlayerStatsSeason!$M$3:$M$996)+_xlfn.XLOOKUP(B$12,PlayerStatsSeason!$B$3:$B$996,PlayerStatsSeason!$T$3:$T$996))</f>
        <v>#NAME?</v>
      </c>
      <c r="N34" s="143" t="str">
        <f>_xlfn.LET(
  _xlpm.val, _xlfn.XLOOKUP(B34, PlayerStatsSeason!$B$3:$B$996, PlayerStatsSeason!$U$3:$U$996, ""),
  IF(OR(_xlpm.val=0, _xlpm.val=""), "", VALUE(_xlpm.val))
)</f>
        <v/>
      </c>
      <c r="O34" s="144" t="str">
        <f>_xlfn.LET(
  _xlpm.val, _xlfn.XLOOKUP(B34, PlayerStatsSeason!$B$3:$B$996, PlayerStatsSeason!$T$3:$T$996, ""),
  IF(OR(_xlpm.val=0, _xlpm.val=""), "", VALUE(_xlpm.val))
)</f>
        <v/>
      </c>
      <c r="P34" s="170" t="str" cm="1">
        <f t="array" ref="P34">_xlfn.LET(
  _xlpm.val, _xlfn.XLOOKUP(B34, PlayerStatsSeason!$B$3:$B$996, PlayerStatsSeason!$AD$3:$AD$996, ""),
  IF(OR(_xlpm.val=0, _xlpm.val=""), "", VALUE(_xlpm.val))
)</f>
        <v/>
      </c>
      <c r="Q34" s="141" cm="1">
        <f t="array" aca="1" ref="Q34" ca="1">MIN(IF(ISNA(MATCH(PlayerWorking!$H$5:OFFSET(PlayerWorking!$H$5,PlayerWorking!$C$5-1,0),Results!$Q$12:Q33,0)),PlayerWorking!$H$5:OFFSET(PlayerWorking!$H$5,PlayerWorking!$C$5-1,1)))</f>
        <v>0</v>
      </c>
      <c r="R34" s="170" t="e">
        <f t="shared" ca="1" si="1"/>
        <v>#NAME?</v>
      </c>
      <c r="S34" s="141"/>
      <c r="T34" s="154" t="e">
        <f ca="1">IF(D34&gt;0,IFERROR(2*_xlfn.BINOM.INV(_xlfn.BINOM.INV(F34,G34,RAND()),H34,RAND())+ 3*_xlfn.BINOM.INV(_xlfn.BINOM.INV(F34,J34,RAND()),K34,RAND())+ _xlfn.BINOM.INV(_xlfn.BINOM.INV(F34,M34,RAND()),N34,RAND()),ROUND((F34/E34)*_xlfn.XLOOKUP(B34,PlayerStatsSeason!B25:B1018,PlayerStatsSeason!AD25:AD1018),0)),0)</f>
        <v>#NAME?</v>
      </c>
      <c r="U34" s="9"/>
      <c r="X34" s="186" t="e">
        <f ca="1">IF(D34&gt;0,
   IFERROR(
      ROUND(
         0.5 * (
            3 * _xlfn.BINOM.INV(G34, H34, RAND()) +
            2 * _xlfn.BINOM.INV(J34, K34, RAND()) +
            _xlfn.BINOM.INV(M34, N34, RAND())
         ) +
         0.5 * _xlfn.XLOOKUP(B34, PlayerStatsSeason!B25:B1018, PlayerStatsSeason!AD25:AD1018),
      0),
   0),
0)</f>
        <v>#NAME?</v>
      </c>
      <c r="Y34" s="41"/>
    </row>
    <row r="35" spans="1:25" ht="15.75" x14ac:dyDescent="0.25">
      <c r="A35" s="146" t="s">
        <v>3163</v>
      </c>
      <c r="B35" s="141"/>
      <c r="C35" s="142" t="e">
        <f ca="1">_xlfn.XLOOKUP(B35,PlayerStatsSeason!$B$3:$B$996,PlayerStatsSeason!$H$3:$H$996)</f>
        <v>#NAME?</v>
      </c>
      <c r="D35" s="142" t="e">
        <f ca="1">IF(Q35&lt;=5,C35,C35/SUM(PlayerWorking!$J$10:$J$27)*(240-SUM(PlayerWorking!$J$5:$J$9)))</f>
        <v>#NAME?</v>
      </c>
      <c r="E35" s="142" t="e">
        <f ca="1">IF(D35&gt;0,_xlfn.XLOOKUP(B35,PlayerStatsSeason!$B$3:$B$996,PlayerStatsSeason!$J$3:$J$996)+_xlfn.XLOOKUP(B35,PlayerStatsSeason!$B$3:$B$996,PlayerStatsSeason!$T$3:$T$996))</f>
        <v>#NAME?</v>
      </c>
      <c r="F35" s="142" t="e">
        <f t="shared" ca="1" si="0"/>
        <v>#NAME?</v>
      </c>
      <c r="G35" s="149" t="e">
        <f ca="1">_xlfn.XLOOKUP($B35, PlayerStatsSeason!$B$3:$B$996, PlayerStatsSeason!$P$3:$P$996)/(_xlfn.XLOOKUP($B35, PlayerStatsSeason!$B$3:$B$996, PlayerStatsSeason!$P$3:$P$996)+_xlfn.XLOOKUP($B35, PlayerStatsSeason!$B$3:$B$996, PlayerStatsSeason!$M$3:$M$996)+_xlfn.XLOOKUP(B$12,PlayerStatsSeason!$B$3:$B$996,PlayerStatsSeason!$T$3:$T$996))</f>
        <v>#NAME?</v>
      </c>
      <c r="H35" s="149" t="str">
        <f>_xlfn.LET(_xlpm.val, _xlfn.XLOOKUP(B35, PlayerStatsSeason!$B$3:$B$996, PlayerStatsSeason!$Q$3:$Q$996, ""),
  IF(OR(_xlpm.val=0, _xlpm.val=""), "", VALUE(_xlpm.val))
)</f>
        <v/>
      </c>
      <c r="I35" s="144" t="str">
        <f>_xlfn.LET(
  _xlpm.val, _xlfn.XLOOKUP(B35, PlayerStatsSeason!$B$3:$B$996, PlayerStatsSeason!$P$3:$P$996, ""),
  IF(OR(_xlpm.val=0, _xlpm.val=""), "", VALUE(_xlpm.val))
)</f>
        <v/>
      </c>
      <c r="J35" s="149" t="e">
        <f ca="1">_xlfn.XLOOKUP($B35, PlayerStatsSeason!$B$3:$B$996, PlayerStatsSeason!$M$3:$M$996)/(_xlfn.XLOOKUP($B35, PlayerStatsSeason!$B$3:$B$996, PlayerStatsSeason!$P$3:$P$996)+_xlfn.XLOOKUP($B35, PlayerStatsSeason!$B$3:$B$996, PlayerStatsSeason!$M$3:$M$996)+_xlfn.XLOOKUP(B$12,PlayerStatsSeason!$B$3:$B$996,PlayerStatsSeason!$T$3:$T$996))</f>
        <v>#NAME?</v>
      </c>
      <c r="K35" s="143" t="str">
        <f>_xlfn.LET(
  _xlpm.val, _xlfn.XLOOKUP(B35, PlayerStatsSeason!$B$3:$B$996, PlayerStatsSeason!$N$3:$N$996, ""),
  IF(OR(_xlpm.val=0, _xlpm.val=""), "", VALUE(_xlpm.val))
)</f>
        <v/>
      </c>
      <c r="L35" s="144" t="str">
        <f>_xlfn.LET(
  _xlpm.val, _xlfn.XLOOKUP(B35, PlayerStatsSeason!$B$3:$B$996, PlayerStatsSeason!$L$3:$L$996, ""),
  IF(OR(_xlpm.val=0, _xlpm.val=""), "", VALUE(_xlpm.val))
)</f>
        <v/>
      </c>
      <c r="M35" s="149" t="e">
        <f ca="1">_xlfn.XLOOKUP($B35, PlayerStatsSeason!$B$3:$B$996, PlayerStatsSeason!$T$3:$T$996)/(_xlfn.XLOOKUP($B35, PlayerStatsSeason!$B$3:$B$996, PlayerStatsSeason!$P$3:$P$996)+_xlfn.XLOOKUP($B35, PlayerStatsSeason!$B$3:$B$996, PlayerStatsSeason!$M$3:$M$996)+_xlfn.XLOOKUP(B$12,PlayerStatsSeason!$B$3:$B$996,PlayerStatsSeason!$T$3:$T$996))</f>
        <v>#NAME?</v>
      </c>
      <c r="N35" s="143" t="str">
        <f>_xlfn.LET(
  _xlpm.val, _xlfn.XLOOKUP(B35, PlayerStatsSeason!$B$3:$B$996, PlayerStatsSeason!$U$3:$U$996, ""),
  IF(OR(_xlpm.val=0, _xlpm.val=""), "", VALUE(_xlpm.val))
)</f>
        <v/>
      </c>
      <c r="O35" s="144" t="str">
        <f>_xlfn.LET(
  _xlpm.val, _xlfn.XLOOKUP(B35, PlayerStatsSeason!$B$3:$B$996, PlayerStatsSeason!$T$3:$T$996, ""),
  IF(OR(_xlpm.val=0, _xlpm.val=""), "", VALUE(_xlpm.val))
)</f>
        <v/>
      </c>
      <c r="P35" s="170" t="str" cm="1">
        <f t="array" ref="P35">_xlfn.LET(
  _xlpm.val, _xlfn.XLOOKUP(B35, PlayerStatsSeason!$B$3:$B$996, PlayerStatsSeason!$AD$3:$AD$996, ""),
  IF(OR(_xlpm.val=0, _xlpm.val=""), "", VALUE(_xlpm.val))
)</f>
        <v/>
      </c>
      <c r="Q35" s="141"/>
      <c r="R35" s="170" t="e">
        <f t="shared" ca="1" si="1"/>
        <v>#NAME?</v>
      </c>
      <c r="S35" s="141"/>
      <c r="T35" s="154" t="e">
        <f ca="1">IF(D35&gt;0,IFERROR(2*_xlfn.BINOM.INV(_xlfn.BINOM.INV(F35,G35,RAND()),H35,RAND())+ 3*_xlfn.BINOM.INV(_xlfn.BINOM.INV(F35,J35,RAND()),K35,RAND())+ _xlfn.BINOM.INV(_xlfn.BINOM.INV(F35,M35,RAND()),N35,RAND()),ROUND((F35/E35)*_xlfn.XLOOKUP(B35,PlayerStatsSeason!B26:B1019,PlayerStatsSeason!AD26:AD1019),0)),0)</f>
        <v>#NAME?</v>
      </c>
      <c r="U35" s="9"/>
      <c r="X35" s="186" t="e">
        <f ca="1">IF(D35&gt;0,
   IFERROR(
      ROUND(
         0.5 * (
            3 * _xlfn.BINOM.INV(G35, H35, RAND()) +
            2 * _xlfn.BINOM.INV(J35, K35, RAND()) +
            _xlfn.BINOM.INV(M35, N35, RAND())
         ) +
         0.5 * _xlfn.XLOOKUP(B35, PlayerStatsSeason!B26:B1019, PlayerStatsSeason!AD26:AD1019),
      0),
   0),
0)</f>
        <v>#NAME?</v>
      </c>
      <c r="Y35" s="41"/>
    </row>
    <row r="36" spans="1:25" ht="15.75" x14ac:dyDescent="0.25">
      <c r="A36" s="147" t="s">
        <v>3164</v>
      </c>
      <c r="B36" s="148"/>
      <c r="C36" s="150">
        <f>_xlfn.XLOOKUP(B36,PlayerStatsSeason!$B$3:$B$996,PlayerStatsSeason!$H$3:$H$996)</f>
        <v>0</v>
      </c>
      <c r="D36" s="150">
        <f>IF(Q36&lt;=5,C36,C36/SUM(PlayerWorking!$J$10:$J$27)*(240-SUM(PlayerWorking!$J$5:$J$9)))</f>
        <v>0</v>
      </c>
      <c r="E36" s="150" t="b">
        <f>IF(D36&gt;0,_xlfn.XLOOKUP(B36,PlayerStatsSeason!$B$3:$B$996,PlayerStatsSeason!$J$3:$J$996)+_xlfn.XLOOKUP(B36,PlayerStatsSeason!$B$3:$B$996,PlayerStatsSeason!$T$3:$T$996))</f>
        <v>0</v>
      </c>
      <c r="F36" s="150">
        <f t="shared" si="0"/>
        <v>0</v>
      </c>
      <c r="G36" s="151" t="e">
        <f ca="1">_xlfn.XLOOKUP($B36, PlayerStatsSeason!$B$3:$B$996, PlayerStatsSeason!$P$3:$P$996)/(_xlfn.XLOOKUP($B36, PlayerStatsSeason!$B$3:$B$996, PlayerStatsSeason!$P$3:$P$996)+_xlfn.XLOOKUP($B36, PlayerStatsSeason!$B$3:$B$996, PlayerStatsSeason!$M$3:$M$996)+_xlfn.XLOOKUP(B$12,PlayerStatsSeason!$B$3:$B$996,PlayerStatsSeason!$T$3:$T$996))</f>
        <v>#NAME?</v>
      </c>
      <c r="H36" s="151" t="str">
        <f>_xlfn.LET(_xlpm.val, _xlfn.XLOOKUP(B36, PlayerStatsSeason!$B$3:$B$996, PlayerStatsSeason!$Q$3:$Q$996, ""),
  IF(OR(_xlpm.val=0, _xlpm.val=""), "", VALUE(_xlpm.val))
)</f>
        <v/>
      </c>
      <c r="I36" s="152" t="str">
        <f>_xlfn.LET(
  _xlpm.val, _xlfn.XLOOKUP(B36, PlayerStatsSeason!$B$3:$B$996, PlayerStatsSeason!$P$3:$P$996, ""),
  IF(OR(_xlpm.val=0, _xlpm.val=""), "", VALUE(_xlpm.val))
)</f>
        <v/>
      </c>
      <c r="J36" s="151" t="e">
        <f ca="1">_xlfn.XLOOKUP($B36, PlayerStatsSeason!$B$3:$B$996, PlayerStatsSeason!$M$3:$M$996)/(_xlfn.XLOOKUP($B36, PlayerStatsSeason!$B$3:$B$996, PlayerStatsSeason!$P$3:$P$996)+_xlfn.XLOOKUP($B36, PlayerStatsSeason!$B$3:$B$996, PlayerStatsSeason!$M$3:$M$996)+_xlfn.XLOOKUP(B$12,PlayerStatsSeason!$B$3:$B$996,PlayerStatsSeason!$T$3:$T$996))</f>
        <v>#NAME?</v>
      </c>
      <c r="K36" s="153" t="str">
        <f>_xlfn.LET(
  _xlpm.val, _xlfn.XLOOKUP(B36, PlayerStatsSeason!$B$3:$B$996, PlayerStatsSeason!$N$3:$N$996, ""),
  IF(OR(_xlpm.val=0, _xlpm.val=""), "", VALUE(_xlpm.val))
)</f>
        <v/>
      </c>
      <c r="L36" s="152" t="str">
        <f>_xlfn.LET(
  _xlpm.val, _xlfn.XLOOKUP(B36, PlayerStatsSeason!$B$3:$B$996, PlayerStatsSeason!$L$3:$L$996, ""),
  IF(OR(_xlpm.val=0, _xlpm.val=""), "", VALUE(_xlpm.val))
)</f>
        <v/>
      </c>
      <c r="M36" s="151" t="e">
        <f ca="1">_xlfn.XLOOKUP($B36, PlayerStatsSeason!$B$3:$B$996, PlayerStatsSeason!$T$3:$T$996)/(_xlfn.XLOOKUP($B36, PlayerStatsSeason!$B$3:$B$996, PlayerStatsSeason!$P$3:$P$996)+_xlfn.XLOOKUP($B36, PlayerStatsSeason!$B$3:$B$996, PlayerStatsSeason!$M$3:$M$996)+_xlfn.XLOOKUP(B$12,PlayerStatsSeason!$B$3:$B$996,PlayerStatsSeason!$T$3:$T$996))</f>
        <v>#NAME?</v>
      </c>
      <c r="N36" s="153" t="str">
        <f>_xlfn.LET(
  _xlpm.val, _xlfn.XLOOKUP(B36, PlayerStatsSeason!$B$3:$B$996, PlayerStatsSeason!$U$3:$U$996, ""),
  IF(OR(_xlpm.val=0, _xlpm.val=""), "", VALUE(_xlpm.val))
)</f>
        <v/>
      </c>
      <c r="O36" s="152" t="str">
        <f>_xlfn.LET(
  _xlpm.val, _xlfn.XLOOKUP(B36, PlayerStatsSeason!$B$3:$B$996, PlayerStatsSeason!$T$3:$T$996, ""),
  IF(OR(_xlpm.val=0, _xlpm.val=""), "", VALUE(_xlpm.val))
)</f>
        <v/>
      </c>
      <c r="P36" s="170" t="str" cm="1">
        <f t="array" ref="P36">_xlfn.LET(
  _xlpm.val, _xlfn.XLOOKUP(B36, PlayerStatsSeason!$B$3:$B$996, PlayerStatsSeason!$AD$3:$AD$996, ""),
  IF(OR(_xlpm.val=0, _xlpm.val=""), "", VALUE(_xlpm.val))
)</f>
        <v/>
      </c>
      <c r="Q36" s="148"/>
      <c r="R36" s="170">
        <f t="shared" si="1"/>
        <v>0</v>
      </c>
      <c r="S36" s="148"/>
      <c r="T36" s="155">
        <f ca="1">IF(D36&gt;0,IFERROR(2*_xlfn.BINOM.INV(_xlfn.BINOM.INV(F36,G36,RAND()),H36,RAND())+ 3*_xlfn.BINOM.INV(_xlfn.BINOM.INV(F36,J36,RAND()),K36,RAND())+ _xlfn.BINOM.INV(_xlfn.BINOM.INV(F36,M36,RAND()),N36,RAND()),ROUND((F36/E36)*_xlfn.XLOOKUP(B36,PlayerStatsSeason!B27:B1020,PlayerStatsSeason!AD27:AD1020),0)),0)</f>
        <v>0</v>
      </c>
      <c r="U36" s="9"/>
      <c r="X36" s="186">
        <f ca="1">IF(D36&gt;0,
   IFERROR(
      ROUND(
         0.5 * (
            3 * _xlfn.BINOM.INV(G36, H36, RAND()) +
            2 * _xlfn.BINOM.INV(J36, K36, RAND()) +
            _xlfn.BINOM.INV(M36, N36, RAND())
         ) +
         0.5 * _xlfn.XLOOKUP(B36, PlayerStatsSeason!B27:B1020, PlayerStatsSeason!AD27:AD1020),
      0),
   0),
0)</f>
        <v>0</v>
      </c>
      <c r="Y36" s="41"/>
    </row>
    <row r="37" spans="1:25" ht="15.75" x14ac:dyDescent="0.25">
      <c r="A37" s="125"/>
      <c r="D37" s="8"/>
      <c r="G37" s="140"/>
      <c r="H37" s="140"/>
      <c r="J37" s="140"/>
      <c r="K37" s="140"/>
      <c r="M37" s="140"/>
      <c r="T37" s="9" t="e">
        <f ca="1">SUM(T12:T36)</f>
        <v>#NAME?</v>
      </c>
      <c r="U37" s="9"/>
      <c r="X37" s="186">
        <f ca="1">IF(D37&gt;0,
   IFERROR(
      ROUND(
         0.5 * (
            3 * _xlfn.BINOM.INV(G37, H37, RAND()) +
            2 * _xlfn.BINOM.INV(J37, K37, RAND()) +
            _xlfn.BINOM.INV(M37, N37, RAND())
         ) +
         0.5 * _xlfn.XLOOKUP(B37, PlayerStatsSeason!B28:B1021, PlayerStatsSeason!AD28:AD1021),
      0),
   0),
0)</f>
        <v>0</v>
      </c>
      <c r="Y37" s="41"/>
    </row>
    <row r="38" spans="1:25" ht="15.75" x14ac:dyDescent="0.25">
      <c r="A38" s="125"/>
      <c r="D38" s="8"/>
      <c r="G38" s="140"/>
      <c r="H38" s="140"/>
      <c r="J38" s="140"/>
      <c r="K38" s="140"/>
      <c r="M38" s="140"/>
      <c r="Q38" cm="1">
        <f t="array" aca="1" ref="Q38" ca="1">MIN(IF(ISNA(MATCH(PlayerWorking!$H$5:OFFSET(PlayerWorking!$H$5,PlayerWorking!$C$5-1,0),Results!$Q$12:Q31,0)),PlayerWorking!$H$5:OFFSET(PlayerWorking!$H$5,PlayerWorking!$C$5-1,1)))</f>
        <v>0</v>
      </c>
      <c r="X38" s="186">
        <f ca="1">IF(D38&gt;0,
   IFERROR(
      ROUND(
         0.5 * (
            3 * _xlfn.BINOM.INV(G38, H38, RAND()) +
            2 * _xlfn.BINOM.INV(J38, K38, RAND()) +
            _xlfn.BINOM.INV(M38, N38, RAND())
         ) +
         0.5 * _xlfn.XLOOKUP(B38, PlayerStatsSeason!B29:B1022, PlayerStatsSeason!AD29:AD1022),
      0),
   0),
0)</f>
        <v>0</v>
      </c>
      <c r="Y38" s="41"/>
    </row>
    <row r="39" spans="1:25" ht="33.75" x14ac:dyDescent="0.5">
      <c r="B39" s="206" t="str">
        <f>E5</f>
        <v>Boston Celtics</v>
      </c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184"/>
      <c r="V39" s="156"/>
      <c r="W39" s="156"/>
    </row>
    <row r="40" spans="1:25" ht="33.75" x14ac:dyDescent="0.5"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25" ht="18.75" x14ac:dyDescent="0.3">
      <c r="A41" s="179"/>
      <c r="B41" s="180" t="s">
        <v>171</v>
      </c>
      <c r="C41" s="180" t="s">
        <v>878</v>
      </c>
      <c r="D41" s="180" t="s">
        <v>3132</v>
      </c>
      <c r="E41" s="180" t="s">
        <v>3133</v>
      </c>
      <c r="F41" s="180" t="s">
        <v>3134</v>
      </c>
      <c r="G41" s="181" t="s">
        <v>3135</v>
      </c>
      <c r="H41" s="180" t="s">
        <v>887</v>
      </c>
      <c r="I41" s="180" t="s">
        <v>3136</v>
      </c>
      <c r="J41" s="181" t="s">
        <v>3137</v>
      </c>
      <c r="K41" s="180" t="s">
        <v>884</v>
      </c>
      <c r="L41" s="180" t="s">
        <v>3138</v>
      </c>
      <c r="M41" s="181" t="s">
        <v>3139</v>
      </c>
      <c r="N41" s="180" t="s">
        <v>891</v>
      </c>
      <c r="O41" s="180" t="s">
        <v>3140</v>
      </c>
      <c r="P41" s="180" t="s">
        <v>899</v>
      </c>
      <c r="Q41" s="180" t="s">
        <v>3142</v>
      </c>
      <c r="R41" s="180" t="s">
        <v>872</v>
      </c>
      <c r="S41" s="180" t="s">
        <v>873</v>
      </c>
      <c r="T41" s="182" t="s">
        <v>3143</v>
      </c>
      <c r="U41" s="185" t="s">
        <v>3144</v>
      </c>
      <c r="V41" s="180" t="s">
        <v>872</v>
      </c>
      <c r="W41" s="182" t="s">
        <v>3143</v>
      </c>
    </row>
    <row r="42" spans="1:25" ht="15.75" x14ac:dyDescent="0.25">
      <c r="A42" s="161" t="s">
        <v>56</v>
      </c>
      <c r="B42" s="162" t="e">
        <f ca="1">_xlfn.XLOOKUP(A42,PlayerWorking!$W$5:$W$31,PlayerWorking!$U$5:$U$31)</f>
        <v>#NAME?</v>
      </c>
      <c r="C42" s="163" t="e">
        <f ca="1">_xlfn.XLOOKUP(B42,PlayerStatsSeason!$B$3:$B$996,PlayerStatsSeason!$H$3:$H$996)</f>
        <v>#NAME?</v>
      </c>
      <c r="D42" s="163" t="e">
        <f ca="1">IF(Q42&lt;=5,C42,C42/SUM(PlayerWorking!$J$10:$J$27)*(240-SUM(PlayerWorking!$J$5:$J$9)))</f>
        <v>#NAME?</v>
      </c>
      <c r="E42" s="163" t="e">
        <f ca="1">IF(D42&gt;0,_xlfn.XLOOKUP(B42,PlayerStatsSeason!$B$3:$B$996,PlayerStatsSeason!$J$3:$J$996)+_xlfn.XLOOKUP(B42,PlayerStatsSeason!$B$3:$B$996,PlayerStatsSeason!$T$3:$T$996))</f>
        <v>#NAME?</v>
      </c>
      <c r="F42" s="163" t="e">
        <f ca="1">((0.0182*(D42)^2-0.1186*(D42)+2.3528)/(0.0182*(C42)^2-0.1186*(C42)+2.3528))*E42</f>
        <v>#NAME?</v>
      </c>
      <c r="G42" s="167" t="e">
        <f ca="1">_xlfn.LET(
  _xlpm.twoPA, _xlfn.XLOOKUP($B42, PlayerStatsSeason!$B$3:$B$996, PlayerStatsSeason!$P$3:$P$996, 0),
  _xlpm.threePA, _xlfn.XLOOKUP($B42, PlayerStatsSeason!$B$3:$B$996, PlayerStatsSeason!$M$3:$M$996, 0),
  _xlpm.ftA, _xlfn.XLOOKUP($B42, PlayerStatsSeason!$B$3:$B$996, PlayerStatsSeason!$T$3:$T$996, 0),
  _xlpm.total, _xlpm.twoPA + _xlpm.threePA + _xlpm.ftA,
  _xlpm.val, IF(_xlpm.total = 0, "", _xlpm.twoPA / _xlpm.total),
  _xlpm.val
)</f>
        <v>#NAME?</v>
      </c>
      <c r="H42" s="167" t="e">
        <f ca="1">_xlfn.LET(
  _xlpm.val, _xlfn.XLOOKUP(B42, PlayerStatsSeason!$B$3:$B$996, PlayerStatsSeason!$Q$3:$Q$996, ""),
  IF(OR(_xlpm.val=0, _xlpm.val=""), "", VALUE(_xlpm.val))
)</f>
        <v>#NAME?</v>
      </c>
      <c r="I42" s="166" t="e">
        <f ca="1">_xlfn.LET(
  _xlpm.val, _xlfn.XLOOKUP(B42, PlayerStatsSeason!$B$3:$B$996, PlayerStatsSeason!$P$3:$P$996, ""),
  IF(OR(_xlpm.val=0, _xlpm.val=""), "", VALUE(_xlpm.val))
)</f>
        <v>#NAME?</v>
      </c>
      <c r="J42" s="167" t="e">
        <f ca="1">_xlfn.LET(
  _xlpm.twoPA, _xlfn.XLOOKUP($B42, PlayerStatsSeason!$B$3:$B$996, PlayerStatsSeason!$P$3:$P$996, 0),
  _xlpm.threePA, _xlfn.XLOOKUP($B42, PlayerStatsSeason!$B$3:$B$996, PlayerStatsSeason!$M$3:$M$996, 0),
  _xlpm.ftA, _xlfn.XLOOKUP($B42, PlayerStatsSeason!$B$3:$B$996, PlayerStatsSeason!$T$3:$T$996, 0),
  _xlpm.total, _xlpm.twoPA + _xlpm.threePA + _xlpm.ftA,
  _xlpm.val, IF(_xlpm.total = 0, "", _xlpm.threePA / _xlpm.total),
  _xlpm.val
)</f>
        <v>#NAME?</v>
      </c>
      <c r="K42" s="167" t="e">
        <f ca="1">_xlfn.LET(
  _xlpm.val, _xlfn.XLOOKUP(B42, PlayerStatsSeason!$B$3:$B$996, PlayerStatsSeason!$N$3:$N$996, ""),
  IF(OR(_xlpm.val=0, _xlpm.val=""), "", VALUE(_xlpm.val))
)</f>
        <v>#NAME?</v>
      </c>
      <c r="L42" s="166" t="e" cm="1">
        <f t="array" aca="1" ref="L42" ca="1">_xlfn.LET(
  _xlpm.val, _xlfn.XLOOKUP(B42, PlayerStatsSeason!$B$3:$B$996, PlayerStatsSeason!$M$3:$M$996, ""),
  IF(OR(_xlpm.val=0, _xlpm.val=""), "", VALUE(_xlpm.val))
)</f>
        <v>#NAME?</v>
      </c>
      <c r="M42" s="167" t="e">
        <f ca="1">_xlfn.LET(
  _xlpm.twoPA, _xlfn.XLOOKUP($B42, PlayerStatsSeason!$B$3:$B$996, PlayerStatsSeason!$P$3:$P$996, 0),
  _xlpm.threePA, _xlfn.XLOOKUP($B42, PlayerStatsSeason!$B$3:$B$996, PlayerStatsSeason!$M$3:$M$996, 0),
  _xlpm.ftA, _xlfn.XLOOKUP($B42, PlayerStatsSeason!$B$3:$B$996, PlayerStatsSeason!$T$3:$T$996, 0),
  _xlpm.total, _xlpm.twoPA + _xlpm.threePA + _xlpm.ftA,
  _xlpm.val, IF(_xlpm.total = 0, "", _xlpm.ftA / _xlpm.total),
  _xlpm.val
)</f>
        <v>#NAME?</v>
      </c>
      <c r="N42" s="167" t="e">
        <f ca="1">_xlfn.LET(
  _xlpm.val, _xlfn.XLOOKUP(B42, PlayerStatsSeason!$B$3:$B$996, PlayerStatsSeason!$U$3:$U$996, ""),
  IF(OR(_xlpm.val=0, _xlpm.val=""), "", VALUE(_xlpm.val))
)</f>
        <v>#NAME?</v>
      </c>
      <c r="O42" s="166" t="e">
        <f ca="1">_xlfn.LET(
  _xlpm.val, _xlfn.XLOOKUP(B42, PlayerStatsSeason!$B$3:$B$996, PlayerStatsSeason!$T$3:$T$996, ""),
  IF(OR(_xlpm.val=0, _xlpm.val=""), "", VALUE(_xlpm.val))
)</f>
        <v>#NAME?</v>
      </c>
      <c r="P42" s="162"/>
      <c r="Q42" s="162" t="e">
        <f ca="1">_xlfn.RANK.EQ(_xlfn.XLOOKUP($B42,PlayerWorking!$U$5:$U$31,PlayerWorking!$V$5:$V$31),PlayerWorking!$V$5:$V$31)</f>
        <v>#NAME?</v>
      </c>
      <c r="R42" s="170" t="e">
        <f ca="1">IF(D42&gt;0,ROUND(((L42 * K42 * 3) + (I42 * H42 * 2) + (O42 * N42)) * (C42 / 32), 1),0)</f>
        <v>#NAME?</v>
      </c>
      <c r="S42" s="162"/>
      <c r="T42" s="168" t="e">
        <f ca="1">IF(D42&gt;0,IFERROR(2*_xlfn.BINOM.INV(_xlfn.BINOM.INV(F42,G42,RAND()),H42,RAND())+ 3*_xlfn.BINOM.INV(_xlfn.BINOM.INV(F42,J42,RAND()),K42,RAND())+ _xlfn.BINOM.INV(_xlfn.BINOM.INV(F42,M42,RAND()),N42,RAND()),ROUND((F42/E42)*_xlfn.XLOOKUP(B42,PlayerStatsSeason!B33:B1026,PlayerStatsSeason!AD33:AD1026),0)),0)</f>
        <v>#NAME?</v>
      </c>
      <c r="U42" s="9">
        <v>18.5</v>
      </c>
      <c r="V42" t="e">
        <f ca="1">R42-U42</f>
        <v>#NAME?</v>
      </c>
      <c r="W42" t="e">
        <f ca="1">T42-U42</f>
        <v>#NAME?</v>
      </c>
    </row>
    <row r="43" spans="1:25" ht="15.75" x14ac:dyDescent="0.25">
      <c r="A43" s="146" t="s">
        <v>63</v>
      </c>
      <c r="B43" s="141" t="e">
        <f ca="1">_xlfn.XLOOKUP(A43,PlayerWorking!$W$5:$W$31,PlayerWorking!$U$5:$U$31)</f>
        <v>#NAME?</v>
      </c>
      <c r="C43" s="142" t="e">
        <f ca="1">_xlfn.XLOOKUP(B43,PlayerStatsSeason!$B$3:$B$996,PlayerStatsSeason!$H$3:$H$996)</f>
        <v>#NAME?</v>
      </c>
      <c r="D43" s="142" t="e">
        <f ca="1">IF(Q43&lt;=5,C43,C43/SUM(PlayerWorking!$J$10:$J$27)*(240-SUM(PlayerWorking!$J$5:$J$9)))</f>
        <v>#NAME?</v>
      </c>
      <c r="E43" s="142" t="e">
        <f ca="1">IF(D43&gt;0,_xlfn.XLOOKUP(B43,PlayerStatsSeason!$B$3:$B$996,PlayerStatsSeason!$J$3:$J$996)+_xlfn.XLOOKUP(B43,PlayerStatsSeason!$B$3:$B$996,PlayerStatsSeason!$T$3:$T$996))</f>
        <v>#NAME?</v>
      </c>
      <c r="F43" s="142" t="e">
        <f t="shared" ref="F43:F56" ca="1" si="4">((0.0182*(D43)^2-0.1186*(D43)+2.3528)/(0.0182*(C43)^2-0.1186*(C43)+2.3528))*E43</f>
        <v>#NAME?</v>
      </c>
      <c r="G43" s="143" t="e">
        <f ca="1">_xlfn.LET(
  _xlpm.twoPA, _xlfn.XLOOKUP($B43, PlayerStatsSeason!$B$3:$B$996, PlayerStatsSeason!$P$3:$P$996, 0),
  _xlpm.threePA, _xlfn.XLOOKUP($B43, PlayerStatsSeason!$B$3:$B$996, PlayerStatsSeason!$M$3:$M$996, 0),
  _xlpm.ftA, _xlfn.XLOOKUP($B43, PlayerStatsSeason!$B$3:$B$996, PlayerStatsSeason!$T$3:$T$996, 0),
  _xlpm.total, _xlpm.twoPA + _xlpm.threePA + _xlpm.ftA,
  _xlpm.val, IF(_xlpm.total = 0, "", _xlpm.twoPA / _xlpm.total),
  _xlpm.val
)</f>
        <v>#NAME?</v>
      </c>
      <c r="H43" s="143" t="e">
        <f ca="1">_xlfn.LET(
  _xlpm.val, _xlfn.XLOOKUP(B43, PlayerStatsSeason!$B$3:$B$996, PlayerStatsSeason!$Q$3:$Q$996, ""),
  IF(OR(_xlpm.val=0, _xlpm.val=""), "", VALUE(_xlpm.val))
)</f>
        <v>#NAME?</v>
      </c>
      <c r="I43" s="144" t="e">
        <f ca="1">_xlfn.LET(
  _xlpm.val, _xlfn.XLOOKUP(B43, PlayerStatsSeason!$B$3:$B$996, PlayerStatsSeason!$P$3:$P$996, ""),
  IF(OR(_xlpm.val=0, _xlpm.val=""), "", VALUE(_xlpm.val))
)</f>
        <v>#NAME?</v>
      </c>
      <c r="J43" s="143" t="e">
        <f ca="1">_xlfn.LET(
  _xlpm.twoPA, _xlfn.XLOOKUP($B43, PlayerStatsSeason!$B$3:$B$996, PlayerStatsSeason!$P$3:$P$996, 0),
  _xlpm.threePA, _xlfn.XLOOKUP($B43, PlayerStatsSeason!$B$3:$B$996, PlayerStatsSeason!$M$3:$M$996, 0),
  _xlpm.ftA, _xlfn.XLOOKUP($B43, PlayerStatsSeason!$B$3:$B$996, PlayerStatsSeason!$T$3:$T$996, 0),
  _xlpm.total, _xlpm.twoPA + _xlpm.threePA + _xlpm.ftA,
  _xlpm.val, IF(_xlpm.total = 0, "", _xlpm.threePA / _xlpm.total),
  _xlpm.val
)</f>
        <v>#NAME?</v>
      </c>
      <c r="K43" s="167" t="e">
        <f ca="1">_xlfn.LET(
  _xlpm.val, _xlfn.XLOOKUP(B43, PlayerStatsSeason!$B$3:$B$996, PlayerStatsSeason!$N$3:$N$996, ""),
  IF(OR(_xlpm.val=0, _xlpm.val=""), "", VALUE(_xlpm.val))
)</f>
        <v>#NAME?</v>
      </c>
      <c r="L43" s="166" t="e" cm="1">
        <f t="array" aca="1" ref="L43" ca="1">_xlfn.LET(
  _xlpm.val, _xlfn.XLOOKUP(B43, PlayerStatsSeason!$B$3:$B$996, PlayerStatsSeason!$M$3:$M$996, ""),
  IF(OR(_xlpm.val=0, _xlpm.val=""), "", VALUE(_xlpm.val))
)</f>
        <v>#NAME?</v>
      </c>
      <c r="M43" s="143" t="e">
        <f ca="1">_xlfn.LET(
  _xlpm.twoPA, _xlfn.XLOOKUP($B43, PlayerStatsSeason!$B$3:$B$996, PlayerStatsSeason!$P$3:$P$996, 0),
  _xlpm.threePA, _xlfn.XLOOKUP($B43, PlayerStatsSeason!$B$3:$B$996, PlayerStatsSeason!$M$3:$M$996, 0),
  _xlpm.ftA, _xlfn.XLOOKUP($B43, PlayerStatsSeason!$B$3:$B$996, PlayerStatsSeason!$T$3:$T$996, 0),
  _xlpm.total, _xlpm.twoPA + _xlpm.threePA + _xlpm.ftA,
  _xlpm.val, IF(_xlpm.total = 0, "", _xlpm.ftA / _xlpm.total),
  _xlpm.val
)</f>
        <v>#NAME?</v>
      </c>
      <c r="N43" s="143" t="e">
        <f ca="1">_xlfn.LET(
  _xlpm.val, _xlfn.XLOOKUP(B43, PlayerStatsSeason!$B$3:$B$996, PlayerStatsSeason!$U$3:$U$996, ""),
  IF(OR(_xlpm.val=0, _xlpm.val=""), "", VALUE(_xlpm.val))
)</f>
        <v>#NAME?</v>
      </c>
      <c r="O43" s="144" t="e">
        <f ca="1">_xlfn.LET(
  _xlpm.val, _xlfn.XLOOKUP(B43, PlayerStatsSeason!$B$3:$B$996, PlayerStatsSeason!$T$3:$T$996, ""),
  IF(OR(_xlpm.val=0, _xlpm.val=""), "", VALUE(_xlpm.val))
)</f>
        <v>#NAME?</v>
      </c>
      <c r="P43" s="141"/>
      <c r="Q43" s="141" t="e">
        <f ca="1">_xlfn.RANK.EQ(_xlfn.XLOOKUP($B43,PlayerWorking!$U$5:$U$31,PlayerWorking!$V$5:$V$31),PlayerWorking!$V$5:$V$31)</f>
        <v>#NAME?</v>
      </c>
      <c r="R43" s="170" t="e">
        <f t="shared" ref="R43:R58" ca="1" si="5">IF(D43&gt;0,ROUND(((L43 * K43 * 3) + (I43 * H43 * 2) + (O43 * N43)) * (C43 / 32), 1),0)</f>
        <v>#NAME?</v>
      </c>
      <c r="S43" s="141"/>
      <c r="T43" s="154" t="e">
        <f ca="1">IF(D43&gt;0,IFERROR(2*_xlfn.BINOM.INV(_xlfn.BINOM.INV(F43,G43,RAND()),H43,RAND())+ 3*_xlfn.BINOM.INV(_xlfn.BINOM.INV(F43,J43,RAND()),K43,RAND())+ _xlfn.BINOM.INV(_xlfn.BINOM.INV(F43,M43,RAND()),N43,RAND()),ROUND((F43/E43)*_xlfn.XLOOKUP(B43,PlayerStatsSeason!B34:B1027,PlayerStatsSeason!AD34:AD1027),0)),0)</f>
        <v>#NAME?</v>
      </c>
      <c r="U43" s="9">
        <v>12.5</v>
      </c>
      <c r="V43" t="e">
        <f t="shared" ref="V43:V52" ca="1" si="6">R43-U43</f>
        <v>#NAME?</v>
      </c>
      <c r="W43" t="e">
        <f t="shared" ref="W43:W52" ca="1" si="7">T43-U43</f>
        <v>#NAME?</v>
      </c>
    </row>
    <row r="44" spans="1:25" ht="15.75" x14ac:dyDescent="0.25">
      <c r="A44" s="146" t="s">
        <v>47</v>
      </c>
      <c r="B44" s="141" t="e">
        <f ca="1">_xlfn.XLOOKUP(A44,PlayerWorking!$W$5:$W$31,PlayerWorking!$U$5:$U$31)</f>
        <v>#NAME?</v>
      </c>
      <c r="C44" s="142" t="e">
        <f ca="1">_xlfn.XLOOKUP(B44,PlayerStatsSeason!$B$3:$B$996,PlayerStatsSeason!$H$3:$H$996)</f>
        <v>#NAME?</v>
      </c>
      <c r="D44" s="142" t="e">
        <f ca="1">IF(Q44&lt;=5,C44,C44/SUM(PlayerWorking!$J$10:$J$27)*(240-SUM(PlayerWorking!$J$5:$J$9)))</f>
        <v>#NAME?</v>
      </c>
      <c r="E44" s="142" t="e">
        <f ca="1">IF(D44&gt;0,_xlfn.XLOOKUP(B44,PlayerStatsSeason!$B$3:$B$996,PlayerStatsSeason!$J$3:$J$996)+_xlfn.XLOOKUP(B44,PlayerStatsSeason!$B$3:$B$996,PlayerStatsSeason!$T$3:$T$996))</f>
        <v>#NAME?</v>
      </c>
      <c r="F44" s="142" t="e">
        <f t="shared" ca="1" si="4"/>
        <v>#NAME?</v>
      </c>
      <c r="G44" s="143" t="e">
        <f ca="1">_xlfn.LET(
  _xlpm.twoPA, _xlfn.XLOOKUP($B44, PlayerStatsSeason!$B$3:$B$996, PlayerStatsSeason!$P$3:$P$996, 0),
  _xlpm.threePA, _xlfn.XLOOKUP($B44, PlayerStatsSeason!$B$3:$B$996, PlayerStatsSeason!$M$3:$M$996, 0),
  _xlpm.ftA, _xlfn.XLOOKUP($B44, PlayerStatsSeason!$B$3:$B$996, PlayerStatsSeason!$T$3:$T$996, 0),
  _xlpm.total, _xlpm.twoPA + _xlpm.threePA + _xlpm.ftA,
  _xlpm.val, IF(_xlpm.total = 0, "", _xlpm.twoPA / _xlpm.total),
  _xlpm.val
)</f>
        <v>#NAME?</v>
      </c>
      <c r="H44" s="143" t="e">
        <f ca="1">_xlfn.LET(
  _xlpm.val, _xlfn.XLOOKUP(B44, PlayerStatsSeason!$B$3:$B$996, PlayerStatsSeason!$Q$3:$Q$996, ""),
  IF(OR(_xlpm.val=0, _xlpm.val=""), "", VALUE(_xlpm.val))
)</f>
        <v>#NAME?</v>
      </c>
      <c r="I44" s="144" t="e">
        <f ca="1">_xlfn.LET(
  _xlpm.val, _xlfn.XLOOKUP(B44, PlayerStatsSeason!$B$3:$B$996, PlayerStatsSeason!$P$3:$P$996, ""),
  IF(OR(_xlpm.val=0, _xlpm.val=""), "", VALUE(_xlpm.val))
)</f>
        <v>#NAME?</v>
      </c>
      <c r="J44" s="143" t="e">
        <f ca="1">_xlfn.LET(
  _xlpm.twoPA, _xlfn.XLOOKUP($B44, PlayerStatsSeason!$B$3:$B$996, PlayerStatsSeason!$P$3:$P$996, 0),
  _xlpm.threePA, _xlfn.XLOOKUP($B44, PlayerStatsSeason!$B$3:$B$996, PlayerStatsSeason!$M$3:$M$996, 0),
  _xlpm.ftA, _xlfn.XLOOKUP($B44, PlayerStatsSeason!$B$3:$B$996, PlayerStatsSeason!$T$3:$T$996, 0),
  _xlpm.total, _xlpm.twoPA + _xlpm.threePA + _xlpm.ftA,
  _xlpm.val, IF(_xlpm.total = 0, "", _xlpm.threePA / _xlpm.total),
  _xlpm.val
)</f>
        <v>#NAME?</v>
      </c>
      <c r="K44" s="167" t="e">
        <f ca="1">_xlfn.LET(
  _xlpm.val, _xlfn.XLOOKUP(B44, PlayerStatsSeason!$B$3:$B$996, PlayerStatsSeason!$N$3:$N$996, ""),
  IF(OR(_xlpm.val=0, _xlpm.val=""), "", VALUE(_xlpm.val))
)</f>
        <v>#NAME?</v>
      </c>
      <c r="L44" s="166" t="e" cm="1">
        <f t="array" aca="1" ref="L44" ca="1">_xlfn.LET(
  _xlpm.val, _xlfn.XLOOKUP(B44, PlayerStatsSeason!$B$3:$B$996, PlayerStatsSeason!$M$3:$M$996, ""),
  IF(OR(_xlpm.val=0, _xlpm.val=""), "", VALUE(_xlpm.val))
)</f>
        <v>#NAME?</v>
      </c>
      <c r="M44" s="143" t="e">
        <f ca="1">_xlfn.LET(
  _xlpm.twoPA, _xlfn.XLOOKUP($B44, PlayerStatsSeason!$B$3:$B$996, PlayerStatsSeason!$P$3:$P$996, 0),
  _xlpm.threePA, _xlfn.XLOOKUP($B44, PlayerStatsSeason!$B$3:$B$996, PlayerStatsSeason!$M$3:$M$996, 0),
  _xlpm.ftA, _xlfn.XLOOKUP($B44, PlayerStatsSeason!$B$3:$B$996, PlayerStatsSeason!$T$3:$T$996, 0),
  _xlpm.total, _xlpm.twoPA + _xlpm.threePA + _xlpm.ftA,
  _xlpm.val, IF(_xlpm.total = 0, "", _xlpm.ftA / _xlpm.total),
  _xlpm.val
)</f>
        <v>#NAME?</v>
      </c>
      <c r="N44" s="143" t="e">
        <f ca="1">_xlfn.LET(
  _xlpm.val, _xlfn.XLOOKUP(B44, PlayerStatsSeason!$B$3:$B$996, PlayerStatsSeason!$U$3:$U$996, ""),
  IF(OR(_xlpm.val=0, _xlpm.val=""), "", VALUE(_xlpm.val))
)</f>
        <v>#NAME?</v>
      </c>
      <c r="O44" s="144" t="e">
        <f ca="1">_xlfn.LET(
  _xlpm.val, _xlfn.XLOOKUP(B44, PlayerStatsSeason!$B$3:$B$996, PlayerStatsSeason!$T$3:$T$996, ""),
  IF(OR(_xlpm.val=0, _xlpm.val=""), "", VALUE(_xlpm.val))
)</f>
        <v>#NAME?</v>
      </c>
      <c r="P44" s="141"/>
      <c r="Q44" s="141" t="e">
        <f ca="1">_xlfn.RANK.EQ(_xlfn.XLOOKUP($B44,PlayerWorking!$U$5:$U$31,PlayerWorking!$V$5:$V$31),PlayerWorking!$V$5:$V$31)</f>
        <v>#NAME?</v>
      </c>
      <c r="R44" s="170" t="e">
        <f t="shared" ca="1" si="5"/>
        <v>#NAME?</v>
      </c>
      <c r="S44" s="141"/>
      <c r="T44" s="154" t="e">
        <f ca="1">IF(D44&gt;0,IFERROR(2*_xlfn.BINOM.INV(_xlfn.BINOM.INV(F44,G44,RAND()),H44,RAND())+ 3*_xlfn.BINOM.INV(_xlfn.BINOM.INV(F44,J44,RAND()),K44,RAND())+ _xlfn.BINOM.INV(_xlfn.BINOM.INV(F44,M44,RAND()),N44,RAND()),ROUND((F44/E44)*_xlfn.XLOOKUP(B44,PlayerStatsSeason!B35:B1028,PlayerStatsSeason!AD35:AD1028),0)),0)</f>
        <v>#NAME?</v>
      </c>
      <c r="U44" s="9">
        <v>10</v>
      </c>
      <c r="V44" t="e">
        <f t="shared" ca="1" si="6"/>
        <v>#NAME?</v>
      </c>
      <c r="W44" t="e">
        <f t="shared" ca="1" si="7"/>
        <v>#NAME?</v>
      </c>
    </row>
    <row r="45" spans="1:25" ht="15.75" x14ac:dyDescent="0.25">
      <c r="A45" s="146" t="s">
        <v>93</v>
      </c>
      <c r="B45" s="141" t="e">
        <f ca="1">_xlfn.XLOOKUP(A45,PlayerWorking!$W$5:$W$31,PlayerWorking!$U$5:$U$31)</f>
        <v>#NAME?</v>
      </c>
      <c r="C45" s="142" t="e">
        <f ca="1">_xlfn.XLOOKUP(B45,PlayerStatsSeason!$B$3:$B$996,PlayerStatsSeason!$H$3:$H$996)</f>
        <v>#NAME?</v>
      </c>
      <c r="D45" s="142" t="e">
        <f ca="1">IF(Q45&lt;=5,C45,C45/SUM(PlayerWorking!$J$10:$J$27)*(240-SUM(PlayerWorking!$J$5:$J$9)))</f>
        <v>#NAME?</v>
      </c>
      <c r="E45" s="142" t="e">
        <f ca="1">IF(D45&gt;0,_xlfn.XLOOKUP(B45,PlayerStatsSeason!$B$3:$B$996,PlayerStatsSeason!$J$3:$J$996)+_xlfn.XLOOKUP(B45,PlayerStatsSeason!$B$3:$B$996,PlayerStatsSeason!$T$3:$T$996))</f>
        <v>#NAME?</v>
      </c>
      <c r="F45" s="142" t="e">
        <f t="shared" ca="1" si="4"/>
        <v>#NAME?</v>
      </c>
      <c r="G45" s="143" t="e">
        <f ca="1">_xlfn.LET(
  _xlpm.twoPA, _xlfn.XLOOKUP($B45, PlayerStatsSeason!$B$3:$B$996, PlayerStatsSeason!$P$3:$P$996, 0),
  _xlpm.threePA, _xlfn.XLOOKUP($B45, PlayerStatsSeason!$B$3:$B$996, PlayerStatsSeason!$M$3:$M$996, 0),
  _xlpm.ftA, _xlfn.XLOOKUP($B45, PlayerStatsSeason!$B$3:$B$996, PlayerStatsSeason!$T$3:$T$996, 0),
  _xlpm.total, _xlpm.twoPA + _xlpm.threePA + _xlpm.ftA,
  _xlpm.val, IF(_xlpm.total = 0, "", _xlpm.twoPA / _xlpm.total),
  _xlpm.val
)</f>
        <v>#NAME?</v>
      </c>
      <c r="H45" s="143" t="e">
        <f ca="1">_xlfn.LET(
  _xlpm.val, _xlfn.XLOOKUP(B45, PlayerStatsSeason!$B$3:$B$996, PlayerStatsSeason!$Q$3:$Q$996, ""),
  IF(OR(_xlpm.val=0, _xlpm.val=""), "", VALUE(_xlpm.val))
)</f>
        <v>#NAME?</v>
      </c>
      <c r="I45" s="144" t="e">
        <f ca="1">_xlfn.LET(
  _xlpm.val, _xlfn.XLOOKUP(B45, PlayerStatsSeason!$B$3:$B$996, PlayerStatsSeason!$P$3:$P$996, ""),
  IF(OR(_xlpm.val=0, _xlpm.val=""), "", VALUE(_xlpm.val))
)</f>
        <v>#NAME?</v>
      </c>
      <c r="J45" s="143" t="e">
        <f ca="1">_xlfn.LET(
  _xlpm.twoPA, _xlfn.XLOOKUP($B45, PlayerStatsSeason!$B$3:$B$996, PlayerStatsSeason!$P$3:$P$996, 0),
  _xlpm.threePA, _xlfn.XLOOKUP($B45, PlayerStatsSeason!$B$3:$B$996, PlayerStatsSeason!$M$3:$M$996, 0),
  _xlpm.ftA, _xlfn.XLOOKUP($B45, PlayerStatsSeason!$B$3:$B$996, PlayerStatsSeason!$T$3:$T$996, 0),
  _xlpm.total, _xlpm.twoPA + _xlpm.threePA + _xlpm.ftA,
  _xlpm.val, IF(_xlpm.total = 0, "", _xlpm.threePA / _xlpm.total),
  _xlpm.val
)</f>
        <v>#NAME?</v>
      </c>
      <c r="K45" s="167" t="e">
        <f ca="1">_xlfn.LET(
  _xlpm.val, _xlfn.XLOOKUP(B45, PlayerStatsSeason!$B$3:$B$996, PlayerStatsSeason!$N$3:$N$996, ""),
  IF(OR(_xlpm.val=0, _xlpm.val=""), "", VALUE(_xlpm.val))
)</f>
        <v>#NAME?</v>
      </c>
      <c r="L45" s="166" t="e" cm="1">
        <f t="array" aca="1" ref="L45" ca="1">_xlfn.LET(
  _xlpm.val, _xlfn.XLOOKUP(B45, PlayerStatsSeason!$B$3:$B$996, PlayerStatsSeason!$M$3:$M$996, ""),
  IF(OR(_xlpm.val=0, _xlpm.val=""), "", VALUE(_xlpm.val))
)</f>
        <v>#NAME?</v>
      </c>
      <c r="M45" s="143" t="e">
        <f ca="1">_xlfn.LET(
  _xlpm.twoPA, _xlfn.XLOOKUP($B45, PlayerStatsSeason!$B$3:$B$996, PlayerStatsSeason!$P$3:$P$996, 0),
  _xlpm.threePA, _xlfn.XLOOKUP($B45, PlayerStatsSeason!$B$3:$B$996, PlayerStatsSeason!$M$3:$M$996, 0),
  _xlpm.ftA, _xlfn.XLOOKUP($B45, PlayerStatsSeason!$B$3:$B$996, PlayerStatsSeason!$T$3:$T$996, 0),
  _xlpm.total, _xlpm.twoPA + _xlpm.threePA + _xlpm.ftA,
  _xlpm.val, IF(_xlpm.total = 0, "", _xlpm.ftA / _xlpm.total),
  _xlpm.val
)</f>
        <v>#NAME?</v>
      </c>
      <c r="N45" s="143" t="e">
        <f ca="1">_xlfn.LET(
  _xlpm.val, _xlfn.XLOOKUP(B45, PlayerStatsSeason!$B$3:$B$996, PlayerStatsSeason!$U$3:$U$996, ""),
  IF(OR(_xlpm.val=0, _xlpm.val=""), "", VALUE(_xlpm.val))
)</f>
        <v>#NAME?</v>
      </c>
      <c r="O45" s="144" t="e">
        <f ca="1">_xlfn.LET(
  _xlpm.val, _xlfn.XLOOKUP(B45, PlayerStatsSeason!$B$3:$B$996, PlayerStatsSeason!$T$3:$T$996, ""),
  IF(OR(_xlpm.val=0, _xlpm.val=""), "", VALUE(_xlpm.val))
)</f>
        <v>#NAME?</v>
      </c>
      <c r="P45" s="141"/>
      <c r="Q45" s="141" t="e">
        <f ca="1">_xlfn.RANK.EQ(_xlfn.XLOOKUP($B45,PlayerWorking!$U$5:$U$31,PlayerWorking!$V$5:$V$31),PlayerWorking!$V$5:$V$31)</f>
        <v>#NAME?</v>
      </c>
      <c r="R45" s="170" t="e">
        <f t="shared" ca="1" si="5"/>
        <v>#NAME?</v>
      </c>
      <c r="S45" s="141"/>
      <c r="T45" s="154" t="e">
        <f ca="1">IF(D45&gt;0,IFERROR(2*_xlfn.BINOM.INV(_xlfn.BINOM.INV(F45,G45,RAND()),H45,RAND())+ 3*_xlfn.BINOM.INV(_xlfn.BINOM.INV(F45,J45,RAND()),K45,RAND())+ _xlfn.BINOM.INV(_xlfn.BINOM.INV(F45,M45,RAND()),N45,RAND()),ROUND((F45/E45)*_xlfn.XLOOKUP(B45,PlayerStatsSeason!B36:B1029,PlayerStatsSeason!AD36:AD1029),0)),0)</f>
        <v>#NAME?</v>
      </c>
      <c r="U45" s="9">
        <v>19</v>
      </c>
      <c r="V45" t="e">
        <f t="shared" ca="1" si="6"/>
        <v>#NAME?</v>
      </c>
      <c r="W45" t="e">
        <f t="shared" ca="1" si="7"/>
        <v>#NAME?</v>
      </c>
    </row>
    <row r="46" spans="1:25" ht="15.75" x14ac:dyDescent="0.25">
      <c r="A46" s="146" t="s">
        <v>72</v>
      </c>
      <c r="B46" s="141" t="e">
        <f ca="1">_xlfn.XLOOKUP(A46,PlayerWorking!$W$5:$W$31,PlayerWorking!$U$5:$U$31)</f>
        <v>#NAME?</v>
      </c>
      <c r="C46" s="142" t="e">
        <f ca="1">_xlfn.XLOOKUP(B46,PlayerStatsSeason!$B$3:$B$996,PlayerStatsSeason!$H$3:$H$996)</f>
        <v>#NAME?</v>
      </c>
      <c r="D46" s="142" t="e">
        <f ca="1">IF(Q46&lt;=5,C46,C46/SUM(PlayerWorking!$J$10:$J$27)*(240-SUM(PlayerWorking!$J$5:$J$9)))</f>
        <v>#NAME?</v>
      </c>
      <c r="E46" s="142" t="e">
        <f ca="1">IF(D46&gt;0,_xlfn.XLOOKUP(B46,PlayerStatsSeason!$B$3:$B$996,PlayerStatsSeason!$J$3:$J$996)+_xlfn.XLOOKUP(B46,PlayerStatsSeason!$B$3:$B$996,PlayerStatsSeason!$T$3:$T$996))</f>
        <v>#NAME?</v>
      </c>
      <c r="F46" s="142" t="e">
        <f t="shared" ca="1" si="4"/>
        <v>#NAME?</v>
      </c>
      <c r="G46" s="143" t="e">
        <f ca="1">_xlfn.LET(
  _xlpm.twoPA, _xlfn.XLOOKUP($B46, PlayerStatsSeason!$B$3:$B$996, PlayerStatsSeason!$P$3:$P$996, 0),
  _xlpm.threePA, _xlfn.XLOOKUP($B46, PlayerStatsSeason!$B$3:$B$996, PlayerStatsSeason!$M$3:$M$996, 0),
  _xlpm.ftA, _xlfn.XLOOKUP($B46, PlayerStatsSeason!$B$3:$B$996, PlayerStatsSeason!$T$3:$T$996, 0),
  _xlpm.total, _xlpm.twoPA + _xlpm.threePA + _xlpm.ftA,
  _xlpm.val, IF(_xlpm.total = 0, "", _xlpm.twoPA / _xlpm.total),
  _xlpm.val
)</f>
        <v>#NAME?</v>
      </c>
      <c r="H46" s="143" t="e">
        <f ca="1">_xlfn.LET(
  _xlpm.val, _xlfn.XLOOKUP(B46, PlayerStatsSeason!$B$3:$B$996, PlayerStatsSeason!$Q$3:$Q$996, ""),
  IF(OR(_xlpm.val=0, _xlpm.val=""), "", VALUE(_xlpm.val))
)</f>
        <v>#NAME?</v>
      </c>
      <c r="I46" s="144" t="e">
        <f ca="1">_xlfn.LET(
  _xlpm.val, _xlfn.XLOOKUP(B46, PlayerStatsSeason!$B$3:$B$996, PlayerStatsSeason!$P$3:$P$996, ""),
  IF(OR(_xlpm.val=0, _xlpm.val=""), "", VALUE(_xlpm.val))
)</f>
        <v>#NAME?</v>
      </c>
      <c r="J46" s="143" t="e">
        <f ca="1">_xlfn.LET(
  _xlpm.twoPA, _xlfn.XLOOKUP($B46, PlayerStatsSeason!$B$3:$B$996, PlayerStatsSeason!$P$3:$P$996, 0),
  _xlpm.threePA, _xlfn.XLOOKUP($B46, PlayerStatsSeason!$B$3:$B$996, PlayerStatsSeason!$M$3:$M$996, 0),
  _xlpm.ftA, _xlfn.XLOOKUP($B46, PlayerStatsSeason!$B$3:$B$996, PlayerStatsSeason!$T$3:$T$996, 0),
  _xlpm.total, _xlpm.twoPA + _xlpm.threePA + _xlpm.ftA,
  _xlpm.val, IF(_xlpm.total = 0, "", _xlpm.threePA / _xlpm.total),
  _xlpm.val
)</f>
        <v>#NAME?</v>
      </c>
      <c r="K46" s="167" t="e">
        <f ca="1">_xlfn.LET(
  _xlpm.val, _xlfn.XLOOKUP(B46, PlayerStatsSeason!$B$3:$B$996, PlayerStatsSeason!$N$3:$N$996, ""),
  IF(OR(_xlpm.val=0, _xlpm.val=""), "", VALUE(_xlpm.val))
)</f>
        <v>#NAME?</v>
      </c>
      <c r="L46" s="166" t="e" cm="1">
        <f t="array" aca="1" ref="L46" ca="1">_xlfn.LET(
  _xlpm.val, _xlfn.XLOOKUP(B46, PlayerStatsSeason!$B$3:$B$996, PlayerStatsSeason!$M$3:$M$996, ""),
  IF(OR(_xlpm.val=0, _xlpm.val=""), "", VALUE(_xlpm.val))
)</f>
        <v>#NAME?</v>
      </c>
      <c r="M46" s="143" t="e">
        <f ca="1">_xlfn.LET(
  _xlpm.twoPA, _xlfn.XLOOKUP($B46, PlayerStatsSeason!$B$3:$B$996, PlayerStatsSeason!$P$3:$P$996, 0),
  _xlpm.threePA, _xlfn.XLOOKUP($B46, PlayerStatsSeason!$B$3:$B$996, PlayerStatsSeason!$M$3:$M$996, 0),
  _xlpm.ftA, _xlfn.XLOOKUP($B46, PlayerStatsSeason!$B$3:$B$996, PlayerStatsSeason!$T$3:$T$996, 0),
  _xlpm.total, _xlpm.twoPA + _xlpm.threePA + _xlpm.ftA,
  _xlpm.val, IF(_xlpm.total = 0, "", _xlpm.ftA / _xlpm.total),
  _xlpm.val
)</f>
        <v>#NAME?</v>
      </c>
      <c r="N46" s="143" t="e">
        <f ca="1">_xlfn.LET(
  _xlpm.val, _xlfn.XLOOKUP(B46, PlayerStatsSeason!$B$3:$B$996, PlayerStatsSeason!$U$3:$U$996, ""),
  IF(OR(_xlpm.val=0, _xlpm.val=""), "", VALUE(_xlpm.val))
)</f>
        <v>#NAME?</v>
      </c>
      <c r="O46" s="144" t="e">
        <f ca="1">_xlfn.LET(
  _xlpm.val, _xlfn.XLOOKUP(B46, PlayerStatsSeason!$B$3:$B$996, PlayerStatsSeason!$T$3:$T$996, ""),
  IF(OR(_xlpm.val=0, _xlpm.val=""), "", VALUE(_xlpm.val))
)</f>
        <v>#NAME?</v>
      </c>
      <c r="P46" s="141"/>
      <c r="Q46" s="141" t="e">
        <f ca="1">_xlfn.RANK.EQ(_xlfn.XLOOKUP($B46,PlayerWorking!$U$5:$U$31,PlayerWorking!$V$5:$V$31),PlayerWorking!$V$5:$V$31)</f>
        <v>#NAME?</v>
      </c>
      <c r="R46" s="170" t="e">
        <f t="shared" ca="1" si="5"/>
        <v>#NAME?</v>
      </c>
      <c r="S46" s="141"/>
      <c r="T46" s="154" t="e">
        <f ca="1">IF(D46&gt;0,IFERROR(2*_xlfn.BINOM.INV(_xlfn.BINOM.INV(F46,G46,RAND()),H46,RAND())+ 3*_xlfn.BINOM.INV(_xlfn.BINOM.INV(F46,J46,RAND()),K46,RAND())+ _xlfn.BINOM.INV(_xlfn.BINOM.INV(F46,M46,RAND()),N46,RAND()),ROUND((F46/E46)*_xlfn.XLOOKUP(B46,PlayerStatsSeason!B37:B1030,PlayerStatsSeason!AD37:AD1030),0)),0)</f>
        <v>#NAME?</v>
      </c>
      <c r="U46" s="9">
        <v>14</v>
      </c>
      <c r="V46" t="e">
        <f t="shared" ca="1" si="6"/>
        <v>#NAME?</v>
      </c>
      <c r="W46" t="e">
        <f t="shared" ca="1" si="7"/>
        <v>#NAME?</v>
      </c>
    </row>
    <row r="47" spans="1:25" ht="15.75" x14ac:dyDescent="0.25">
      <c r="A47" s="146" t="s">
        <v>3145</v>
      </c>
      <c r="B47" s="141" t="str">
        <f ca="1">IFERROR(IF(_xlfn.XLOOKUP(Q47,PlayerWorking!$T$5:$T$31,PlayerWorking!$U$5:$U$31)=0, "", _xlfn.XLOOKUP(Q47,PlayerWorking!$T$5:$T$31,PlayerWorking!$U$5:$U$31)), "")</f>
        <v/>
      </c>
      <c r="C47" s="142" t="e">
        <f ca="1">_xlfn.XLOOKUP(B47,PlayerStatsSeason!$B$3:$B$996,PlayerStatsSeason!$H$3:$H$996)</f>
        <v>#NAME?</v>
      </c>
      <c r="D47" s="145" t="e">
        <f ca="1">IF(Q47&lt;=5,C47,C47/SUM(PlayerWorking!$J$10:$J$27)*(240-SUM(PlayerWorking!$J$5:$J$9)))</f>
        <v>#NAME?</v>
      </c>
      <c r="E47" s="145" t="e">
        <f ca="1">IF(D47&gt;0,_xlfn.XLOOKUP(B47,PlayerStatsSeason!$B$3:$B$996,PlayerStatsSeason!$J$3:$J$996)+_xlfn.XLOOKUP(B47,PlayerStatsSeason!$B$3:$B$996,PlayerStatsSeason!$T$3:$T$996))</f>
        <v>#NAME?</v>
      </c>
      <c r="F47" s="145" t="e">
        <f t="shared" ca="1" si="4"/>
        <v>#NAME?</v>
      </c>
      <c r="G47" s="143" t="e">
        <f ca="1">_xlfn.LET(
  _xlpm.twoPA, _xlfn.XLOOKUP($B47, PlayerStatsSeason!$B$3:$B$996, PlayerStatsSeason!$P$3:$P$996, 0),
  _xlpm.threePA, _xlfn.XLOOKUP($B47, PlayerStatsSeason!$B$3:$B$996, PlayerStatsSeason!$M$3:$M$996, 0),
  _xlpm.ftA, _xlfn.XLOOKUP($B47, PlayerStatsSeason!$B$3:$B$996, PlayerStatsSeason!$T$3:$T$996, 0),
  _xlpm.total, _xlpm.twoPA + _xlpm.threePA + _xlpm.ftA,
  _xlpm.val, IF(_xlpm.total = 0, "", _xlpm.twoPA / _xlpm.total),
  _xlpm.val
)</f>
        <v>#NAME?</v>
      </c>
      <c r="H47" s="143" t="e">
        <f ca="1">_xlfn.LET(
  _xlpm.val, _xlfn.XLOOKUP(B47, PlayerStatsSeason!$B$3:$B$996, PlayerStatsSeason!$Q$3:$Q$996, ""),
  IF(OR(_xlpm.val=0, _xlpm.val=""), "", VALUE(_xlpm.val))
)</f>
        <v>#NAME?</v>
      </c>
      <c r="I47" s="144" t="e">
        <f ca="1">_xlfn.LET(
  _xlpm.val, _xlfn.XLOOKUP(B47, PlayerStatsSeason!$B$3:$B$996, PlayerStatsSeason!$P$3:$P$996, ""),
  IF(OR(_xlpm.val=0, _xlpm.val=""), "", VALUE(_xlpm.val))
)</f>
        <v>#NAME?</v>
      </c>
      <c r="J47" s="143" t="e">
        <f ca="1">_xlfn.LET(
  _xlpm.twoPA, _xlfn.XLOOKUP($B47, PlayerStatsSeason!$B$3:$B$996, PlayerStatsSeason!$P$3:$P$996, 0),
  _xlpm.threePA, _xlfn.XLOOKUP($B47, PlayerStatsSeason!$B$3:$B$996, PlayerStatsSeason!$M$3:$M$996, 0),
  _xlpm.ftA, _xlfn.XLOOKUP($B47, PlayerStatsSeason!$B$3:$B$996, PlayerStatsSeason!$T$3:$T$996, 0),
  _xlpm.total, _xlpm.twoPA + _xlpm.threePA + _xlpm.ftA,
  _xlpm.val, IF(_xlpm.total = 0, "", _xlpm.threePA / _xlpm.total),
  _xlpm.val
)</f>
        <v>#NAME?</v>
      </c>
      <c r="K47" s="167" t="e">
        <f ca="1">_xlfn.LET(
  _xlpm.val, _xlfn.XLOOKUP(B47, PlayerStatsSeason!$B$3:$B$996, PlayerStatsSeason!$N$3:$N$996, ""),
  IF(OR(_xlpm.val=0, _xlpm.val=""), "", VALUE(_xlpm.val))
)</f>
        <v>#NAME?</v>
      </c>
      <c r="L47" s="166" t="e" cm="1">
        <f t="array" aca="1" ref="L47" ca="1">_xlfn.LET(
  _xlpm.val, _xlfn.XLOOKUP(B47, PlayerStatsSeason!$B$3:$B$996, PlayerStatsSeason!$M$3:$M$996, ""),
  IF(OR(_xlpm.val=0, _xlpm.val=""), "", VALUE(_xlpm.val))
)</f>
        <v>#NAME?</v>
      </c>
      <c r="M47" s="143" t="e">
        <f ca="1">_xlfn.LET(
  _xlpm.twoPA, _xlfn.XLOOKUP($B47, PlayerStatsSeason!$B$3:$B$996, PlayerStatsSeason!$P$3:$P$996, 0),
  _xlpm.threePA, _xlfn.XLOOKUP($B47, PlayerStatsSeason!$B$3:$B$996, PlayerStatsSeason!$M$3:$M$996, 0),
  _xlpm.ftA, _xlfn.XLOOKUP($B47, PlayerStatsSeason!$B$3:$B$996, PlayerStatsSeason!$T$3:$T$996, 0),
  _xlpm.total, _xlpm.twoPA + _xlpm.threePA + _xlpm.ftA,
  _xlpm.val, IF(_xlpm.total = 0, "", _xlpm.ftA / _xlpm.total),
  _xlpm.val
)</f>
        <v>#NAME?</v>
      </c>
      <c r="N47" s="143" t="e">
        <f ca="1">_xlfn.LET(
  _xlpm.val, _xlfn.XLOOKUP(B47, PlayerStatsSeason!$B$3:$B$996, PlayerStatsSeason!$U$3:$U$996, ""),
  IF(OR(_xlpm.val=0, _xlpm.val=""), "", VALUE(_xlpm.val))
)</f>
        <v>#NAME?</v>
      </c>
      <c r="O47" s="144" t="e">
        <f ca="1">_xlfn.LET(
  _xlpm.val, _xlfn.XLOOKUP(B47, PlayerStatsSeason!$B$3:$B$996, PlayerStatsSeason!$T$3:$T$996, ""),
  IF(OR(_xlpm.val=0, _xlpm.val=""), "", VALUE(_xlpm.val))
)</f>
        <v>#NAME?</v>
      </c>
      <c r="P47" s="141"/>
      <c r="Q47" s="141" cm="1">
        <f t="array" aca="1" ref="Q47" ca="1">MIN(IF(ISNA(MATCH(PlayerWorking!$T$5:OFFSET(PlayerWorking!$T$5,PlayerWorking!$O$5-1,0),Results!$Q$42:Q46,0)),PlayerWorking!$T$5:OFFSET(PlayerWorking!$T$5,PlayerWorking!$O$5-1,1)))</f>
        <v>0</v>
      </c>
      <c r="R47" s="170" t="e">
        <f t="shared" ca="1" si="5"/>
        <v>#NAME?</v>
      </c>
      <c r="S47" s="141"/>
      <c r="T47" s="154" t="e">
        <f ca="1">IF(D47&gt;0,IFERROR(2*_xlfn.BINOM.INV(_xlfn.BINOM.INV(F47,G47,RAND()),H47,RAND())+ 3*_xlfn.BINOM.INV(_xlfn.BINOM.INV(F47,J47,RAND()),K47,RAND())+ _xlfn.BINOM.INV(_xlfn.BINOM.INV(F47,M47,RAND()),N47,RAND()),ROUND((F47/E47)*_xlfn.XLOOKUP(B47,PlayerStatsSeason!B38:B1031,PlayerStatsSeason!AD38:AD1031),0)),0)</f>
        <v>#NAME?</v>
      </c>
      <c r="U47" s="9">
        <v>12.5</v>
      </c>
      <c r="V47" t="e">
        <f t="shared" ca="1" si="6"/>
        <v>#NAME?</v>
      </c>
      <c r="W47" t="e">
        <f t="shared" ca="1" si="7"/>
        <v>#NAME?</v>
      </c>
    </row>
    <row r="48" spans="1:25" ht="15.75" x14ac:dyDescent="0.25">
      <c r="A48" s="146" t="s">
        <v>3146</v>
      </c>
      <c r="B48" s="141" t="str">
        <f ca="1">IFERROR(IF(_xlfn.XLOOKUP(Q48,PlayerWorking!$T$5:$T$31,PlayerWorking!$U$5:$U$31)=0, "", _xlfn.XLOOKUP(Q48,PlayerWorking!$T$5:$T$31,PlayerWorking!$U$5:$U$31)), "")</f>
        <v/>
      </c>
      <c r="C48" s="142" t="e">
        <f ca="1">_xlfn.XLOOKUP(B48,PlayerStatsSeason!$B$3:$B$996,PlayerStatsSeason!$H$3:$H$996)</f>
        <v>#NAME?</v>
      </c>
      <c r="D48" s="145" t="e">
        <f ca="1">IF(Q48&lt;=5,C48,C48/SUM(PlayerWorking!$J$10:$J$27)*(240-SUM(PlayerWorking!$J$5:$J$9)))</f>
        <v>#NAME?</v>
      </c>
      <c r="E48" s="145" t="e">
        <f ca="1">IF(D48&gt;0,_xlfn.XLOOKUP(B48,PlayerStatsSeason!$B$3:$B$996,PlayerStatsSeason!$J$3:$J$996)+_xlfn.XLOOKUP(B48,PlayerStatsSeason!$B$3:$B$996,PlayerStatsSeason!$T$3:$T$996))</f>
        <v>#NAME?</v>
      </c>
      <c r="F48" s="145" t="e">
        <f t="shared" ca="1" si="4"/>
        <v>#NAME?</v>
      </c>
      <c r="G48" s="143" t="e">
        <f ca="1">_xlfn.LET(
  _xlpm.twoPA, _xlfn.XLOOKUP($B48, PlayerStatsSeason!$B$3:$B$996, PlayerStatsSeason!$P$3:$P$996, 0),
  _xlpm.threePA, _xlfn.XLOOKUP($B48, PlayerStatsSeason!$B$3:$B$996, PlayerStatsSeason!$M$3:$M$996, 0),
  _xlpm.ftA, _xlfn.XLOOKUP($B48, PlayerStatsSeason!$B$3:$B$996, PlayerStatsSeason!$T$3:$T$996, 0),
  _xlpm.total, _xlpm.twoPA + _xlpm.threePA + _xlpm.ftA,
  _xlpm.val, IF(_xlpm.total = 0, "", _xlpm.twoPA / _xlpm.total),
  _xlpm.val
)</f>
        <v>#NAME?</v>
      </c>
      <c r="H48" s="143" t="e">
        <f ca="1">_xlfn.LET(
  _xlpm.val, _xlfn.XLOOKUP(B48, PlayerStatsSeason!$B$3:$B$996, PlayerStatsSeason!$Q$3:$Q$996, ""),
  IF(OR(_xlpm.val=0, _xlpm.val=""), "", VALUE(_xlpm.val))
)</f>
        <v>#NAME?</v>
      </c>
      <c r="I48" s="144" t="e">
        <f ca="1">_xlfn.LET(
  _xlpm.val, _xlfn.XLOOKUP(B48, PlayerStatsSeason!$B$3:$B$996, PlayerStatsSeason!$P$3:$P$996, ""),
  IF(OR(_xlpm.val=0, _xlpm.val=""), "", VALUE(_xlpm.val))
)</f>
        <v>#NAME?</v>
      </c>
      <c r="J48" s="143" t="e">
        <f ca="1">_xlfn.LET(
  _xlpm.twoPA, _xlfn.XLOOKUP($B48, PlayerStatsSeason!$B$3:$B$996, PlayerStatsSeason!$P$3:$P$996, 0),
  _xlpm.threePA, _xlfn.XLOOKUP($B48, PlayerStatsSeason!$B$3:$B$996, PlayerStatsSeason!$M$3:$M$996, 0),
  _xlpm.ftA, _xlfn.XLOOKUP($B48, PlayerStatsSeason!$B$3:$B$996, PlayerStatsSeason!$T$3:$T$996, 0),
  _xlpm.total, _xlpm.twoPA + _xlpm.threePA + _xlpm.ftA,
  _xlpm.val, IF(_xlpm.total = 0, "", _xlpm.threePA / _xlpm.total),
  _xlpm.val
)</f>
        <v>#NAME?</v>
      </c>
      <c r="K48" s="167" t="e">
        <f ca="1">_xlfn.LET(
  _xlpm.val, _xlfn.XLOOKUP(B48, PlayerStatsSeason!$B$3:$B$996, PlayerStatsSeason!$N$3:$N$996, ""),
  IF(OR(_xlpm.val=0, _xlpm.val=""), "", VALUE(_xlpm.val))
)</f>
        <v>#NAME?</v>
      </c>
      <c r="L48" s="166" t="e" cm="1">
        <f t="array" aca="1" ref="L48" ca="1">_xlfn.LET(
  _xlpm.val, _xlfn.XLOOKUP(B48, PlayerStatsSeason!$B$3:$B$996, PlayerStatsSeason!$M$3:$M$996, ""),
  IF(OR(_xlpm.val=0, _xlpm.val=""), "", VALUE(_xlpm.val))
)</f>
        <v>#NAME?</v>
      </c>
      <c r="M48" s="143" t="e">
        <f ca="1">_xlfn.LET(
  _xlpm.twoPA, _xlfn.XLOOKUP($B48, PlayerStatsSeason!$B$3:$B$996, PlayerStatsSeason!$P$3:$P$996, 0),
  _xlpm.threePA, _xlfn.XLOOKUP($B48, PlayerStatsSeason!$B$3:$B$996, PlayerStatsSeason!$M$3:$M$996, 0),
  _xlpm.ftA, _xlfn.XLOOKUP($B48, PlayerStatsSeason!$B$3:$B$996, PlayerStatsSeason!$T$3:$T$996, 0),
  _xlpm.total, _xlpm.twoPA + _xlpm.threePA + _xlpm.ftA,
  _xlpm.val, IF(_xlpm.total = 0, "", _xlpm.ftA / _xlpm.total),
  _xlpm.val
)</f>
        <v>#NAME?</v>
      </c>
      <c r="N48" s="143" t="e">
        <f ca="1">_xlfn.LET(
  _xlpm.val, _xlfn.XLOOKUP(B48, PlayerStatsSeason!$B$3:$B$996, PlayerStatsSeason!$U$3:$U$996, ""),
  IF(OR(_xlpm.val=0, _xlpm.val=""), "", VALUE(_xlpm.val))
)</f>
        <v>#NAME?</v>
      </c>
      <c r="O48" s="144" t="e">
        <f ca="1">_xlfn.LET(
  _xlpm.val, _xlfn.XLOOKUP(B48, PlayerStatsSeason!$B$3:$B$996, PlayerStatsSeason!$T$3:$T$996, ""),
  IF(OR(_xlpm.val=0, _xlpm.val=""), "", VALUE(_xlpm.val))
)</f>
        <v>#NAME?</v>
      </c>
      <c r="P48" s="141"/>
      <c r="Q48" s="141" cm="1">
        <f t="array" aca="1" ref="Q48" ca="1">MIN(IF(ISNA(MATCH(PlayerWorking!$T$5:OFFSET(PlayerWorking!$T$5,PlayerWorking!$O$5-1,0),Results!$Q$42:Q47,0)),PlayerWorking!$T$5:OFFSET(PlayerWorking!$T$5,PlayerWorking!$O$5-1,1)))</f>
        <v>0</v>
      </c>
      <c r="R48" s="170" t="e">
        <f t="shared" ca="1" si="5"/>
        <v>#NAME?</v>
      </c>
      <c r="S48" s="141"/>
      <c r="T48" s="154" t="e">
        <f ca="1">IF(D48&gt;0,IFERROR(2*_xlfn.BINOM.INV(_xlfn.BINOM.INV(F48,G48,RAND()),H48,RAND())+ 3*_xlfn.BINOM.INV(_xlfn.BINOM.INV(F48,J48,RAND()),K48,RAND())+ _xlfn.BINOM.INV(_xlfn.BINOM.INV(F48,M48,RAND()),N48,RAND()),ROUND((F48/E48)*_xlfn.XLOOKUP(B48,PlayerStatsSeason!B39:B1032,PlayerStatsSeason!AD39:AD1032),0)),0)</f>
        <v>#NAME?</v>
      </c>
      <c r="U48" s="9">
        <v>6</v>
      </c>
      <c r="V48" t="e">
        <f t="shared" ca="1" si="6"/>
        <v>#NAME?</v>
      </c>
      <c r="W48" t="e">
        <f t="shared" ca="1" si="7"/>
        <v>#NAME?</v>
      </c>
    </row>
    <row r="49" spans="1:23" ht="15.75" x14ac:dyDescent="0.25">
      <c r="A49" s="146" t="s">
        <v>3147</v>
      </c>
      <c r="B49" s="141" t="str">
        <f ca="1">IFERROR(IF(_xlfn.XLOOKUP(Q49,PlayerWorking!$T$5:$T$31,PlayerWorking!$U$5:$U$31)=0, "", _xlfn.XLOOKUP(Q49,PlayerWorking!$T$5:$T$31,PlayerWorking!$U$5:$U$31)), "")</f>
        <v/>
      </c>
      <c r="C49" s="142" t="e">
        <f ca="1">_xlfn.XLOOKUP(B49,PlayerStatsSeason!$B$3:$B$996,PlayerStatsSeason!$H$3:$H$996)</f>
        <v>#NAME?</v>
      </c>
      <c r="D49" s="145" t="e">
        <f ca="1">IF(Q49&lt;=5,C49,C49/SUM(PlayerWorking!$J$10:$J$27)*(240-SUM(PlayerWorking!$J$5:$J$9)))</f>
        <v>#NAME?</v>
      </c>
      <c r="E49" s="145" t="e">
        <f ca="1">IF(D49&gt;0,_xlfn.XLOOKUP(B49,PlayerStatsSeason!$B$3:$B$996,PlayerStatsSeason!$J$3:$J$996)+_xlfn.XLOOKUP(B49,PlayerStatsSeason!$B$3:$B$996,PlayerStatsSeason!$T$3:$T$996))</f>
        <v>#NAME?</v>
      </c>
      <c r="F49" s="145" t="e">
        <f t="shared" ca="1" si="4"/>
        <v>#NAME?</v>
      </c>
      <c r="G49" s="143" t="e">
        <f ca="1">_xlfn.LET(
  _xlpm.twoPA, _xlfn.XLOOKUP($B49, PlayerStatsSeason!$B$3:$B$996, PlayerStatsSeason!$P$3:$P$996, 0),
  _xlpm.threePA, _xlfn.XLOOKUP($B49, PlayerStatsSeason!$B$3:$B$996, PlayerStatsSeason!$M$3:$M$996, 0),
  _xlpm.ftA, _xlfn.XLOOKUP($B49, PlayerStatsSeason!$B$3:$B$996, PlayerStatsSeason!$T$3:$T$996, 0),
  _xlpm.total, _xlpm.twoPA + _xlpm.threePA + _xlpm.ftA,
  _xlpm.val, IF(_xlpm.total = 0, "", _xlpm.twoPA / _xlpm.total),
  _xlpm.val
)</f>
        <v>#NAME?</v>
      </c>
      <c r="H49" s="143" t="e">
        <f ca="1">_xlfn.LET(
  _xlpm.val, _xlfn.XLOOKUP(B49, PlayerStatsSeason!$B$3:$B$996, PlayerStatsSeason!$Q$3:$Q$996, ""),
  IF(OR(_xlpm.val=0, _xlpm.val=""), "", VALUE(_xlpm.val))
)</f>
        <v>#NAME?</v>
      </c>
      <c r="I49" s="144" t="e">
        <f ca="1">_xlfn.LET(
  _xlpm.val, _xlfn.XLOOKUP(B49, PlayerStatsSeason!$B$3:$B$996, PlayerStatsSeason!$P$3:$P$996, ""),
  IF(OR(_xlpm.val=0, _xlpm.val=""), "", VALUE(_xlpm.val))
)</f>
        <v>#NAME?</v>
      </c>
      <c r="J49" s="143" t="e">
        <f ca="1">_xlfn.LET(
  _xlpm.twoPA, _xlfn.XLOOKUP($B49, PlayerStatsSeason!$B$3:$B$996, PlayerStatsSeason!$P$3:$P$996, 0),
  _xlpm.threePA, _xlfn.XLOOKUP($B49, PlayerStatsSeason!$B$3:$B$996, PlayerStatsSeason!$M$3:$M$996, 0),
  _xlpm.ftA, _xlfn.XLOOKUP($B49, PlayerStatsSeason!$B$3:$B$996, PlayerStatsSeason!$T$3:$T$996, 0),
  _xlpm.total, _xlpm.twoPA + _xlpm.threePA + _xlpm.ftA,
  _xlpm.val, IF(_xlpm.total = 0, "", _xlpm.threePA / _xlpm.total),
  _xlpm.val
)</f>
        <v>#NAME?</v>
      </c>
      <c r="K49" s="167" t="e">
        <f ca="1">_xlfn.LET(
  _xlpm.val, _xlfn.XLOOKUP(B49, PlayerStatsSeason!$B$3:$B$996, PlayerStatsSeason!$N$3:$N$996, ""),
  IF(OR(_xlpm.val=0, _xlpm.val=""), "", VALUE(_xlpm.val))
)</f>
        <v>#NAME?</v>
      </c>
      <c r="L49" s="166" t="e" cm="1">
        <f t="array" aca="1" ref="L49" ca="1">_xlfn.LET(
  _xlpm.val, _xlfn.XLOOKUP(B49, PlayerStatsSeason!$B$3:$B$996, PlayerStatsSeason!$M$3:$M$996, ""),
  IF(OR(_xlpm.val=0, _xlpm.val=""), "", VALUE(_xlpm.val))
)</f>
        <v>#NAME?</v>
      </c>
      <c r="M49" s="143" t="e">
        <f ca="1">_xlfn.LET(
  _xlpm.twoPA, _xlfn.XLOOKUP($B49, PlayerStatsSeason!$B$3:$B$996, PlayerStatsSeason!$P$3:$P$996, 0),
  _xlpm.threePA, _xlfn.XLOOKUP($B49, PlayerStatsSeason!$B$3:$B$996, PlayerStatsSeason!$M$3:$M$996, 0),
  _xlpm.ftA, _xlfn.XLOOKUP($B49, PlayerStatsSeason!$B$3:$B$996, PlayerStatsSeason!$T$3:$T$996, 0),
  _xlpm.total, _xlpm.twoPA + _xlpm.threePA + _xlpm.ftA,
  _xlpm.val, IF(_xlpm.total = 0, "", _xlpm.ftA / _xlpm.total),
  _xlpm.val
)</f>
        <v>#NAME?</v>
      </c>
      <c r="N49" s="143" t="e">
        <f ca="1">_xlfn.LET(
  _xlpm.val, _xlfn.XLOOKUP(B49, PlayerStatsSeason!$B$3:$B$996, PlayerStatsSeason!$U$3:$U$996, ""),
  IF(OR(_xlpm.val=0, _xlpm.val=""), "", VALUE(_xlpm.val))
)</f>
        <v>#NAME?</v>
      </c>
      <c r="O49" s="144" t="e">
        <f ca="1">_xlfn.LET(
  _xlpm.val, _xlfn.XLOOKUP(B49, PlayerStatsSeason!$B$3:$B$996, PlayerStatsSeason!$T$3:$T$996, ""),
  IF(OR(_xlpm.val=0, _xlpm.val=""), "", VALUE(_xlpm.val))
)</f>
        <v>#NAME?</v>
      </c>
      <c r="P49" s="141"/>
      <c r="Q49" s="141" cm="1">
        <f t="array" aca="1" ref="Q49" ca="1">MIN(IF(ISNA(MATCH(PlayerWorking!$T$5:OFFSET(PlayerWorking!$T$5,PlayerWorking!$O$5-1,0),Results!$Q$42:Q48,0)),PlayerWorking!$T$5:OFFSET(PlayerWorking!$T$5,PlayerWorking!$O$5-1,1)))</f>
        <v>0</v>
      </c>
      <c r="R49" s="170" t="e">
        <f t="shared" ca="1" si="5"/>
        <v>#NAME?</v>
      </c>
      <c r="S49" s="141"/>
      <c r="T49" s="154" t="e">
        <f ca="1">IF(D49&gt;0,IFERROR(2*_xlfn.BINOM.INV(_xlfn.BINOM.INV(F49,G49,RAND()),H49,RAND())+ 3*_xlfn.BINOM.INV(_xlfn.BINOM.INV(F49,J49,RAND()),K49,RAND())+ _xlfn.BINOM.INV(_xlfn.BINOM.INV(F49,M49,RAND()),N49,RAND()),ROUND((F49/E49)*_xlfn.XLOOKUP(B49,PlayerStatsSeason!B40:B1033,PlayerStatsSeason!AD40:AD1033),0)),0)</f>
        <v>#NAME?</v>
      </c>
      <c r="U49" s="9"/>
    </row>
    <row r="50" spans="1:23" ht="15.75" x14ac:dyDescent="0.25">
      <c r="A50" s="146" t="s">
        <v>3148</v>
      </c>
      <c r="B50" s="141" t="str">
        <f ca="1">IFERROR(IF(_xlfn.XLOOKUP(Q50,PlayerWorking!$T$5:$T$31,PlayerWorking!$U$5:$U$31)=0, "", _xlfn.XLOOKUP(Q50,PlayerWorking!$T$5:$T$31,PlayerWorking!$U$5:$U$31)), "")</f>
        <v/>
      </c>
      <c r="C50" s="142" t="e">
        <f ca="1">_xlfn.XLOOKUP(B50,PlayerStatsSeason!$B$3:$B$996,PlayerStatsSeason!$H$3:$H$996)</f>
        <v>#NAME?</v>
      </c>
      <c r="D50" s="145" t="e">
        <f ca="1">IF(Q50&lt;=5,C50,C50/SUM(PlayerWorking!$J$10:$J$27)*(240-SUM(PlayerWorking!$J$5:$J$9)))</f>
        <v>#NAME?</v>
      </c>
      <c r="E50" s="145" t="e">
        <f ca="1">IF(D50&gt;0,_xlfn.XLOOKUP(B50,PlayerStatsSeason!$B$3:$B$996,PlayerStatsSeason!$J$3:$J$996)+_xlfn.XLOOKUP(B50,PlayerStatsSeason!$B$3:$B$996,PlayerStatsSeason!$T$3:$T$996))</f>
        <v>#NAME?</v>
      </c>
      <c r="F50" s="145" t="e">
        <f t="shared" ca="1" si="4"/>
        <v>#NAME?</v>
      </c>
      <c r="G50" s="143" t="e">
        <f ca="1">_xlfn.LET(
  _xlpm.twoPA, _xlfn.XLOOKUP($B50, PlayerStatsSeason!$B$3:$B$996, PlayerStatsSeason!$P$3:$P$996, 0),
  _xlpm.threePA, _xlfn.XLOOKUP($B50, PlayerStatsSeason!$B$3:$B$996, PlayerStatsSeason!$M$3:$M$996, 0),
  _xlpm.ftA, _xlfn.XLOOKUP($B50, PlayerStatsSeason!$B$3:$B$996, PlayerStatsSeason!$T$3:$T$996, 0),
  _xlpm.total, _xlpm.twoPA + _xlpm.threePA + _xlpm.ftA,
  _xlpm.val, IF(_xlpm.total = 0, "", _xlpm.twoPA / _xlpm.total),
  _xlpm.val
)</f>
        <v>#NAME?</v>
      </c>
      <c r="H50" s="143" t="e">
        <f ca="1">_xlfn.LET(
  _xlpm.val, _xlfn.XLOOKUP(B50, PlayerStatsSeason!$B$3:$B$996, PlayerStatsSeason!$Q$3:$Q$996, ""),
  IF(OR(_xlpm.val=0, _xlpm.val=""), "", VALUE(_xlpm.val))
)</f>
        <v>#NAME?</v>
      </c>
      <c r="I50" s="144" t="e">
        <f ca="1">_xlfn.LET(
  _xlpm.val, _xlfn.XLOOKUP(B50, PlayerStatsSeason!$B$3:$B$996, PlayerStatsSeason!$P$3:$P$996, ""),
  IF(OR(_xlpm.val=0, _xlpm.val=""), "", VALUE(_xlpm.val))
)</f>
        <v>#NAME?</v>
      </c>
      <c r="J50" s="143" t="e">
        <f ca="1">_xlfn.LET(
  _xlpm.twoPA, _xlfn.XLOOKUP($B50, PlayerStatsSeason!$B$3:$B$996, PlayerStatsSeason!$P$3:$P$996, 0),
  _xlpm.threePA, _xlfn.XLOOKUP($B50, PlayerStatsSeason!$B$3:$B$996, PlayerStatsSeason!$M$3:$M$996, 0),
  _xlpm.ftA, _xlfn.XLOOKUP($B50, PlayerStatsSeason!$B$3:$B$996, PlayerStatsSeason!$T$3:$T$996, 0),
  _xlpm.total, _xlpm.twoPA + _xlpm.threePA + _xlpm.ftA,
  _xlpm.val, IF(_xlpm.total = 0, "", _xlpm.threePA / _xlpm.total),
  _xlpm.val
)</f>
        <v>#NAME?</v>
      </c>
      <c r="K50" s="167" t="e">
        <f ca="1">_xlfn.LET(
  _xlpm.val, _xlfn.XLOOKUP(B50, PlayerStatsSeason!$B$3:$B$996, PlayerStatsSeason!$N$3:$N$996, ""),
  IF(OR(_xlpm.val=0, _xlpm.val=""), "", VALUE(_xlpm.val))
)</f>
        <v>#NAME?</v>
      </c>
      <c r="L50" s="166" t="e" cm="1">
        <f t="array" aca="1" ref="L50" ca="1">_xlfn.LET(
  _xlpm.val, _xlfn.XLOOKUP(B50, PlayerStatsSeason!$B$3:$B$996, PlayerStatsSeason!$M$3:$M$996, ""),
  IF(OR(_xlpm.val=0, _xlpm.val=""), "", VALUE(_xlpm.val))
)</f>
        <v>#NAME?</v>
      </c>
      <c r="M50" s="143" t="e">
        <f ca="1">_xlfn.LET(
  _xlpm.twoPA, _xlfn.XLOOKUP($B50, PlayerStatsSeason!$B$3:$B$996, PlayerStatsSeason!$P$3:$P$996, 0),
  _xlpm.threePA, _xlfn.XLOOKUP($B50, PlayerStatsSeason!$B$3:$B$996, PlayerStatsSeason!$M$3:$M$996, 0),
  _xlpm.ftA, _xlfn.XLOOKUP($B50, PlayerStatsSeason!$B$3:$B$996, PlayerStatsSeason!$T$3:$T$996, 0),
  _xlpm.total, _xlpm.twoPA + _xlpm.threePA + _xlpm.ftA,
  _xlpm.val, IF(_xlpm.total = 0, "", _xlpm.ftA / _xlpm.total),
  _xlpm.val
)</f>
        <v>#NAME?</v>
      </c>
      <c r="N50" s="143" t="e">
        <f ca="1">_xlfn.LET(
  _xlpm.val, _xlfn.XLOOKUP(B50, PlayerStatsSeason!$B$3:$B$996, PlayerStatsSeason!$U$3:$U$996, ""),
  IF(OR(_xlpm.val=0, _xlpm.val=""), "", VALUE(_xlpm.val))
)</f>
        <v>#NAME?</v>
      </c>
      <c r="O50" s="144" t="e">
        <f ca="1">_xlfn.LET(
  _xlpm.val, _xlfn.XLOOKUP(B50, PlayerStatsSeason!$B$3:$B$996, PlayerStatsSeason!$T$3:$T$996, ""),
  IF(OR(_xlpm.val=0, _xlpm.val=""), "", VALUE(_xlpm.val))
)</f>
        <v>#NAME?</v>
      </c>
      <c r="P50" s="141"/>
      <c r="Q50" s="141" cm="1">
        <f t="array" aca="1" ref="Q50" ca="1">MIN(IF(ISNA(MATCH(PlayerWorking!$T$5:OFFSET(PlayerWorking!$T$5,PlayerWorking!$O$5-1,0),Results!$Q$42:Q49,0)),PlayerWorking!$T$5:OFFSET(PlayerWorking!$T$5,PlayerWorking!$O$5-1,1)))</f>
        <v>0</v>
      </c>
      <c r="R50" s="170" t="e">
        <f t="shared" ca="1" si="5"/>
        <v>#NAME?</v>
      </c>
      <c r="S50" s="141"/>
      <c r="T50" s="154" t="e">
        <f ca="1">IF(D50&gt;0,IFERROR(2*_xlfn.BINOM.INV(_xlfn.BINOM.INV(F50,G50,RAND()),H50,RAND())+ 3*_xlfn.BINOM.INV(_xlfn.BINOM.INV(F50,J50,RAND()),K50,RAND())+ _xlfn.BINOM.INV(_xlfn.BINOM.INV(F50,M50,RAND()),N50,RAND()),ROUND((F50/E50)*_xlfn.XLOOKUP(B50,PlayerStatsSeason!B41:B1034,PlayerStatsSeason!AD41:AD1034),0)),0)</f>
        <v>#NAME?</v>
      </c>
      <c r="U50" s="9">
        <v>6.5</v>
      </c>
      <c r="V50" t="e">
        <f t="shared" ca="1" si="6"/>
        <v>#NAME?</v>
      </c>
      <c r="W50" t="e">
        <f t="shared" ca="1" si="7"/>
        <v>#NAME?</v>
      </c>
    </row>
    <row r="51" spans="1:23" ht="15.75" x14ac:dyDescent="0.25">
      <c r="A51" s="146" t="s">
        <v>3149</v>
      </c>
      <c r="B51" s="141" t="str">
        <f ca="1">IFERROR(IF(_xlfn.XLOOKUP(Q51,PlayerWorking!$T$5:$T$31,PlayerWorking!$U$5:$U$31)=0, "", _xlfn.XLOOKUP(Q51,PlayerWorking!$T$5:$T$31,PlayerWorking!$U$5:$U$31)), "")</f>
        <v/>
      </c>
      <c r="C51" s="142" t="e">
        <f ca="1">_xlfn.XLOOKUP(B51,PlayerStatsSeason!$B$3:$B$996,PlayerStatsSeason!$H$3:$H$996)</f>
        <v>#NAME?</v>
      </c>
      <c r="D51" s="145" t="e">
        <f ca="1">IF(Q51&lt;=5,C51,C51/SUM(PlayerWorking!$J$10:$J$27)*(240-SUM(PlayerWorking!$J$5:$J$9)))</f>
        <v>#NAME?</v>
      </c>
      <c r="E51" s="145" t="e">
        <f ca="1">IF(D51&gt;0,_xlfn.XLOOKUP(B51,PlayerStatsSeason!$B$3:$B$996,PlayerStatsSeason!$J$3:$J$996)+_xlfn.XLOOKUP(B51,PlayerStatsSeason!$B$3:$B$996,PlayerStatsSeason!$T$3:$T$996))</f>
        <v>#NAME?</v>
      </c>
      <c r="F51" s="145" t="e">
        <f t="shared" ca="1" si="4"/>
        <v>#NAME?</v>
      </c>
      <c r="G51" s="143" t="e">
        <f ca="1">_xlfn.LET(
  _xlpm.twoPA, _xlfn.XLOOKUP($B51, PlayerStatsSeason!$B$3:$B$996, PlayerStatsSeason!$P$3:$P$996, 0),
  _xlpm.threePA, _xlfn.XLOOKUP($B51, PlayerStatsSeason!$B$3:$B$996, PlayerStatsSeason!$M$3:$M$996, 0),
  _xlpm.ftA, _xlfn.XLOOKUP($B51, PlayerStatsSeason!$B$3:$B$996, PlayerStatsSeason!$T$3:$T$996, 0),
  _xlpm.total, _xlpm.twoPA + _xlpm.threePA + _xlpm.ftA,
  _xlpm.val, IF(_xlpm.total = 0, "", _xlpm.twoPA / _xlpm.total),
  _xlpm.val
)</f>
        <v>#NAME?</v>
      </c>
      <c r="H51" s="143" t="e">
        <f ca="1">_xlfn.LET(
  _xlpm.val, _xlfn.XLOOKUP(B51, PlayerStatsSeason!$B$3:$B$996, PlayerStatsSeason!$Q$3:$Q$996, ""),
  IF(OR(_xlpm.val=0, _xlpm.val=""), "", VALUE(_xlpm.val))
)</f>
        <v>#NAME?</v>
      </c>
      <c r="I51" s="144" t="e">
        <f ca="1">_xlfn.LET(
  _xlpm.val, _xlfn.XLOOKUP(B51, PlayerStatsSeason!$B$3:$B$996, PlayerStatsSeason!$P$3:$P$996, ""),
  IF(OR(_xlpm.val=0, _xlpm.val=""), "", VALUE(_xlpm.val))
)</f>
        <v>#NAME?</v>
      </c>
      <c r="J51" s="143" t="e">
        <f ca="1">_xlfn.LET(
  _xlpm.twoPA, _xlfn.XLOOKUP($B51, PlayerStatsSeason!$B$3:$B$996, PlayerStatsSeason!$P$3:$P$996, 0),
  _xlpm.threePA, _xlfn.XLOOKUP($B51, PlayerStatsSeason!$B$3:$B$996, PlayerStatsSeason!$M$3:$M$996, 0),
  _xlpm.ftA, _xlfn.XLOOKUP($B51, PlayerStatsSeason!$B$3:$B$996, PlayerStatsSeason!$T$3:$T$996, 0),
  _xlpm.total, _xlpm.twoPA + _xlpm.threePA + _xlpm.ftA,
  _xlpm.val, IF(_xlpm.total = 0, "", _xlpm.threePA / _xlpm.total),
  _xlpm.val
)</f>
        <v>#NAME?</v>
      </c>
      <c r="K51" s="167" t="e">
        <f ca="1">_xlfn.LET(
  _xlpm.val, _xlfn.XLOOKUP(B51, PlayerStatsSeason!$B$3:$B$996, PlayerStatsSeason!$N$3:$N$996, ""),
  IF(OR(_xlpm.val=0, _xlpm.val=""), "", VALUE(_xlpm.val))
)</f>
        <v>#NAME?</v>
      </c>
      <c r="L51" s="166" t="e" cm="1">
        <f t="array" aca="1" ref="L51" ca="1">_xlfn.LET(
  _xlpm.val, _xlfn.XLOOKUP(B51, PlayerStatsSeason!$B$3:$B$996, PlayerStatsSeason!$M$3:$M$996, ""),
  IF(OR(_xlpm.val=0, _xlpm.val=""), "", VALUE(_xlpm.val))
)</f>
        <v>#NAME?</v>
      </c>
      <c r="M51" s="143" t="e">
        <f ca="1">_xlfn.LET(
  _xlpm.twoPA, _xlfn.XLOOKUP($B51, PlayerStatsSeason!$B$3:$B$996, PlayerStatsSeason!$P$3:$P$996, 0),
  _xlpm.threePA, _xlfn.XLOOKUP($B51, PlayerStatsSeason!$B$3:$B$996, PlayerStatsSeason!$M$3:$M$996, 0),
  _xlpm.ftA, _xlfn.XLOOKUP($B51, PlayerStatsSeason!$B$3:$B$996, PlayerStatsSeason!$T$3:$T$996, 0),
  _xlpm.total, _xlpm.twoPA + _xlpm.threePA + _xlpm.ftA,
  _xlpm.val, IF(_xlpm.total = 0, "", _xlpm.ftA / _xlpm.total),
  _xlpm.val
)</f>
        <v>#NAME?</v>
      </c>
      <c r="N51" s="143" t="e">
        <f ca="1">_xlfn.LET(
  _xlpm.val, _xlfn.XLOOKUP(B51, PlayerStatsSeason!$B$3:$B$996, PlayerStatsSeason!$U$3:$U$996, ""),
  IF(OR(_xlpm.val=0, _xlpm.val=""), "", VALUE(_xlpm.val))
)</f>
        <v>#NAME?</v>
      </c>
      <c r="O51" s="144" t="e">
        <f ca="1">_xlfn.LET(
  _xlpm.val, _xlfn.XLOOKUP(B51, PlayerStatsSeason!$B$3:$B$996, PlayerStatsSeason!$T$3:$T$996, ""),
  IF(OR(_xlpm.val=0, _xlpm.val=""), "", VALUE(_xlpm.val))
)</f>
        <v>#NAME?</v>
      </c>
      <c r="P51" s="141"/>
      <c r="Q51" s="141" cm="1">
        <f t="array" aca="1" ref="Q51" ca="1">MIN(IF(ISNA(MATCH(PlayerWorking!$T$5:OFFSET(PlayerWorking!$T$5,PlayerWorking!$O$5-1,0),Results!$Q$42:Q50,0)),PlayerWorking!$T$5:OFFSET(PlayerWorking!$T$5,PlayerWorking!$O$5-1,1)))</f>
        <v>0</v>
      </c>
      <c r="R51" s="170" t="e">
        <f t="shared" ca="1" si="5"/>
        <v>#NAME?</v>
      </c>
      <c r="S51" s="141"/>
      <c r="T51" s="154" t="e">
        <f ca="1">IF(D51&gt;0,IFERROR(2*_xlfn.BINOM.INV(_xlfn.BINOM.INV(F51,G51,RAND()),H51,RAND())+ 3*_xlfn.BINOM.INV(_xlfn.BINOM.INV(F51,J51,RAND()),K51,RAND())+ _xlfn.BINOM.INV(_xlfn.BINOM.INV(F51,M51,RAND()),N51,RAND()),ROUND((F51/E51)*_xlfn.XLOOKUP(B51,PlayerStatsSeason!B42:B1035,PlayerStatsSeason!AD42:AD1035),0)),0)</f>
        <v>#NAME?</v>
      </c>
      <c r="U51" s="9"/>
    </row>
    <row r="52" spans="1:23" ht="15.75" x14ac:dyDescent="0.25">
      <c r="A52" s="146" t="s">
        <v>3150</v>
      </c>
      <c r="B52" s="141" t="str">
        <f ca="1">IFERROR(IF(_xlfn.XLOOKUP(Q52,PlayerWorking!$T$5:$T$31,PlayerWorking!$U$5:$U$31)=0, "", _xlfn.XLOOKUP(Q52,PlayerWorking!$T$5:$T$31,PlayerWorking!$U$5:$U$31)), "")</f>
        <v/>
      </c>
      <c r="C52" s="142" t="e">
        <f ca="1">_xlfn.XLOOKUP(B52,PlayerStatsSeason!$B$3:$B$996,PlayerStatsSeason!$H$3:$H$996)</f>
        <v>#NAME?</v>
      </c>
      <c r="D52" s="145" t="e">
        <f ca="1">IF(Q52&lt;=5,C52,C52/SUM(PlayerWorking!$J$10:$J$27)*(240-SUM(PlayerWorking!$J$5:$J$9)))</f>
        <v>#NAME?</v>
      </c>
      <c r="E52" s="145" t="e">
        <f ca="1">IF(D52&gt;0,_xlfn.XLOOKUP(B52,PlayerStatsSeason!$B$3:$B$996,PlayerStatsSeason!$J$3:$J$996)+_xlfn.XLOOKUP(B52,PlayerStatsSeason!$B$3:$B$996,PlayerStatsSeason!$T$3:$T$996))</f>
        <v>#NAME?</v>
      </c>
      <c r="F52" s="145" t="e">
        <f t="shared" ca="1" si="4"/>
        <v>#NAME?</v>
      </c>
      <c r="G52" s="143" t="e">
        <f ca="1">_xlfn.LET(
  _xlpm.twoPA, _xlfn.XLOOKUP($B52, PlayerStatsSeason!$B$3:$B$996, PlayerStatsSeason!$P$3:$P$996, 0),
  _xlpm.threePA, _xlfn.XLOOKUP($B52, PlayerStatsSeason!$B$3:$B$996, PlayerStatsSeason!$M$3:$M$996, 0),
  _xlpm.ftA, _xlfn.XLOOKUP($B52, PlayerStatsSeason!$B$3:$B$996, PlayerStatsSeason!$T$3:$T$996, 0),
  _xlpm.total, _xlpm.twoPA + _xlpm.threePA + _xlpm.ftA,
  _xlpm.val, IF(_xlpm.total = 0, "", _xlpm.twoPA / _xlpm.total),
  _xlpm.val
)</f>
        <v>#NAME?</v>
      </c>
      <c r="H52" s="143" t="e">
        <f ca="1">_xlfn.LET(
  _xlpm.val, _xlfn.XLOOKUP(B52, PlayerStatsSeason!$B$3:$B$996, PlayerStatsSeason!$Q$3:$Q$996, ""),
  IF(OR(_xlpm.val=0, _xlpm.val=""), "", VALUE(_xlpm.val))
)</f>
        <v>#NAME?</v>
      </c>
      <c r="I52" s="144" t="e">
        <f ca="1">_xlfn.LET(
  _xlpm.val, _xlfn.XLOOKUP(B52, PlayerStatsSeason!$B$3:$B$996, PlayerStatsSeason!$P$3:$P$996, ""),
  IF(OR(_xlpm.val=0, _xlpm.val=""), "", VALUE(_xlpm.val))
)</f>
        <v>#NAME?</v>
      </c>
      <c r="J52" s="143" t="e">
        <f ca="1">_xlfn.LET(
  _xlpm.twoPA, _xlfn.XLOOKUP($B52, PlayerStatsSeason!$B$3:$B$996, PlayerStatsSeason!$P$3:$P$996, 0),
  _xlpm.threePA, _xlfn.XLOOKUP($B52, PlayerStatsSeason!$B$3:$B$996, PlayerStatsSeason!$M$3:$M$996, 0),
  _xlpm.ftA, _xlfn.XLOOKUP($B52, PlayerStatsSeason!$B$3:$B$996, PlayerStatsSeason!$T$3:$T$996, 0),
  _xlpm.total, _xlpm.twoPA + _xlpm.threePA + _xlpm.ftA,
  _xlpm.val, IF(_xlpm.total = 0, "", _xlpm.threePA / _xlpm.total),
  _xlpm.val
)</f>
        <v>#NAME?</v>
      </c>
      <c r="K52" s="167">
        <v>0</v>
      </c>
      <c r="L52" s="166" t="e" cm="1">
        <f t="array" aca="1" ref="L52" ca="1">_xlfn.LET(
  _xlpm.val, _xlfn.XLOOKUP(B52, PlayerStatsSeason!$B$3:$B$996, PlayerStatsSeason!$M$3:$M$996, ""),
  IF(OR(_xlpm.val=0, _xlpm.val=""), "", VALUE(_xlpm.val))
)</f>
        <v>#NAME?</v>
      </c>
      <c r="M52" s="143" t="e">
        <f ca="1">_xlfn.LET(
  _xlpm.twoPA, _xlfn.XLOOKUP($B52, PlayerStatsSeason!$B$3:$B$996, PlayerStatsSeason!$P$3:$P$996, 0),
  _xlpm.threePA, _xlfn.XLOOKUP($B52, PlayerStatsSeason!$B$3:$B$996, PlayerStatsSeason!$M$3:$M$996, 0),
  _xlpm.ftA, _xlfn.XLOOKUP($B52, PlayerStatsSeason!$B$3:$B$996, PlayerStatsSeason!$T$3:$T$996, 0),
  _xlpm.total, _xlpm.twoPA + _xlpm.threePA + _xlpm.ftA,
  _xlpm.val, IF(_xlpm.total = 0, "", _xlpm.ftA / _xlpm.total),
  _xlpm.val
)</f>
        <v>#NAME?</v>
      </c>
      <c r="N52" s="143" t="e">
        <f ca="1">_xlfn.LET(
  _xlpm.val, _xlfn.XLOOKUP(B52, PlayerStatsSeason!$B$3:$B$996, PlayerStatsSeason!$U$3:$U$996, ""),
  IF(OR(_xlpm.val=0, _xlpm.val=""), "", VALUE(_xlpm.val))
)</f>
        <v>#NAME?</v>
      </c>
      <c r="O52" s="144" t="e">
        <f ca="1">_xlfn.LET(
  _xlpm.val, _xlfn.XLOOKUP(B52, PlayerStatsSeason!$B$3:$B$996, PlayerStatsSeason!$T$3:$T$996, ""),
  IF(OR(_xlpm.val=0, _xlpm.val=""), "", VALUE(_xlpm.val))
)</f>
        <v>#NAME?</v>
      </c>
      <c r="P52" s="141"/>
      <c r="Q52" s="141" cm="1">
        <f t="array" aca="1" ref="Q52" ca="1">MIN(IF(ISNA(MATCH(PlayerWorking!$T$5:OFFSET(PlayerWorking!$T$5,PlayerWorking!$O$5-1,0),Results!$Q$42:Q51,0)),PlayerWorking!$T$5:OFFSET(PlayerWorking!$T$5,PlayerWorking!$O$5-1,1)))</f>
        <v>0</v>
      </c>
      <c r="R52" s="170" t="e">
        <f t="shared" ca="1" si="5"/>
        <v>#NAME?</v>
      </c>
      <c r="S52" s="141"/>
      <c r="T52" s="154" t="e">
        <f ca="1">IF(D52&gt;0,IFERROR(2*_xlfn.BINOM.INV(_xlfn.BINOM.INV(F52,G52,RAND()),H52,RAND())+ 3*_xlfn.BINOM.INV(_xlfn.BINOM.INV(F52,J52,RAND()),K52,RAND())+ _xlfn.BINOM.INV(_xlfn.BINOM.INV(F52,M52,RAND()),N52,RAND()),ROUND((F52/E52)*_xlfn.XLOOKUP(B52,PlayerStatsSeason!B43:B1036,PlayerStatsSeason!AD43:AD1036),0)),0)</f>
        <v>#NAME?</v>
      </c>
      <c r="U52" s="9">
        <v>2.5</v>
      </c>
      <c r="V52" t="e">
        <f t="shared" ca="1" si="6"/>
        <v>#NAME?</v>
      </c>
      <c r="W52" t="e">
        <f t="shared" ca="1" si="7"/>
        <v>#NAME?</v>
      </c>
    </row>
    <row r="53" spans="1:23" ht="15.75" x14ac:dyDescent="0.25">
      <c r="A53" s="146" t="s">
        <v>3151</v>
      </c>
      <c r="B53" s="141" t="str">
        <f ca="1">IFERROR(IF(_xlfn.XLOOKUP(Q53,PlayerWorking!$T$5:$T$31,PlayerWorking!$U$5:$U$31)=0, "", _xlfn.XLOOKUP(Q53,PlayerWorking!$T$5:$T$31,PlayerWorking!$U$5:$U$31)), "")</f>
        <v/>
      </c>
      <c r="C53" s="142" t="e">
        <f ca="1">_xlfn.XLOOKUP(B53,PlayerStatsSeason!$B$3:$B$996,PlayerStatsSeason!$H$3:$H$996)</f>
        <v>#NAME?</v>
      </c>
      <c r="D53" s="145" t="e">
        <f ca="1">IF(Q53&lt;=5,C53,C53/SUM(PlayerWorking!$J$10:$J$27)*(240-SUM(PlayerWorking!$J$5:$J$9)))</f>
        <v>#NAME?</v>
      </c>
      <c r="E53" s="145" t="e">
        <f ca="1">IF(D53&gt;0,_xlfn.XLOOKUP(B53,PlayerStatsSeason!$B$3:$B$996,PlayerStatsSeason!$J$3:$J$996)+_xlfn.XLOOKUP(B53,PlayerStatsSeason!$B$3:$B$996,PlayerStatsSeason!$T$3:$T$996))</f>
        <v>#NAME?</v>
      </c>
      <c r="F53" s="145" t="e">
        <f t="shared" ca="1" si="4"/>
        <v>#NAME?</v>
      </c>
      <c r="G53" s="143" t="e">
        <f ca="1">_xlfn.LET(
  _xlpm.twoPA, _xlfn.XLOOKUP($B53, PlayerStatsSeason!$B$3:$B$996, PlayerStatsSeason!$P$3:$P$996, 0),
  _xlpm.threePA, _xlfn.XLOOKUP($B53, PlayerStatsSeason!$B$3:$B$996, PlayerStatsSeason!$M$3:$M$996, 0),
  _xlpm.ftA, _xlfn.XLOOKUP($B53, PlayerStatsSeason!$B$3:$B$996, PlayerStatsSeason!$T$3:$T$996, 0),
  _xlpm.total, _xlpm.twoPA + _xlpm.threePA + _xlpm.ftA,
  _xlpm.val, IF(_xlpm.total = 0, "", _xlpm.twoPA / _xlpm.total),
  _xlpm.val
)</f>
        <v>#NAME?</v>
      </c>
      <c r="H53" s="143" t="e">
        <f ca="1">_xlfn.LET(
  _xlpm.val, _xlfn.XLOOKUP(B53, PlayerStatsSeason!$B$3:$B$996, PlayerStatsSeason!$Q$3:$Q$996, ""),
  IF(OR(_xlpm.val=0, _xlpm.val=""), "", VALUE(_xlpm.val))
)</f>
        <v>#NAME?</v>
      </c>
      <c r="I53" s="144" t="e">
        <f ca="1">_xlfn.LET(
  _xlpm.val, _xlfn.XLOOKUP(B53, PlayerStatsSeason!$B$3:$B$996, PlayerStatsSeason!$P$3:$P$996, ""),
  IF(OR(_xlpm.val=0, _xlpm.val=""), "", VALUE(_xlpm.val))
)</f>
        <v>#NAME?</v>
      </c>
      <c r="J53" s="143" t="e">
        <f ca="1">_xlfn.LET(
  _xlpm.twoPA, _xlfn.XLOOKUP($B53, PlayerStatsSeason!$B$3:$B$996, PlayerStatsSeason!$P$3:$P$996, 0),
  _xlpm.threePA, _xlfn.XLOOKUP($B53, PlayerStatsSeason!$B$3:$B$996, PlayerStatsSeason!$M$3:$M$996, 0),
  _xlpm.ftA, _xlfn.XLOOKUP($B53, PlayerStatsSeason!$B$3:$B$996, PlayerStatsSeason!$T$3:$T$996, 0),
  _xlpm.total, _xlpm.twoPA + _xlpm.threePA + _xlpm.ftA,
  _xlpm.val, IF(_xlpm.total = 0, "", _xlpm.threePA / _xlpm.total),
  _xlpm.val
)</f>
        <v>#NAME?</v>
      </c>
      <c r="K53" s="167" t="e">
        <f ca="1">_xlfn.LET(
  _xlpm.val, _xlfn.XLOOKUP(B53, PlayerStatsSeason!$B$3:$B$996, PlayerStatsSeason!$N$3:$N$996, ""),
  IF(OR(_xlpm.val=0, _xlpm.val=""), "", VALUE(_xlpm.val))
)</f>
        <v>#NAME?</v>
      </c>
      <c r="L53" s="166" t="e" cm="1">
        <f t="array" aca="1" ref="L53" ca="1">_xlfn.LET(
  _xlpm.val, _xlfn.XLOOKUP(B53, PlayerStatsSeason!$B$3:$B$996, PlayerStatsSeason!$M$3:$M$996, ""),
  IF(OR(_xlpm.val=0, _xlpm.val=""), "", VALUE(_xlpm.val))
)</f>
        <v>#NAME?</v>
      </c>
      <c r="M53" s="143" t="e">
        <f ca="1">_xlfn.LET(
  _xlpm.twoPA, _xlfn.XLOOKUP($B53, PlayerStatsSeason!$B$3:$B$996, PlayerStatsSeason!$P$3:$P$996, 0),
  _xlpm.threePA, _xlfn.XLOOKUP($B53, PlayerStatsSeason!$B$3:$B$996, PlayerStatsSeason!$M$3:$M$996, 0),
  _xlpm.ftA, _xlfn.XLOOKUP($B53, PlayerStatsSeason!$B$3:$B$996, PlayerStatsSeason!$T$3:$T$996, 0),
  _xlpm.total, _xlpm.twoPA + _xlpm.threePA + _xlpm.ftA,
  _xlpm.val, IF(_xlpm.total = 0, "", _xlpm.ftA / _xlpm.total),
  _xlpm.val
)</f>
        <v>#NAME?</v>
      </c>
      <c r="N53" s="143" t="e">
        <f ca="1">_xlfn.LET(
  _xlpm.val, _xlfn.XLOOKUP(B53, PlayerStatsSeason!$B$3:$B$996, PlayerStatsSeason!$U$3:$U$996, ""),
  IF(OR(_xlpm.val=0, _xlpm.val=""), "", VALUE(_xlpm.val))
)</f>
        <v>#NAME?</v>
      </c>
      <c r="O53" s="144" t="e">
        <f ca="1">_xlfn.LET(
  _xlpm.val, _xlfn.XLOOKUP(B53, PlayerStatsSeason!$B$3:$B$996, PlayerStatsSeason!$T$3:$T$996, ""),
  IF(OR(_xlpm.val=0, _xlpm.val=""), "", VALUE(_xlpm.val))
)</f>
        <v>#NAME?</v>
      </c>
      <c r="P53" s="141"/>
      <c r="Q53" s="141" cm="1">
        <f t="array" aca="1" ref="Q53" ca="1">MIN(IF(ISNA(MATCH(PlayerWorking!$T$5:OFFSET(PlayerWorking!$T$5,PlayerWorking!$O$5-1,0),Results!$Q$42:Q52,0)),PlayerWorking!$T$5:OFFSET(PlayerWorking!$T$5,PlayerWorking!$O$5-1,1)))</f>
        <v>0</v>
      </c>
      <c r="R53" s="170" t="e">
        <f t="shared" ca="1" si="5"/>
        <v>#NAME?</v>
      </c>
      <c r="S53" s="141"/>
      <c r="T53" s="154" t="e">
        <f ca="1">IF(D53&gt;0,IFERROR(2*_xlfn.BINOM.INV(_xlfn.BINOM.INV(F53,G53,RAND()),H53,RAND())+ 3*_xlfn.BINOM.INV(_xlfn.BINOM.INV(F53,J53,RAND()),K53,RAND())+ _xlfn.BINOM.INV(_xlfn.BINOM.INV(F53,M53,RAND()),N53,RAND()),ROUND((F53/E53)*_xlfn.XLOOKUP(B53,PlayerStatsSeason!B44:B1037,PlayerStatsSeason!AD44:AD1037),0)),0)</f>
        <v>#NAME?</v>
      </c>
      <c r="U53" s="9"/>
    </row>
    <row r="54" spans="1:23" ht="15.75" x14ac:dyDescent="0.25">
      <c r="A54" s="146" t="s">
        <v>3152</v>
      </c>
      <c r="B54" s="141" t="str">
        <f ca="1">IFERROR(IF(_xlfn.XLOOKUP(Q54,PlayerWorking!$T$5:$T$31,PlayerWorking!$U$5:$U$31)=0, "", _xlfn.XLOOKUP(Q54,PlayerWorking!$T$5:$T$31,PlayerWorking!$U$5:$U$31)), "")</f>
        <v/>
      </c>
      <c r="C54" s="142" t="e">
        <f ca="1">_xlfn.XLOOKUP(B54,PlayerStatsSeason!$B$3:$B$996,PlayerStatsSeason!$H$3:$H$996)</f>
        <v>#NAME?</v>
      </c>
      <c r="D54" s="145" t="e">
        <f ca="1">IF(Q54&lt;=5,C54,C54/SUM(PlayerWorking!$J$10:$J$27)*(240-SUM(PlayerWorking!$J$5:$J$9)))</f>
        <v>#NAME?</v>
      </c>
      <c r="E54" s="145" t="e">
        <f ca="1">IF(D54&gt;0,_xlfn.XLOOKUP(B54,PlayerStatsSeason!$B$3:$B$996,PlayerStatsSeason!$J$3:$J$996)+_xlfn.XLOOKUP(B54,PlayerStatsSeason!$B$3:$B$996,PlayerStatsSeason!$T$3:$T$996))</f>
        <v>#NAME?</v>
      </c>
      <c r="F54" s="145" t="e">
        <f t="shared" ca="1" si="4"/>
        <v>#NAME?</v>
      </c>
      <c r="G54" s="143" t="e">
        <f ca="1">_xlfn.LET(
  _xlpm.twoPA, _xlfn.XLOOKUP($B54, PlayerStatsSeason!$B$3:$B$996, PlayerStatsSeason!$P$3:$P$996, 0),
  _xlpm.threePA, _xlfn.XLOOKUP($B54, PlayerStatsSeason!$B$3:$B$996, PlayerStatsSeason!$M$3:$M$996, 0),
  _xlpm.ftA, _xlfn.XLOOKUP($B54, PlayerStatsSeason!$B$3:$B$996, PlayerStatsSeason!$T$3:$T$996, 0),
  _xlpm.total, _xlpm.twoPA + _xlpm.threePA + _xlpm.ftA,
  _xlpm.val, IF(_xlpm.total = 0, "", _xlpm.twoPA / _xlpm.total),
  _xlpm.val
)</f>
        <v>#NAME?</v>
      </c>
      <c r="H54" s="143" t="e">
        <f ca="1">_xlfn.LET(
  _xlpm.val, _xlfn.XLOOKUP(B54, PlayerStatsSeason!$B$3:$B$996, PlayerStatsSeason!$Q$3:$Q$996, ""),
  IF(OR(_xlpm.val=0, _xlpm.val=""), "", VALUE(_xlpm.val))
)</f>
        <v>#NAME?</v>
      </c>
      <c r="I54" s="144" t="e">
        <f ca="1">_xlfn.LET(
  _xlpm.val, _xlfn.XLOOKUP(B54, PlayerStatsSeason!$B$3:$B$996, PlayerStatsSeason!$P$3:$P$996, ""),
  IF(OR(_xlpm.val=0, _xlpm.val=""), "", VALUE(_xlpm.val))
)</f>
        <v>#NAME?</v>
      </c>
      <c r="J54" s="143" t="e">
        <f ca="1">_xlfn.LET(
  _xlpm.twoPA, _xlfn.XLOOKUP($B54, PlayerStatsSeason!$B$3:$B$996, PlayerStatsSeason!$P$3:$P$996, 0),
  _xlpm.threePA, _xlfn.XLOOKUP($B54, PlayerStatsSeason!$B$3:$B$996, PlayerStatsSeason!$M$3:$M$996, 0),
  _xlpm.ftA, _xlfn.XLOOKUP($B54, PlayerStatsSeason!$B$3:$B$996, PlayerStatsSeason!$T$3:$T$996, 0),
  _xlpm.total, _xlpm.twoPA + _xlpm.threePA + _xlpm.ftA,
  _xlpm.val, IF(_xlpm.total = 0, "", _xlpm.threePA / _xlpm.total),
  _xlpm.val
)</f>
        <v>#NAME?</v>
      </c>
      <c r="K54" s="167" t="e">
        <f ca="1">_xlfn.LET(
  _xlpm.val, _xlfn.XLOOKUP(B54, PlayerStatsSeason!$B$3:$B$996, PlayerStatsSeason!$N$3:$N$996, ""),
  IF(OR(_xlpm.val=0, _xlpm.val=""), "", VALUE(_xlpm.val))
)</f>
        <v>#NAME?</v>
      </c>
      <c r="L54" s="166" t="e" cm="1">
        <f t="array" aca="1" ref="L54" ca="1">_xlfn.LET(
  _xlpm.val, _xlfn.XLOOKUP(B54, PlayerStatsSeason!$B$3:$B$996, PlayerStatsSeason!$M$3:$M$996, ""),
  IF(OR(_xlpm.val=0, _xlpm.val=""), "", VALUE(_xlpm.val))
)</f>
        <v>#NAME?</v>
      </c>
      <c r="M54" s="143" t="e">
        <f ca="1">_xlfn.LET(
  _xlpm.twoPA, _xlfn.XLOOKUP($B54, PlayerStatsSeason!$B$3:$B$996, PlayerStatsSeason!$P$3:$P$996, 0),
  _xlpm.threePA, _xlfn.XLOOKUP($B54, PlayerStatsSeason!$B$3:$B$996, PlayerStatsSeason!$M$3:$M$996, 0),
  _xlpm.ftA, _xlfn.XLOOKUP($B54, PlayerStatsSeason!$B$3:$B$996, PlayerStatsSeason!$T$3:$T$996, 0),
  _xlpm.total, _xlpm.twoPA + _xlpm.threePA + _xlpm.ftA,
  _xlpm.val, IF(_xlpm.total = 0, "", _xlpm.ftA / _xlpm.total),
  _xlpm.val
)</f>
        <v>#NAME?</v>
      </c>
      <c r="N54" s="143">
        <v>0</v>
      </c>
      <c r="O54" s="144" t="e">
        <f ca="1">_xlfn.LET(
  _xlpm.val, _xlfn.XLOOKUP(B54, PlayerStatsSeason!$B$3:$B$996, PlayerStatsSeason!$T$3:$T$996, ""),
  IF(OR(_xlpm.val=0, _xlpm.val=""), "", VALUE(_xlpm.val))
)</f>
        <v>#NAME?</v>
      </c>
      <c r="P54" s="141"/>
      <c r="Q54" s="141" cm="1">
        <f t="array" aca="1" ref="Q54" ca="1">MIN(IF(ISNA(MATCH(PlayerWorking!$T$5:OFFSET(PlayerWorking!$T$5,PlayerWorking!$O$5-1,0),Results!$Q$42:Q53,0)),PlayerWorking!$T$5:OFFSET(PlayerWorking!$T$5,PlayerWorking!$O$5-1,1)))</f>
        <v>0</v>
      </c>
      <c r="R54" s="170" t="e">
        <f t="shared" ca="1" si="5"/>
        <v>#NAME?</v>
      </c>
      <c r="S54" s="141"/>
      <c r="T54" s="154" t="e">
        <f ca="1">IF(D54&gt;0,IFERROR(2*_xlfn.BINOM.INV(_xlfn.BINOM.INV(F54,G54,RAND()),H54,RAND())+ 3*_xlfn.BINOM.INV(_xlfn.BINOM.INV(F54,J54,RAND()),K54,RAND())+ _xlfn.BINOM.INV(_xlfn.BINOM.INV(F54,M54,RAND()),N54,RAND()),ROUND((F54/E54)*_xlfn.XLOOKUP(B54,PlayerStatsSeason!B45:B1038,PlayerStatsSeason!AD45:AD1038),0)),0)</f>
        <v>#NAME?</v>
      </c>
      <c r="U54" s="9"/>
    </row>
    <row r="55" spans="1:23" ht="15.75" x14ac:dyDescent="0.25">
      <c r="A55" s="146" t="s">
        <v>3153</v>
      </c>
      <c r="B55" s="141" t="str">
        <f ca="1">IFERROR(IF(_xlfn.XLOOKUP(Q55,PlayerWorking!$T$5:$T$31,PlayerWorking!$U$5:$U$31)=0, "", _xlfn.XLOOKUP(Q55,PlayerWorking!$T$5:$T$31,PlayerWorking!$U$5:$U$31)), "")</f>
        <v/>
      </c>
      <c r="C55" s="142" t="e">
        <f ca="1">_xlfn.XLOOKUP(B55,PlayerStatsSeason!$B$3:$B$996,PlayerStatsSeason!$H$3:$H$996)</f>
        <v>#NAME?</v>
      </c>
      <c r="D55" s="145" t="e">
        <f ca="1">IF(Q55&lt;=5,C55,C55/SUM(PlayerWorking!$J$10:$J$27)*(240-SUM(PlayerWorking!$J$5:$J$9)))</f>
        <v>#NAME?</v>
      </c>
      <c r="E55" s="145" t="e">
        <f ca="1">IF(D55&gt;0,_xlfn.XLOOKUP(B55,PlayerStatsSeason!$B$3:$B$996,PlayerStatsSeason!$J$3:$J$996)+_xlfn.XLOOKUP(B55,PlayerStatsSeason!$B$3:$B$996,PlayerStatsSeason!$T$3:$T$996))</f>
        <v>#NAME?</v>
      </c>
      <c r="F55" s="145" t="e">
        <f t="shared" ca="1" si="4"/>
        <v>#NAME?</v>
      </c>
      <c r="G55" s="143" t="e">
        <f ca="1">_xlfn.LET(
  _xlpm.twoPA, _xlfn.XLOOKUP($B55, PlayerStatsSeason!$B$3:$B$996, PlayerStatsSeason!$P$3:$P$996, 0),
  _xlpm.threePA, _xlfn.XLOOKUP($B55, PlayerStatsSeason!$B$3:$B$996, PlayerStatsSeason!$M$3:$M$996, 0),
  _xlpm.ftA, _xlfn.XLOOKUP($B55, PlayerStatsSeason!$B$3:$B$996, PlayerStatsSeason!$T$3:$T$996, 0),
  _xlpm.total, _xlpm.twoPA + _xlpm.threePA + _xlpm.ftA,
  _xlpm.val, IF(_xlpm.total = 0, "", _xlpm.twoPA / _xlpm.total),
  _xlpm.val
)</f>
        <v>#NAME?</v>
      </c>
      <c r="H55" s="143" t="e">
        <f ca="1">_xlfn.LET(
  _xlpm.val, _xlfn.XLOOKUP(B55, PlayerStatsSeason!$B$3:$B$996, PlayerStatsSeason!$Q$3:$Q$996, ""),
  IF(OR(_xlpm.val=0, _xlpm.val=""), "", VALUE(_xlpm.val))
)</f>
        <v>#NAME?</v>
      </c>
      <c r="I55" s="144" t="e">
        <f ca="1">_xlfn.LET(
  _xlpm.val, _xlfn.XLOOKUP(B55, PlayerStatsSeason!$B$3:$B$996, PlayerStatsSeason!$P$3:$P$996, ""),
  IF(OR(_xlpm.val=0, _xlpm.val=""), "", VALUE(_xlpm.val))
)</f>
        <v>#NAME?</v>
      </c>
      <c r="J55" s="143" t="e">
        <f ca="1">_xlfn.LET(
  _xlpm.twoPA, _xlfn.XLOOKUP($B55, PlayerStatsSeason!$B$3:$B$996, PlayerStatsSeason!$P$3:$P$996, 0),
  _xlpm.threePA, _xlfn.XLOOKUP($B55, PlayerStatsSeason!$B$3:$B$996, PlayerStatsSeason!$M$3:$M$996, 0),
  _xlpm.ftA, _xlfn.XLOOKUP($B55, PlayerStatsSeason!$B$3:$B$996, PlayerStatsSeason!$T$3:$T$996, 0),
  _xlpm.total, _xlpm.twoPA + _xlpm.threePA + _xlpm.ftA,
  _xlpm.val, IF(_xlpm.total = 0, "", _xlpm.threePA / _xlpm.total),
  _xlpm.val
)</f>
        <v>#NAME?</v>
      </c>
      <c r="K55" s="167" t="e">
        <f ca="1">_xlfn.LET(
  _xlpm.val, _xlfn.XLOOKUP(B55, PlayerStatsSeason!$B$3:$B$996, PlayerStatsSeason!$N$3:$N$996, ""),
  IF(OR(_xlpm.val=0, _xlpm.val=""), "", VALUE(_xlpm.val))
)</f>
        <v>#NAME?</v>
      </c>
      <c r="L55" s="166" t="e" cm="1">
        <f t="array" aca="1" ref="L55" ca="1">_xlfn.LET(
  _xlpm.val, _xlfn.XLOOKUP(B55, PlayerStatsSeason!$B$3:$B$996, PlayerStatsSeason!$M$3:$M$996, ""),
  IF(OR(_xlpm.val=0, _xlpm.val=""), "", VALUE(_xlpm.val))
)</f>
        <v>#NAME?</v>
      </c>
      <c r="M55" s="143" t="e">
        <f ca="1">_xlfn.LET(
  _xlpm.twoPA, _xlfn.XLOOKUP($B55, PlayerStatsSeason!$B$3:$B$996, PlayerStatsSeason!$P$3:$P$996, 0),
  _xlpm.threePA, _xlfn.XLOOKUP($B55, PlayerStatsSeason!$B$3:$B$996, PlayerStatsSeason!$M$3:$M$996, 0),
  _xlpm.ftA, _xlfn.XLOOKUP($B55, PlayerStatsSeason!$B$3:$B$996, PlayerStatsSeason!$T$3:$T$996, 0),
  _xlpm.total, _xlpm.twoPA + _xlpm.threePA + _xlpm.ftA,
  _xlpm.val, IF(_xlpm.total = 0, "", _xlpm.ftA / _xlpm.total),
  _xlpm.val
)</f>
        <v>#NAME?</v>
      </c>
      <c r="N55" s="143" t="e">
        <f ca="1">_xlfn.LET(
  _xlpm.val, _xlfn.XLOOKUP(B55, PlayerStatsSeason!$B$3:$B$996, PlayerStatsSeason!$U$3:$U$996, ""),
  IF(OR(_xlpm.val=0, _xlpm.val=""), "", VALUE(_xlpm.val))
)</f>
        <v>#NAME?</v>
      </c>
      <c r="O55" s="144" t="e">
        <f ca="1">_xlfn.LET(
  _xlpm.val, _xlfn.XLOOKUP(B55, PlayerStatsSeason!$B$3:$B$996, PlayerStatsSeason!$T$3:$T$996, ""),
  IF(OR(_xlpm.val=0, _xlpm.val=""), "", VALUE(_xlpm.val))
)</f>
        <v>#NAME?</v>
      </c>
      <c r="P55" s="141"/>
      <c r="Q55" s="141" cm="1">
        <f t="array" aca="1" ref="Q55" ca="1">MIN(IF(ISNA(MATCH(PlayerWorking!$T$5:OFFSET(PlayerWorking!$T$5,PlayerWorking!$O$5-1,0),Results!$Q$42:Q54,0)),PlayerWorking!$T$5:OFFSET(PlayerWorking!$T$5,PlayerWorking!$O$5-1,1)))</f>
        <v>0</v>
      </c>
      <c r="R55" s="170" t="e">
        <f t="shared" ca="1" si="5"/>
        <v>#NAME?</v>
      </c>
      <c r="S55" s="141"/>
      <c r="T55" s="154" t="e">
        <f ca="1">IF(D55&gt;0,IFERROR(2*_xlfn.BINOM.INV(_xlfn.BINOM.INV(F55,G55,RAND()),H55,RAND())+ 3*_xlfn.BINOM.INV(_xlfn.BINOM.INV(F55,J55,RAND()),K55,RAND())+ _xlfn.BINOM.INV(_xlfn.BINOM.INV(F55,M55,RAND()),N55,RAND()),ROUND((F55/E55)*_xlfn.XLOOKUP(B55,PlayerStatsSeason!B46:B1039,PlayerStatsSeason!AD46:AD1039),0)),0)</f>
        <v>#NAME?</v>
      </c>
      <c r="U55" s="9"/>
    </row>
    <row r="56" spans="1:23" ht="15.75" x14ac:dyDescent="0.25">
      <c r="A56" s="146" t="s">
        <v>3154</v>
      </c>
      <c r="B56" s="141" t="str">
        <f ca="1">IFERROR(IF(_xlfn.XLOOKUP(Q56,PlayerWorking!$T$5:$T$31,PlayerWorking!$U$5:$U$31)=0, "", _xlfn.XLOOKUP(Q56,PlayerWorking!$T$5:$T$31,PlayerWorking!$U$5:$U$31)), "")</f>
        <v/>
      </c>
      <c r="C56" s="142" t="e">
        <f ca="1">_xlfn.XLOOKUP(B56,PlayerStatsSeason!$B$3:$B$996,PlayerStatsSeason!$H$3:$H$996)</f>
        <v>#NAME?</v>
      </c>
      <c r="D56" s="145" t="e">
        <f ca="1">IF(Q56&lt;=5,C56,C56/SUM(PlayerWorking!$J$10:$J$27)*(240-SUM(PlayerWorking!$J$5:$J$9)))</f>
        <v>#NAME?</v>
      </c>
      <c r="E56" s="145" t="e">
        <f ca="1">IF(D56&gt;0,_xlfn.XLOOKUP(B56,PlayerStatsSeason!$B$3:$B$996,PlayerStatsSeason!$J$3:$J$996)+_xlfn.XLOOKUP(B56,PlayerStatsSeason!$B$3:$B$996,PlayerStatsSeason!$T$3:$T$996))</f>
        <v>#NAME?</v>
      </c>
      <c r="F56" s="145" t="e">
        <f t="shared" ca="1" si="4"/>
        <v>#NAME?</v>
      </c>
      <c r="G56" s="143" t="e">
        <f ca="1">_xlfn.LET(
  _xlpm.twoPA, _xlfn.XLOOKUP($B56, PlayerStatsSeason!$B$3:$B$996, PlayerStatsSeason!$P$3:$P$996, 0),
  _xlpm.threePA, _xlfn.XLOOKUP($B56, PlayerStatsSeason!$B$3:$B$996, PlayerStatsSeason!$M$3:$M$996, 0),
  _xlpm.ftA, _xlfn.XLOOKUP($B56, PlayerStatsSeason!$B$3:$B$996, PlayerStatsSeason!$T$3:$T$996, 0),
  _xlpm.total, _xlpm.twoPA + _xlpm.threePA + _xlpm.ftA,
  _xlpm.val, IF(_xlpm.total = 0, "", _xlpm.twoPA / _xlpm.total),
  _xlpm.val
)</f>
        <v>#NAME?</v>
      </c>
      <c r="H56" s="143" t="e">
        <f ca="1">_xlfn.LET(
  _xlpm.val, _xlfn.XLOOKUP(B56, PlayerStatsSeason!$B$3:$B$996, PlayerStatsSeason!$Q$3:$Q$996, ""),
  IF(OR(_xlpm.val=0, _xlpm.val=""), "", VALUE(_xlpm.val))
)</f>
        <v>#NAME?</v>
      </c>
      <c r="I56" s="144" t="e">
        <f ca="1">_xlfn.LET(
  _xlpm.val, _xlfn.XLOOKUP(B56, PlayerStatsSeason!$B$3:$B$996, PlayerStatsSeason!$P$3:$P$996, ""),
  IF(OR(_xlpm.val=0, _xlpm.val=""), "", VALUE(_xlpm.val))
)</f>
        <v>#NAME?</v>
      </c>
      <c r="J56" s="143" t="e">
        <f ca="1">_xlfn.LET(
  _xlpm.twoPA, _xlfn.XLOOKUP($B56, PlayerStatsSeason!$B$3:$B$996, PlayerStatsSeason!$P$3:$P$996, 0),
  _xlpm.threePA, _xlfn.XLOOKUP($B56, PlayerStatsSeason!$B$3:$B$996, PlayerStatsSeason!$M$3:$M$996, 0),
  _xlpm.ftA, _xlfn.XLOOKUP($B56, PlayerStatsSeason!$B$3:$B$996, PlayerStatsSeason!$T$3:$T$996, 0),
  _xlpm.total, _xlpm.twoPA + _xlpm.threePA + _xlpm.ftA,
  _xlpm.val, IF(_xlpm.total = 0, "", _xlpm.threePA / _xlpm.total),
  _xlpm.val
)</f>
        <v>#NAME?</v>
      </c>
      <c r="K56" s="167" t="e">
        <f ca="1">_xlfn.LET(
  _xlpm.val, _xlfn.XLOOKUP(B56, PlayerStatsSeason!$B$3:$B$996, PlayerStatsSeason!$N$3:$N$996, ""),
  IF(OR(_xlpm.val=0, _xlpm.val=""), "", VALUE(_xlpm.val))
)</f>
        <v>#NAME?</v>
      </c>
      <c r="L56" s="166" t="e" cm="1">
        <f t="array" aca="1" ref="L56" ca="1">_xlfn.LET(
  _xlpm.val, _xlfn.XLOOKUP(B56, PlayerStatsSeason!$B$3:$B$996, PlayerStatsSeason!$M$3:$M$996, ""),
  IF(OR(_xlpm.val=0, _xlpm.val=""), "", VALUE(_xlpm.val))
)</f>
        <v>#NAME?</v>
      </c>
      <c r="M56" s="143" t="e">
        <f ca="1">_xlfn.LET(
  _xlpm.twoPA, _xlfn.XLOOKUP($B56, PlayerStatsSeason!$B$3:$B$996, PlayerStatsSeason!$P$3:$P$996, 0),
  _xlpm.threePA, _xlfn.XLOOKUP($B56, PlayerStatsSeason!$B$3:$B$996, PlayerStatsSeason!$M$3:$M$996, 0),
  _xlpm.ftA, _xlfn.XLOOKUP($B56, PlayerStatsSeason!$B$3:$B$996, PlayerStatsSeason!$T$3:$T$996, 0),
  _xlpm.total, _xlpm.twoPA + _xlpm.threePA + _xlpm.ftA,
  _xlpm.val, IF(_xlpm.total = 0, "", _xlpm.ftA / _xlpm.total),
  _xlpm.val
)</f>
        <v>#NAME?</v>
      </c>
      <c r="N56" s="143" t="e">
        <f ca="1">_xlfn.LET(
  _xlpm.val, _xlfn.XLOOKUP(B56, PlayerStatsSeason!$B$3:$B$996, PlayerStatsSeason!$U$3:$U$996, ""),
  IF(OR(_xlpm.val=0, _xlpm.val=""), "", VALUE(_xlpm.val))
)</f>
        <v>#NAME?</v>
      </c>
      <c r="O56" s="144" t="e">
        <f ca="1">_xlfn.LET(
  _xlpm.val, _xlfn.XLOOKUP(B56, PlayerStatsSeason!$B$3:$B$996, PlayerStatsSeason!$T$3:$T$996, ""),
  IF(OR(_xlpm.val=0, _xlpm.val=""), "", VALUE(_xlpm.val))
)</f>
        <v>#NAME?</v>
      </c>
      <c r="P56" s="141"/>
      <c r="Q56" s="141" cm="1">
        <f t="array" aca="1" ref="Q56" ca="1">MIN(IF(ISNA(MATCH(PlayerWorking!$T$5:OFFSET(PlayerWorking!$T$5,PlayerWorking!$O$5-1,0),Results!$Q$42:Q55,0)),PlayerWorking!$T$5:OFFSET(PlayerWorking!$T$5,PlayerWorking!$O$5-1,1)))</f>
        <v>0</v>
      </c>
      <c r="R56" s="170" t="e">
        <f t="shared" ca="1" si="5"/>
        <v>#NAME?</v>
      </c>
      <c r="S56" s="141"/>
      <c r="T56" s="154" t="e">
        <f ca="1">IF(D56&gt;0,IFERROR(2*_xlfn.BINOM.INV(_xlfn.BINOM.INV(F56,G56,RAND()),H56,RAND())+ 3*_xlfn.BINOM.INV(_xlfn.BINOM.INV(F56,J56,RAND()),K56,RAND())+ _xlfn.BINOM.INV(_xlfn.BINOM.INV(F56,M56,RAND()),N56,RAND()),ROUND((F56/E56)*_xlfn.XLOOKUP(B56,PlayerStatsSeason!B47:B1040,PlayerStatsSeason!AD47:AD1040),0)),0)</f>
        <v>#NAME?</v>
      </c>
      <c r="U56" s="9"/>
    </row>
    <row r="57" spans="1:23" ht="15.75" x14ac:dyDescent="0.25">
      <c r="A57" s="146" t="s">
        <v>3155</v>
      </c>
      <c r="B57" s="141" t="str">
        <f ca="1">IFERROR(IF(_xlfn.XLOOKUP(Q57,PlayerWorking!$T$5:$T$31,PlayerWorking!$U$5:$U$31)=0, "", _xlfn.XLOOKUP(Q57,PlayerWorking!$T$5:$T$31,PlayerWorking!$U$5:$U$31)), "")</f>
        <v/>
      </c>
      <c r="C57" s="142" t="e">
        <f ca="1">_xlfn.XLOOKUP(B57,PlayerStatsSeason!$B$3:$B$996,PlayerStatsSeason!$H$3:$H$996)</f>
        <v>#NAME?</v>
      </c>
      <c r="D57" s="145" t="e">
        <f ca="1">IF(Q57&lt;=5,C57,C57/SUM(PlayerWorking!$J$10:$J$27)*(240-SUM(PlayerWorking!$J$5:$J$9)))</f>
        <v>#NAME?</v>
      </c>
      <c r="E57" s="145" t="e">
        <f ca="1">IF(D57&gt;0,_xlfn.XLOOKUP(B57,PlayerStatsSeason!$B$3:$B$996,PlayerStatsSeason!$J$3:$J$996)+_xlfn.XLOOKUP(B57,PlayerStatsSeason!$B$3:$B$996,PlayerStatsSeason!$T$3:$T$996))</f>
        <v>#NAME?</v>
      </c>
      <c r="F57" s="145" t="e">
        <f t="shared" ref="F57:F58" ca="1" si="8">((0.0182*(D57)^2-0.1186*(D57)+2.3528)/(0.0182*(C57)^2-0.1186*(C57)+2.3528))*E57</f>
        <v>#NAME?</v>
      </c>
      <c r="G57" s="143" t="e">
        <f ca="1">_xlfn.LET(
  _xlpm.twoPA, _xlfn.XLOOKUP($B57, PlayerStatsSeason!$B$3:$B$996, PlayerStatsSeason!$P$3:$P$996, 0),
  _xlpm.threePA, _xlfn.XLOOKUP($B57, PlayerStatsSeason!$B$3:$B$996, PlayerStatsSeason!$M$3:$M$996, 0),
  _xlpm.ftA, _xlfn.XLOOKUP($B57, PlayerStatsSeason!$B$3:$B$996, PlayerStatsSeason!$T$3:$T$996, 0),
  _xlpm.total, _xlpm.twoPA + _xlpm.threePA + _xlpm.ftA,
  _xlpm.val, IF(_xlpm.total = 0, "", _xlpm.twoPA / _xlpm.total),
  _xlpm.val
)</f>
        <v>#NAME?</v>
      </c>
      <c r="H57" s="143" t="e">
        <f ca="1">_xlfn.LET(
  _xlpm.val, _xlfn.XLOOKUP(B57, PlayerStatsSeason!$B$3:$B$996, PlayerStatsSeason!$Q$3:$Q$996, ""),
  IF(OR(_xlpm.val=0, _xlpm.val=""), "", VALUE(_xlpm.val))
)</f>
        <v>#NAME?</v>
      </c>
      <c r="I57" s="144" t="e">
        <f ca="1">_xlfn.LET(
  _xlpm.val, _xlfn.XLOOKUP(B57, PlayerStatsSeason!$B$3:$B$996, PlayerStatsSeason!$P$3:$P$996, ""),
  IF(OR(_xlpm.val=0, _xlpm.val=""), "", VALUE(_xlpm.val))
)</f>
        <v>#NAME?</v>
      </c>
      <c r="J57" s="143" t="e">
        <f ca="1">_xlfn.LET(
  _xlpm.twoPA, _xlfn.XLOOKUP($B57, PlayerStatsSeason!$B$3:$B$996, PlayerStatsSeason!$P$3:$P$996, 0),
  _xlpm.threePA, _xlfn.XLOOKUP($B57, PlayerStatsSeason!$B$3:$B$996, PlayerStatsSeason!$M$3:$M$996, 0),
  _xlpm.ftA, _xlfn.XLOOKUP($B57, PlayerStatsSeason!$B$3:$B$996, PlayerStatsSeason!$T$3:$T$996, 0),
  _xlpm.total, _xlpm.twoPA + _xlpm.threePA + _xlpm.ftA,
  _xlpm.val, IF(_xlpm.total = 0, "", _xlpm.threePA / _xlpm.total),
  _xlpm.val
)</f>
        <v>#NAME?</v>
      </c>
      <c r="K57" s="167" t="e">
        <f ca="1">_xlfn.LET(
  _xlpm.val, _xlfn.XLOOKUP(B57, PlayerStatsSeason!$B$3:$B$996, PlayerStatsSeason!$N$3:$N$996, ""),
  IF(OR(_xlpm.val=0, _xlpm.val=""), "", VALUE(_xlpm.val))
)</f>
        <v>#NAME?</v>
      </c>
      <c r="L57" s="166" t="e" cm="1">
        <f t="array" aca="1" ref="L57" ca="1">_xlfn.LET(
  _xlpm.val, _xlfn.XLOOKUP(B57, PlayerStatsSeason!$B$3:$B$996, PlayerStatsSeason!$M$3:$M$996, ""),
  IF(OR(_xlpm.val=0, _xlpm.val=""), "", VALUE(_xlpm.val))
)</f>
        <v>#NAME?</v>
      </c>
      <c r="M57" s="143" t="e">
        <f ca="1">_xlfn.LET(
  _xlpm.twoPA, _xlfn.XLOOKUP($B57, PlayerStatsSeason!$B$3:$B$996, PlayerStatsSeason!$P$3:$P$996, 0),
  _xlpm.threePA, _xlfn.XLOOKUP($B57, PlayerStatsSeason!$B$3:$B$996, PlayerStatsSeason!$M$3:$M$996, 0),
  _xlpm.ftA, _xlfn.XLOOKUP($B57, PlayerStatsSeason!$B$3:$B$996, PlayerStatsSeason!$T$3:$T$996, 0),
  _xlpm.total, _xlpm.twoPA + _xlpm.threePA + _xlpm.ftA,
  _xlpm.val, IF(_xlpm.total = 0, "", _xlpm.ftA / _xlpm.total),
  _xlpm.val
)</f>
        <v>#NAME?</v>
      </c>
      <c r="N57" s="143" t="e">
        <f ca="1">_xlfn.LET(
  _xlpm.val, _xlfn.XLOOKUP(B57, PlayerStatsSeason!$B$3:$B$996, PlayerStatsSeason!$U$3:$U$996, ""),
  IF(OR(_xlpm.val=0, _xlpm.val=""), "", VALUE(_xlpm.val))
)</f>
        <v>#NAME?</v>
      </c>
      <c r="O57" s="144" t="e">
        <f ca="1">_xlfn.LET(
  _xlpm.val, _xlfn.XLOOKUP(B57, PlayerStatsSeason!$B$3:$B$996, PlayerStatsSeason!$T$3:$T$996, ""),
  IF(OR(_xlpm.val=0, _xlpm.val=""), "", VALUE(_xlpm.val))
)</f>
        <v>#NAME?</v>
      </c>
      <c r="P57" s="141"/>
      <c r="Q57" s="141" cm="1">
        <f t="array" aca="1" ref="Q57" ca="1">MIN(IF(ISNA(MATCH(PlayerWorking!$T$5:OFFSET(PlayerWorking!$T$5,PlayerWorking!$O$5-1,0),Results!$Q$42:Q56,0)),PlayerWorking!$T$5:OFFSET(PlayerWorking!$T$5,PlayerWorking!$O$5-1,1)))</f>
        <v>0</v>
      </c>
      <c r="R57" s="170" t="e">
        <f t="shared" ca="1" si="5"/>
        <v>#NAME?</v>
      </c>
      <c r="S57" s="141"/>
      <c r="T57" s="154" t="e">
        <f ca="1">IF(D57&gt;0,IFERROR(2*_xlfn.BINOM.INV(_xlfn.BINOM.INV(F57,G57,RAND()),H57,RAND())+ 3*_xlfn.BINOM.INV(_xlfn.BINOM.INV(F57,J57,RAND()),K57,RAND())+ _xlfn.BINOM.INV(_xlfn.BINOM.INV(F57,M57,RAND()),N57,RAND()),ROUND((F57/E57)*_xlfn.XLOOKUP(B57,PlayerStatsSeason!B48:B1041,PlayerStatsSeason!AD48:AD1041),0)),0)</f>
        <v>#NAME?</v>
      </c>
      <c r="U57" s="9"/>
    </row>
    <row r="58" spans="1:23" ht="15.75" x14ac:dyDescent="0.25">
      <c r="A58" s="146" t="s">
        <v>3156</v>
      </c>
      <c r="B58" s="141" t="str">
        <f ca="1">IFERROR(IF(_xlfn.XLOOKUP(Q58,PlayerWorking!$T$5:$T$31,PlayerWorking!$U$5:$U$31)=0, "", _xlfn.XLOOKUP(Q58,PlayerWorking!$T$5:$T$31,PlayerWorking!$U$5:$U$31)), "")</f>
        <v/>
      </c>
      <c r="C58" s="142" t="e">
        <f ca="1">_xlfn.XLOOKUP(B58,PlayerStatsSeason!$B$3:$B$996,PlayerStatsSeason!$H$3:$H$996)</f>
        <v>#NAME?</v>
      </c>
      <c r="D58" s="145" t="e">
        <f ca="1">IF(Q58&lt;=5,C58,C58/SUM(PlayerWorking!$J$10:$J$27)*(240-SUM(PlayerWorking!$J$5:$J$9)))</f>
        <v>#NAME?</v>
      </c>
      <c r="E58" s="145" t="e">
        <f ca="1">IF(D58&gt;0,_xlfn.XLOOKUP(B58,PlayerStatsSeason!$B$3:$B$996,PlayerStatsSeason!$J$3:$J$996)+_xlfn.XLOOKUP(B58,PlayerStatsSeason!$B$3:$B$996,PlayerStatsSeason!$T$3:$T$996))</f>
        <v>#NAME?</v>
      </c>
      <c r="F58" s="145" t="e">
        <f t="shared" ca="1" si="8"/>
        <v>#NAME?</v>
      </c>
      <c r="G58" s="143" t="e">
        <f ca="1">_xlfn.LET(
  _xlpm.twoPA, _xlfn.XLOOKUP($B58, PlayerStatsSeason!$B$3:$B$996, PlayerStatsSeason!$P$3:$P$996, 0),
  _xlpm.threePA, _xlfn.XLOOKUP($B58, PlayerStatsSeason!$B$3:$B$996, PlayerStatsSeason!$M$3:$M$996, 0),
  _xlpm.ftA, _xlfn.XLOOKUP($B58, PlayerStatsSeason!$B$3:$B$996, PlayerStatsSeason!$T$3:$T$996, 0),
  _xlpm.total, _xlpm.twoPA + _xlpm.threePA + _xlpm.ftA,
  _xlpm.val, IF(_xlpm.total = 0, "", _xlpm.twoPA / _xlpm.total),
  _xlpm.val
)</f>
        <v>#NAME?</v>
      </c>
      <c r="H58" s="143" t="e">
        <f ca="1">_xlfn.LET(
  _xlpm.val, _xlfn.XLOOKUP(B58, PlayerStatsSeason!$B$3:$B$996, PlayerStatsSeason!$Q$3:$Q$996, ""),
  IF(OR(_xlpm.val=0, _xlpm.val=""), "", VALUE(_xlpm.val))
)</f>
        <v>#NAME?</v>
      </c>
      <c r="I58" s="144" t="e">
        <f ca="1">_xlfn.LET(
  _xlpm.val, _xlfn.XLOOKUP(B58, PlayerStatsSeason!$B$3:$B$996, PlayerStatsSeason!$P$3:$P$996, ""),
  IF(OR(_xlpm.val=0, _xlpm.val=""), "", VALUE(_xlpm.val))
)</f>
        <v>#NAME?</v>
      </c>
      <c r="J58" s="143" t="e">
        <f ca="1">_xlfn.LET(
  _xlpm.twoPA, _xlfn.XLOOKUP($B58, PlayerStatsSeason!$B$3:$B$996, PlayerStatsSeason!$P$3:$P$996, 0),
  _xlpm.threePA, _xlfn.XLOOKUP($B58, PlayerStatsSeason!$B$3:$B$996, PlayerStatsSeason!$M$3:$M$996, 0),
  _xlpm.ftA, _xlfn.XLOOKUP($B58, PlayerStatsSeason!$B$3:$B$996, PlayerStatsSeason!$T$3:$T$996, 0),
  _xlpm.total, _xlpm.twoPA + _xlpm.threePA + _xlpm.ftA,
  _xlpm.val, IF(_xlpm.total = 0, "", _xlpm.threePA / _xlpm.total),
  _xlpm.val
)</f>
        <v>#NAME?</v>
      </c>
      <c r="K58" s="167" t="e">
        <f ca="1">_xlfn.LET(
  _xlpm.val, _xlfn.XLOOKUP(B58, PlayerStatsSeason!$B$3:$B$996, PlayerStatsSeason!$N$3:$N$996, ""),
  IF(OR(_xlpm.val=0, _xlpm.val=""), "", VALUE(_xlpm.val))
)</f>
        <v>#NAME?</v>
      </c>
      <c r="L58" s="166" t="e" cm="1">
        <f t="array" aca="1" ref="L58" ca="1">_xlfn.LET(
  _xlpm.val, _xlfn.XLOOKUP(B58, PlayerStatsSeason!$B$3:$B$996, PlayerStatsSeason!$M$3:$M$996, ""),
  IF(OR(_xlpm.val=0, _xlpm.val=""), "", VALUE(_xlpm.val))
)</f>
        <v>#NAME?</v>
      </c>
      <c r="M58" s="143" t="e">
        <f ca="1">_xlfn.LET(
  _xlpm.twoPA, _xlfn.XLOOKUP($B58, PlayerStatsSeason!$B$3:$B$996, PlayerStatsSeason!$P$3:$P$996, 0),
  _xlpm.threePA, _xlfn.XLOOKUP($B58, PlayerStatsSeason!$B$3:$B$996, PlayerStatsSeason!$M$3:$M$996, 0),
  _xlpm.ftA, _xlfn.XLOOKUP($B58, PlayerStatsSeason!$B$3:$B$996, PlayerStatsSeason!$T$3:$T$996, 0),
  _xlpm.total, _xlpm.twoPA + _xlpm.threePA + _xlpm.ftA,
  _xlpm.val, IF(_xlpm.total = 0, "", _xlpm.ftA / _xlpm.total),
  _xlpm.val
)</f>
        <v>#NAME?</v>
      </c>
      <c r="N58" s="143" t="e">
        <f ca="1">_xlfn.LET(
  _xlpm.val, _xlfn.XLOOKUP(B58, PlayerStatsSeason!$B$3:$B$996, PlayerStatsSeason!$U$3:$U$996, ""),
  IF(OR(_xlpm.val=0, _xlpm.val=""), "", VALUE(_xlpm.val))
)</f>
        <v>#NAME?</v>
      </c>
      <c r="O58" s="144" t="e">
        <f ca="1">_xlfn.LET(
  _xlpm.val, _xlfn.XLOOKUP(B58, PlayerStatsSeason!$B$3:$B$996, PlayerStatsSeason!$T$3:$T$996, ""),
  IF(OR(_xlpm.val=0, _xlpm.val=""), "", VALUE(_xlpm.val))
)</f>
        <v>#NAME?</v>
      </c>
      <c r="P58" s="141"/>
      <c r="Q58" s="141" cm="1">
        <f t="array" aca="1" ref="Q58" ca="1">MIN(IF(ISNA(MATCH(PlayerWorking!$T$5:OFFSET(PlayerWorking!$T$5,PlayerWorking!$O$5-1,0),Results!$Q$42:Q57,0)),PlayerWorking!$T$5:OFFSET(PlayerWorking!$T$5,PlayerWorking!$O$5-1,1)))</f>
        <v>0</v>
      </c>
      <c r="R58" s="170" t="e">
        <f t="shared" ca="1" si="5"/>
        <v>#NAME?</v>
      </c>
      <c r="S58" s="141"/>
      <c r="T58" s="154" t="e">
        <f ca="1">IF(D58&gt;0,IFERROR(2*_xlfn.BINOM.INV(_xlfn.BINOM.INV(F58,G58,RAND()),H58,RAND())+ 3*_xlfn.BINOM.INV(_xlfn.BINOM.INV(F58,J58,RAND()),K58,RAND())+ _xlfn.BINOM.INV(_xlfn.BINOM.INV(F58,M58,RAND()),N58,RAND()),ROUND((F58/E58)*_xlfn.XLOOKUP(B58,PlayerStatsSeason!B49:B1042,PlayerStatsSeason!AD49:AD1042),0)),0)</f>
        <v>#NAME?</v>
      </c>
      <c r="U58" s="9"/>
    </row>
    <row r="59" spans="1:23" ht="15.75" x14ac:dyDescent="0.25">
      <c r="A59" s="146" t="s">
        <v>3157</v>
      </c>
      <c r="B59" s="141" t="str">
        <f ca="1">IFERROR(IF(_xlfn.XLOOKUP(Q59,PlayerWorking!$T$5:$T$31,PlayerWorking!$U$5:$U$31)=0, "", _xlfn.XLOOKUP(Q59,PlayerWorking!$T$5:$T$31,PlayerWorking!$U$5:$U$31)), "")</f>
        <v/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 cm="1">
        <f t="array" aca="1" ref="Q59" ca="1">MIN(IF(ISNA(MATCH(PlayerWorking!$T$5:OFFSET(PlayerWorking!$T$5,PlayerWorking!$O$5-1,0),Results!$Q$42:Q58,0)),PlayerWorking!$T$5:OFFSET(PlayerWorking!$T$5,PlayerWorking!$O$5-1,1)))</f>
        <v>0</v>
      </c>
      <c r="R59" s="170">
        <f t="shared" ref="R59:R66" si="9">IF(D59&gt;0,ROUND(((L59 * K59 * 3) + (I59 * H59 * 2) + (O59 * N59)) * (C59 / 32), 1),0)</f>
        <v>0</v>
      </c>
      <c r="S59" s="141"/>
      <c r="T59" s="154">
        <f ca="1">IF(D59&gt;0,IFERROR(2*_xlfn.BINOM.INV(_xlfn.BINOM.INV(F59,G59,RAND()),H59,RAND())+ 3*_xlfn.BINOM.INV(_xlfn.BINOM.INV(F59,J59,RAND()),K59,RAND())+ _xlfn.BINOM.INV(_xlfn.BINOM.INV(F59,M59,RAND()),N59,RAND()),ROUND((F59/E59)*_xlfn.XLOOKUP(B59,PlayerStatsSeason!B50:B1043,PlayerStatsSeason!AD50:AD1043),0)),0)</f>
        <v>0</v>
      </c>
      <c r="U59" s="9"/>
    </row>
    <row r="60" spans="1:23" ht="15.75" x14ac:dyDescent="0.25">
      <c r="A60" s="146" t="s">
        <v>3158</v>
      </c>
      <c r="B60" s="141" t="str">
        <f ca="1">IFERROR(IF(_xlfn.XLOOKUP(Q60,PlayerWorking!$T$5:$T$31,PlayerWorking!$U$5:$U$31)=0, "", _xlfn.XLOOKUP(Q60,PlayerWorking!$T$5:$T$31,PlayerWorking!$U$5:$U$31)), "")</f>
        <v/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 cm="1">
        <f t="array" aca="1" ref="Q60" ca="1">MIN(IF(ISNA(MATCH(PlayerWorking!$T$5:OFFSET(PlayerWorking!$T$5,PlayerWorking!$O$5-1,0),Results!$Q$42:Q59,0)),PlayerWorking!$T$5:OFFSET(PlayerWorking!$T$5,PlayerWorking!$O$5-1,1)))</f>
        <v>0</v>
      </c>
      <c r="R60" s="170">
        <f t="shared" si="9"/>
        <v>0</v>
      </c>
      <c r="S60" s="141"/>
      <c r="T60" s="154">
        <f ca="1">IF(D60&gt;0,IFERROR(2*_xlfn.BINOM.INV(_xlfn.BINOM.INV(F60,G60,RAND()),H60,RAND())+ 3*_xlfn.BINOM.INV(_xlfn.BINOM.INV(F60,J60,RAND()),K60,RAND())+ _xlfn.BINOM.INV(_xlfn.BINOM.INV(F60,M60,RAND()),N60,RAND()),ROUND((F60/E60)*_xlfn.XLOOKUP(B60,PlayerStatsSeason!B51:B1044,PlayerStatsSeason!AD51:AD1044),0)),0)</f>
        <v>0</v>
      </c>
      <c r="U60" s="9"/>
    </row>
    <row r="61" spans="1:23" ht="15.75" x14ac:dyDescent="0.25">
      <c r="A61" s="146" t="s">
        <v>3159</v>
      </c>
      <c r="B61" s="141" t="str">
        <f ca="1">IFERROR(IF(_xlfn.XLOOKUP(Q61,PlayerWorking!$T$5:$T$31,PlayerWorking!$U$5:$U$31)=0, "", _xlfn.XLOOKUP(Q61,PlayerWorking!$T$5:$T$31,PlayerWorking!$U$5:$U$31)), "")</f>
        <v/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 cm="1">
        <f t="array" aca="1" ref="Q61" ca="1">MIN(IF(ISNA(MATCH(PlayerWorking!$T$5:OFFSET(PlayerWorking!$T$5,PlayerWorking!$O$5-1,0),Results!$Q$42:Q60,0)),PlayerWorking!$T$5:OFFSET(PlayerWorking!$T$5,PlayerWorking!$O$5-1,1)))</f>
        <v>0</v>
      </c>
      <c r="R61" s="170">
        <f t="shared" si="9"/>
        <v>0</v>
      </c>
      <c r="S61" s="141"/>
      <c r="T61" s="154">
        <f ca="1">IF(D61&gt;0,IFERROR(2*_xlfn.BINOM.INV(_xlfn.BINOM.INV(F61,G61,RAND()),H61,RAND())+ 3*_xlfn.BINOM.INV(_xlfn.BINOM.INV(F61,J61,RAND()),K61,RAND())+ _xlfn.BINOM.INV(_xlfn.BINOM.INV(F61,M61,RAND()),N61,RAND()),ROUND((F61/E61)*_xlfn.XLOOKUP(B61,PlayerStatsSeason!B52:B1045,PlayerStatsSeason!AD52:AD1045),0)),0)</f>
        <v>0</v>
      </c>
      <c r="U61" s="9"/>
    </row>
    <row r="62" spans="1:23" ht="15.75" x14ac:dyDescent="0.25">
      <c r="A62" s="146" t="s">
        <v>3160</v>
      </c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 cm="1">
        <f t="array" aca="1" ref="Q62" ca="1">MIN(IF(ISNA(MATCH(PlayerWorking!$T$5:OFFSET(PlayerWorking!$T$5,PlayerWorking!$O$5-1,0),Results!$Q$42:Q61,0)),PlayerWorking!$T$5:OFFSET(PlayerWorking!$T$5,PlayerWorking!$O$5-1,1)))</f>
        <v>0</v>
      </c>
      <c r="R62" s="170">
        <f t="shared" si="9"/>
        <v>0</v>
      </c>
      <c r="S62" s="141"/>
      <c r="T62" s="154">
        <f ca="1">IF(D62&gt;0,IFERROR(2*_xlfn.BINOM.INV(_xlfn.BINOM.INV(F62,G62,RAND()),H62,RAND())+ 3*_xlfn.BINOM.INV(_xlfn.BINOM.INV(F62,J62,RAND()),K62,RAND())+ _xlfn.BINOM.INV(_xlfn.BINOM.INV(F62,M62,RAND()),N62,RAND()),ROUND((F62/E62)*_xlfn.XLOOKUP(B62,PlayerStatsSeason!B53:B1046,PlayerStatsSeason!AD53:AD1046),0)),0)</f>
        <v>0</v>
      </c>
      <c r="U62" s="9"/>
    </row>
    <row r="63" spans="1:23" ht="15.75" x14ac:dyDescent="0.25">
      <c r="A63" s="146" t="s">
        <v>3161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 cm="1">
        <f t="array" aca="1" ref="Q63" ca="1">MIN(IF(ISNA(MATCH(PlayerWorking!$T$5:OFFSET(PlayerWorking!$T$5,PlayerWorking!$O$5-1,0),Results!$Q$42:Q62,0)),PlayerWorking!$T$5:OFFSET(PlayerWorking!$T$5,PlayerWorking!$O$5-1,1)))</f>
        <v>0</v>
      </c>
      <c r="R63" s="170">
        <f t="shared" si="9"/>
        <v>0</v>
      </c>
      <c r="S63" s="141"/>
      <c r="T63" s="154">
        <f ca="1">IF(D63&gt;0,IFERROR(2*_xlfn.BINOM.INV(_xlfn.BINOM.INV(F63,G63,RAND()),H63,RAND())+ 3*_xlfn.BINOM.INV(_xlfn.BINOM.INV(F63,J63,RAND()),K63,RAND())+ _xlfn.BINOM.INV(_xlfn.BINOM.INV(F63,M63,RAND()),N63,RAND()),ROUND((F63/E63)*_xlfn.XLOOKUP(B63,PlayerStatsSeason!B54:B1047,PlayerStatsSeason!AD54:AD1047),0)),0)</f>
        <v>0</v>
      </c>
      <c r="U63" s="9"/>
    </row>
    <row r="64" spans="1:23" ht="15.75" x14ac:dyDescent="0.25">
      <c r="A64" s="146" t="s">
        <v>3162</v>
      </c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 cm="1">
        <f t="array" aca="1" ref="Q64" ca="1">MIN(IF(ISNA(MATCH(PlayerWorking!$T$5:OFFSET(PlayerWorking!$T$5,PlayerWorking!$O$5-1,0),Results!$Q$42:Q63,0)),PlayerWorking!$T$5:OFFSET(PlayerWorking!$T$5,PlayerWorking!$O$5-1,1)))</f>
        <v>0</v>
      </c>
      <c r="R64" s="170">
        <f t="shared" si="9"/>
        <v>0</v>
      </c>
      <c r="S64" s="141"/>
      <c r="T64" s="154">
        <f ca="1">IF(D64&gt;0,IFERROR(2*_xlfn.BINOM.INV(_xlfn.BINOM.INV(F64,G64,RAND()),H64,RAND())+ 3*_xlfn.BINOM.INV(_xlfn.BINOM.INV(F64,J64,RAND()),K64,RAND())+ _xlfn.BINOM.INV(_xlfn.BINOM.INV(F64,M64,RAND()),N64,RAND()),ROUND((F64/E64)*_xlfn.XLOOKUP(B64,PlayerStatsSeason!B55:B1048,PlayerStatsSeason!AD55:AD1048),0)),0)</f>
        <v>0</v>
      </c>
      <c r="U64" s="9"/>
    </row>
    <row r="65" spans="1:21" ht="15.75" x14ac:dyDescent="0.25">
      <c r="A65" s="146" t="s">
        <v>3163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 cm="1">
        <f t="array" aca="1" ref="Q65" ca="1">MIN(IF(ISNA(MATCH(PlayerWorking!$T$5:OFFSET(PlayerWorking!$T$5,PlayerWorking!$O$5-1,0),Results!$Q$42:Q64,0)),PlayerWorking!$T$5:OFFSET(PlayerWorking!$T$5,PlayerWorking!$O$5-1,1)))</f>
        <v>0</v>
      </c>
      <c r="R65" s="170">
        <f t="shared" si="9"/>
        <v>0</v>
      </c>
      <c r="S65" s="141"/>
      <c r="T65" s="154">
        <f ca="1">IF(D65&gt;0,IFERROR(2*_xlfn.BINOM.INV(_xlfn.BINOM.INV(F65,G65,RAND()),H65,RAND())+ 3*_xlfn.BINOM.INV(_xlfn.BINOM.INV(F65,J65,RAND()),K65,RAND())+ _xlfn.BINOM.INV(_xlfn.BINOM.INV(F65,M65,RAND()),N65,RAND()),ROUND((F65/E65)*_xlfn.XLOOKUP(B65,PlayerStatsSeason!B56:B1049,PlayerStatsSeason!AD56:AD1049),0)),0)</f>
        <v>0</v>
      </c>
      <c r="U65" s="9"/>
    </row>
    <row r="66" spans="1:21" ht="15.75" x14ac:dyDescent="0.25">
      <c r="A66" s="147" t="s">
        <v>3164</v>
      </c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 cm="1">
        <f t="array" aca="1" ref="Q66" ca="1">MIN(IF(ISNA(MATCH(PlayerWorking!$T$5:OFFSET(PlayerWorking!$T$5,PlayerWorking!$O$5-1,0),Results!$Q$42:Q65,0)),PlayerWorking!$T$5:OFFSET(PlayerWorking!$T$5,PlayerWorking!$O$5-1,1)))</f>
        <v>0</v>
      </c>
      <c r="R66" s="170">
        <f t="shared" si="9"/>
        <v>0</v>
      </c>
      <c r="S66" s="148"/>
      <c r="T66" s="155">
        <f ca="1">IF(D66&gt;0,IFERROR(2*_xlfn.BINOM.INV(_xlfn.BINOM.INV(F66,G66,RAND()),H66,RAND())+ 3*_xlfn.BINOM.INV(_xlfn.BINOM.INV(F66,J66,RAND()),K66,RAND())+ _xlfn.BINOM.INV(_xlfn.BINOM.INV(F66,M66,RAND()),N66,RAND()),ROUND((F66/E66)*_xlfn.XLOOKUP(B66,PlayerStatsSeason!B57:B1050,PlayerStatsSeason!AD57:AD1050),0)),0)</f>
        <v>0</v>
      </c>
      <c r="U66" s="9"/>
    </row>
    <row r="67" spans="1:21" x14ac:dyDescent="0.25">
      <c r="T67" s="9" t="e">
        <f ca="1">SUM(T42:T66)</f>
        <v>#NAME?</v>
      </c>
      <c r="U67" s="9"/>
    </row>
    <row r="74" spans="1:21" ht="33.75" x14ac:dyDescent="0.5">
      <c r="B74" s="200" t="s">
        <v>3130</v>
      </c>
      <c r="C74" s="201"/>
      <c r="D74" s="202"/>
      <c r="E74" s="212" t="s">
        <v>658</v>
      </c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4"/>
      <c r="R74" s="208"/>
      <c r="S74" s="208"/>
      <c r="T74" s="209"/>
      <c r="U74" s="183"/>
    </row>
    <row r="75" spans="1:21" ht="18.75" customHeight="1" x14ac:dyDescent="0.5">
      <c r="B75" s="203"/>
      <c r="C75" s="204"/>
      <c r="D75" s="205"/>
      <c r="E75" s="215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7"/>
      <c r="R75" s="210"/>
      <c r="S75" s="210"/>
      <c r="T75" s="211"/>
      <c r="U75" s="183"/>
    </row>
    <row r="77" spans="1:21" ht="33.75" x14ac:dyDescent="0.5">
      <c r="B77" s="200" t="s">
        <v>3131</v>
      </c>
      <c r="C77" s="201"/>
      <c r="D77" s="202"/>
      <c r="E77" s="212" t="s">
        <v>535</v>
      </c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4"/>
      <c r="R77" s="208"/>
      <c r="S77" s="208"/>
      <c r="T77" s="209"/>
      <c r="U77" s="183"/>
    </row>
    <row r="78" spans="1:21" ht="33.75" x14ac:dyDescent="0.5">
      <c r="B78" s="203"/>
      <c r="C78" s="204"/>
      <c r="D78" s="205"/>
      <c r="E78" s="215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7"/>
      <c r="R78" s="210"/>
      <c r="S78" s="210"/>
      <c r="T78" s="211"/>
      <c r="U78" s="183"/>
    </row>
    <row r="81" spans="1:23" ht="33.75" x14ac:dyDescent="0.5">
      <c r="B81" s="206" t="str">
        <f>E74</f>
        <v>Minnesota Timberwolves</v>
      </c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184"/>
      <c r="V81" s="156"/>
      <c r="W81" s="156"/>
    </row>
    <row r="82" spans="1:23" ht="33.75" x14ac:dyDescent="0.5"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</row>
    <row r="83" spans="1:23" ht="18.75" x14ac:dyDescent="0.3">
      <c r="A83" s="157"/>
      <c r="B83" s="158" t="s">
        <v>171</v>
      </c>
      <c r="C83" s="158" t="s">
        <v>878</v>
      </c>
      <c r="D83" s="158" t="s">
        <v>3132</v>
      </c>
      <c r="E83" s="158" t="s">
        <v>3133</v>
      </c>
      <c r="F83" s="158" t="s">
        <v>3134</v>
      </c>
      <c r="G83" s="159" t="s">
        <v>3135</v>
      </c>
      <c r="H83" s="158" t="s">
        <v>887</v>
      </c>
      <c r="I83" s="158" t="s">
        <v>3136</v>
      </c>
      <c r="J83" s="159" t="s">
        <v>3137</v>
      </c>
      <c r="K83" s="158" t="s">
        <v>884</v>
      </c>
      <c r="L83" s="158" t="s">
        <v>3138</v>
      </c>
      <c r="M83" s="159" t="s">
        <v>3139</v>
      </c>
      <c r="N83" s="158" t="s">
        <v>891</v>
      </c>
      <c r="O83" s="158" t="s">
        <v>3140</v>
      </c>
      <c r="P83" s="158" t="s">
        <v>899</v>
      </c>
      <c r="Q83" s="158" t="s">
        <v>3142</v>
      </c>
      <c r="R83" s="158" t="s">
        <v>872</v>
      </c>
      <c r="S83" s="158" t="s">
        <v>873</v>
      </c>
      <c r="T83" s="160" t="s">
        <v>3143</v>
      </c>
      <c r="U83" s="185" t="s">
        <v>3144</v>
      </c>
      <c r="V83" s="180" t="s">
        <v>872</v>
      </c>
      <c r="W83" s="182" t="s">
        <v>3143</v>
      </c>
    </row>
    <row r="84" spans="1:23" ht="15.75" x14ac:dyDescent="0.25">
      <c r="A84" s="169" t="s">
        <v>56</v>
      </c>
      <c r="B84" s="170" t="e">
        <f ca="1">_xlfn.XLOOKUP(A84,PlayerWorking!$K$5:$K$31,PlayerWorking!$I$5:$I$31)</f>
        <v>#NAME?</v>
      </c>
      <c r="C84" s="171" t="e">
        <f ca="1">_xlfn.XLOOKUP(B84,PlayerStatsSeason!$B$3:$B$996,PlayerStatsSeason!$H$3:$H$996)</f>
        <v>#NAME?</v>
      </c>
      <c r="D84" s="171" t="e">
        <f ca="1">IF(Q84&lt;=5,C84,C84/SUM(PlayerWorking!$J$10:$J$27)*(240-SUM(PlayerWorking!$J$5:$J$9)))</f>
        <v>#NAME?</v>
      </c>
      <c r="E84" s="171" t="e">
        <f ca="1">IF(D84&gt;0,_xlfn.XLOOKUP(B84,PlayerStatsSeason!$B$3:$B$996,PlayerStatsSeason!$J$3:$J$996)+_xlfn.XLOOKUP(B84,PlayerStatsSeason!$B$3:$B$996,PlayerStatsSeason!$T$3:$T$996))</f>
        <v>#NAME?</v>
      </c>
      <c r="F84" s="172" t="e">
        <f ca="1">((0.0182*(D84)^2-0.1186*(D84)+2.3528)/(0.0182*(C84)^2-0.1186*(C84)+2.3528))*E84</f>
        <v>#NAME?</v>
      </c>
      <c r="G84" s="173" t="e">
        <f ca="1">_xlfn.XLOOKUP($B84, PlayerStatsSeason!$B$3:$B$996, PlayerStatsSeason!$P$3:$P$996)/(_xlfn.XLOOKUP($B84, PlayerStatsSeason!$B$3:$B$996, PlayerStatsSeason!$P$3:$P$996)+_xlfn.XLOOKUP($B84, PlayerStatsSeason!$B$3:$B$996, PlayerStatsSeason!$M$3:$M$996)+_xlfn.XLOOKUP(B$12,PlayerStatsSeason!$B$3:$B$996,PlayerStatsSeason!$T$3:$T$996))</f>
        <v>#NAME?</v>
      </c>
      <c r="H84" s="173" t="e">
        <f ca="1">_xlfn.LET(_xlpm.val, _xlfn.XLOOKUP(B84, PlayerStatsSeason!$B$3:$B$996, PlayerStatsSeason!$Q$3:$Q$996, ""),
  IF(OR(_xlpm.val=0, _xlpm.val=""), "", VALUE(_xlpm.val))
)</f>
        <v>#NAME?</v>
      </c>
      <c r="I84" s="174" t="e">
        <f ca="1">_xlfn.LET(
  _xlpm.val, _xlfn.XLOOKUP(B84, PlayerStatsSeason!$B$3:$B$996, PlayerStatsSeason!$P$3:$P$996, ""),
  IF(OR(_xlpm.val=0, _xlpm.val=""), "", VALUE(_xlpm.val))
)</f>
        <v>#NAME?</v>
      </c>
      <c r="J84" s="173" t="e">
        <f ca="1">_xlfn.XLOOKUP($B84, PlayerStatsSeason!$B$3:$B$996, PlayerStatsSeason!$M$3:$M$996)/(_xlfn.XLOOKUP($B84, PlayerStatsSeason!$B$3:$B$996, PlayerStatsSeason!$P$3:$P$996)+_xlfn.XLOOKUP($B84, PlayerStatsSeason!$B$3:$B$996, PlayerStatsSeason!$M$3:$M$996)+_xlfn.XLOOKUP(B$12,PlayerStatsSeason!$B$3:$B$996,PlayerStatsSeason!$T$3:$T$996))</f>
        <v>#NAME?</v>
      </c>
      <c r="K84" s="175" t="e">
        <f ca="1">_xlfn.LET(
  _xlpm.val, _xlfn.XLOOKUP(B84, PlayerStatsSeason!$B$3:$B$996, PlayerStatsSeason!$N$3:$N$996, ""),
  IF(OR(_xlpm.val=0, _xlpm.val=""), "", VALUE(_xlpm.val))
)</f>
        <v>#NAME?</v>
      </c>
      <c r="L84" s="174" t="e" cm="1">
        <f t="array" aca="1" ref="L84" ca="1">_xlfn.LET(
  _xlpm.val, _xlfn.XLOOKUP(B84, PlayerStatsSeason!$B$3:$B$996, PlayerStatsSeason!$M$3:$M$996, ""),
  IF(OR(_xlpm.val=0, _xlpm.val=""), "", VALUE(_xlpm.val))
)</f>
        <v>#NAME?</v>
      </c>
      <c r="M84" s="173" t="e">
        <f ca="1">_xlfn.XLOOKUP($B84, PlayerStatsSeason!$B$3:$B$996, PlayerStatsSeason!$T$3:$T$996)/(_xlfn.XLOOKUP($B84, PlayerStatsSeason!$B$3:$B$996, PlayerStatsSeason!$P$3:$P$996)+_xlfn.XLOOKUP($B84, PlayerStatsSeason!$B$3:$B$996, PlayerStatsSeason!$M$3:$M$996)+_xlfn.XLOOKUP(B$12,PlayerStatsSeason!$B$3:$B$996,PlayerStatsSeason!$T$3:$T$996))</f>
        <v>#NAME?</v>
      </c>
      <c r="N84" s="175" t="e">
        <f ca="1">_xlfn.LET(
  _xlpm.val, _xlfn.XLOOKUP(B84, PlayerStatsSeason!$B$3:$B$996, PlayerStatsSeason!$U$3:$U$996, ""),
  IF(OR(_xlpm.val=0, _xlpm.val=""), "", VALUE(_xlpm.val))
)</f>
        <v>#NAME?</v>
      </c>
      <c r="O84" s="174" t="e">
        <f ca="1">_xlfn.LET(
  _xlpm.val, _xlfn.XLOOKUP(B84, PlayerStatsSeason!$B$3:$B$996, PlayerStatsSeason!$T$3:$T$996, ""),
  IF(OR(_xlpm.val=0, _xlpm.val=""), "", VALUE(_xlpm.val))
)</f>
        <v>#NAME?</v>
      </c>
      <c r="P84" s="170"/>
      <c r="Q84" s="170" t="e">
        <f ca="1">_xlfn.RANK.EQ(_xlfn.XLOOKUP($B84,PlayerWorking!$I$5:$I$31,PlayerWorking!$J$5:$J$31),PlayerWorking!$J$5:$J$31)</f>
        <v>#NAME?</v>
      </c>
      <c r="R84" s="170" t="e">
        <f ca="1">IF(D84&gt;0,ROUND(((L84 * K84 * 3) + (I84 * H84 * 2) + (O84 * N84)) * (C84 / 32), 1),0)</f>
        <v>#NAME?</v>
      </c>
      <c r="S84" s="176" t="e">
        <f ca="1">ROUND(
   2 * _xlfn.BINOM.INV(ROUND(F84 * G84, 0), H84, RAND()) +
   3 * _xlfn.BINOM.INV(ROUND(F84 * I84, 0), J84, RAND()) +
       _xlfn.BINOM.INV(ROUND(F84 * K84, 0), L84, RAND()),
0)</f>
        <v>#NAME?</v>
      </c>
      <c r="T84" s="177" t="e">
        <f ca="1">IF(D84&gt;0,IFERROR(2*_xlfn.BINOM.INV(_xlfn.BINOM.INV(F84,G84,RAND()),H84,RAND())+ 3*_xlfn.BINOM.INV(_xlfn.BINOM.INV(F84,J84,RAND()),K84,RAND())+ _xlfn.BINOM.INV(_xlfn.BINOM.INV(F84,M84,RAND()),N84,RAND()),ROUND((F84/E84)*_xlfn.XLOOKUP(B84,PlayerStatsSeason!B75:B1068,PlayerStatsSeason!AD75:AD1068),0)),0)</f>
        <v>#NAME?</v>
      </c>
      <c r="U84" s="9">
        <v>18.5</v>
      </c>
      <c r="V84" t="e">
        <f ca="1">R84-U84</f>
        <v>#NAME?</v>
      </c>
      <c r="W84" t="e">
        <f ca="1">T84-U84</f>
        <v>#NAME?</v>
      </c>
    </row>
    <row r="85" spans="1:23" ht="15.75" x14ac:dyDescent="0.25">
      <c r="A85" s="146" t="s">
        <v>63</v>
      </c>
      <c r="B85" s="141" t="e">
        <f ca="1">_xlfn.XLOOKUP(A85,PlayerWorking!$K$5:$K$31,PlayerWorking!$I$5:$I$31)</f>
        <v>#NAME?</v>
      </c>
      <c r="C85" s="142" t="e">
        <f ca="1">_xlfn.XLOOKUP(B85,PlayerStatsSeason!$B$3:$B$996,PlayerStatsSeason!$H$3:$H$996)</f>
        <v>#NAME?</v>
      </c>
      <c r="D85" s="142" t="e">
        <f ca="1">IF(Q85&lt;=5,C85,C85/SUM(PlayerWorking!$J$10:$J$27)*(240-SUM(PlayerWorking!$J$5:$J$9)))</f>
        <v>#NAME?</v>
      </c>
      <c r="E85" s="142" t="e">
        <f ca="1">IF(D85&gt;0,_xlfn.XLOOKUP(B85,PlayerStatsSeason!$B$3:$B$996,PlayerStatsSeason!$J$3:$J$996)+_xlfn.XLOOKUP(B85,PlayerStatsSeason!$B$3:$B$996,PlayerStatsSeason!$T$3:$T$996))</f>
        <v>#NAME?</v>
      </c>
      <c r="F85" s="145" t="e">
        <f t="shared" ref="F85:F108" ca="1" si="10">((0.0182*(D85)^2-0.1186*(D85)+2.3528)/(0.0182*(C85)^2-0.1186*(C85)+2.3528))*E85</f>
        <v>#NAME?</v>
      </c>
      <c r="G85" s="149" t="e">
        <f ca="1">_xlfn.XLOOKUP($B85, PlayerStatsSeason!$B$3:$B$996, PlayerStatsSeason!$P$3:$P$996)/(_xlfn.XLOOKUP($B85, PlayerStatsSeason!$B$3:$B$996, PlayerStatsSeason!$P$3:$P$996)+_xlfn.XLOOKUP($B85, PlayerStatsSeason!$B$3:$B$996, PlayerStatsSeason!$M$3:$M$996)+_xlfn.XLOOKUP(B$12,PlayerStatsSeason!$B$3:$B$996,PlayerStatsSeason!$T$3:$T$996))</f>
        <v>#NAME?</v>
      </c>
      <c r="H85" s="149" t="e">
        <f ca="1">_xlfn.LET(_xlpm.val, _xlfn.XLOOKUP(B85, PlayerStatsSeason!$B$3:$B$996, PlayerStatsSeason!$Q$3:$Q$996, ""),
  IF(OR(_xlpm.val=0, _xlpm.val=""), "", VALUE(_xlpm.val))
)</f>
        <v>#NAME?</v>
      </c>
      <c r="I85" s="144" t="e">
        <f ca="1">_xlfn.LET(
  _xlpm.val, _xlfn.XLOOKUP(B85, PlayerStatsSeason!$B$3:$B$996, PlayerStatsSeason!$P$3:$P$996, ""),
  IF(OR(_xlpm.val=0, _xlpm.val=""), "", VALUE(_xlpm.val))
)</f>
        <v>#NAME?</v>
      </c>
      <c r="J85" s="149" t="e">
        <f ca="1">_xlfn.XLOOKUP($B85, PlayerStatsSeason!$B$3:$B$996, PlayerStatsSeason!$M$3:$M$996)/(_xlfn.XLOOKUP($B85, PlayerStatsSeason!$B$3:$B$996, PlayerStatsSeason!$P$3:$P$996)+_xlfn.XLOOKUP($B85, PlayerStatsSeason!$B$3:$B$996, PlayerStatsSeason!$M$3:$M$996)+_xlfn.XLOOKUP(B$12,PlayerStatsSeason!$B$3:$B$996,PlayerStatsSeason!$T$3:$T$996))</f>
        <v>#NAME?</v>
      </c>
      <c r="K85" s="143" t="e">
        <f ca="1">_xlfn.LET(
  _xlpm.val, _xlfn.XLOOKUP(B85, PlayerStatsSeason!$B$3:$B$996, PlayerStatsSeason!$N$3:$N$996, ""),
  IF(OR(_xlpm.val=0, _xlpm.val=""), "", VALUE(_xlpm.val))
)</f>
        <v>#NAME?</v>
      </c>
      <c r="L85" s="174" t="e" cm="1">
        <f t="array" aca="1" ref="L85" ca="1">_xlfn.LET(
  _xlpm.val, _xlfn.XLOOKUP(B85, PlayerStatsSeason!$B$3:$B$996, PlayerStatsSeason!$M$3:$M$996, ""),
  IF(OR(_xlpm.val=0, _xlpm.val=""), "", VALUE(_xlpm.val))
)</f>
        <v>#NAME?</v>
      </c>
      <c r="M85" s="149" t="e">
        <f ca="1">_xlfn.XLOOKUP($B85, PlayerStatsSeason!$B$3:$B$996, PlayerStatsSeason!$T$3:$T$996)/(_xlfn.XLOOKUP($B85, PlayerStatsSeason!$B$3:$B$996, PlayerStatsSeason!$P$3:$P$996)+_xlfn.XLOOKUP($B85, PlayerStatsSeason!$B$3:$B$996, PlayerStatsSeason!$M$3:$M$996)+_xlfn.XLOOKUP(B$12,PlayerStatsSeason!$B$3:$B$996,PlayerStatsSeason!$T$3:$T$996))</f>
        <v>#NAME?</v>
      </c>
      <c r="N85" s="143" t="e">
        <f ca="1">_xlfn.LET(
  _xlpm.val, _xlfn.XLOOKUP(B85, PlayerStatsSeason!$B$3:$B$996, PlayerStatsSeason!$U$3:$U$996, ""),
  IF(OR(_xlpm.val=0, _xlpm.val=""), "", VALUE(_xlpm.val))
)</f>
        <v>#NAME?</v>
      </c>
      <c r="O85" s="144" t="e">
        <f ca="1">_xlfn.LET(
  _xlpm.val, _xlfn.XLOOKUP(B85, PlayerStatsSeason!$B$3:$B$996, PlayerStatsSeason!$T$3:$T$996, ""),
  IF(OR(_xlpm.val=0, _xlpm.val=""), "", VALUE(_xlpm.val))
)</f>
        <v>#NAME?</v>
      </c>
      <c r="P85" s="141"/>
      <c r="Q85" s="141" t="e">
        <f ca="1">_xlfn.RANK.EQ(_xlfn.XLOOKUP($B85,PlayerWorking!$I$5:$I$31,PlayerWorking!$J$5:$J$31),PlayerWorking!$J$5:$J$31)</f>
        <v>#NAME?</v>
      </c>
      <c r="R85" s="170" t="e">
        <f t="shared" ref="R85:R108" ca="1" si="11">IF(D85&gt;0,ROUND(((L85 * K85 * 3) + (I85 * H85 * 2) + (O85 * N85)) * (C85 / 32), 1),0)</f>
        <v>#NAME?</v>
      </c>
      <c r="S85" s="141"/>
      <c r="T85" s="154" t="e">
        <f ca="1">IF(D85&gt;0,IFERROR(2*_xlfn.BINOM.INV(_xlfn.BINOM.INV(F85,G85,RAND()),H85,RAND())+ 3*_xlfn.BINOM.INV(_xlfn.BINOM.INV(F85,J85,RAND()),K85,RAND())+ _xlfn.BINOM.INV(_xlfn.BINOM.INV(F85,M85,RAND()),N85,RAND()),ROUND((F85/E85)*_xlfn.XLOOKUP(B85,PlayerStatsSeason!B76:B1069,PlayerStatsSeason!AD76:AD1069),0)),0)</f>
        <v>#NAME?</v>
      </c>
      <c r="U85" s="9">
        <v>29.5</v>
      </c>
      <c r="V85" t="e">
        <f t="shared" ref="V85:V89" ca="1" si="12">R85-U85</f>
        <v>#NAME?</v>
      </c>
      <c r="W85" t="e">
        <f t="shared" ref="W85:W89" ca="1" si="13">T85-U85</f>
        <v>#NAME?</v>
      </c>
    </row>
    <row r="86" spans="1:23" ht="15.75" x14ac:dyDescent="0.25">
      <c r="A86" s="146" t="s">
        <v>47</v>
      </c>
      <c r="B86" s="141" t="e">
        <f ca="1">_xlfn.XLOOKUP(A86,PlayerWorking!$K$5:$K$31,PlayerWorking!$I$5:$I$31)</f>
        <v>#NAME?</v>
      </c>
      <c r="C86" s="142" t="e">
        <f ca="1">_xlfn.XLOOKUP(B86,PlayerStatsSeason!$B$3:$B$996,PlayerStatsSeason!$H$3:$H$996)</f>
        <v>#NAME?</v>
      </c>
      <c r="D86" s="142" t="e">
        <f ca="1">IF(Q86&lt;=5,C86,C86/SUM(PlayerWorking!$J$10:$J$27)*(240-SUM(PlayerWorking!$J$5:$J$9)))</f>
        <v>#NAME?</v>
      </c>
      <c r="E86" s="142" t="e">
        <f ca="1">IF(D86&gt;0,_xlfn.XLOOKUP(B86,PlayerStatsSeason!$B$3:$B$996,PlayerStatsSeason!$J$3:$J$996)+_xlfn.XLOOKUP(B86,PlayerStatsSeason!$B$3:$B$996,PlayerStatsSeason!$T$3:$T$996))</f>
        <v>#NAME?</v>
      </c>
      <c r="F86" s="145" t="e">
        <f t="shared" ca="1" si="10"/>
        <v>#NAME?</v>
      </c>
      <c r="G86" s="149" t="e">
        <f ca="1">_xlfn.XLOOKUP($B86, PlayerStatsSeason!$B$3:$B$996, PlayerStatsSeason!$P$3:$P$996)/(_xlfn.XLOOKUP($B86, PlayerStatsSeason!$B$3:$B$996, PlayerStatsSeason!$P$3:$P$996)+_xlfn.XLOOKUP($B86, PlayerStatsSeason!$B$3:$B$996, PlayerStatsSeason!$M$3:$M$996)+_xlfn.XLOOKUP(B$12,PlayerStatsSeason!$B$3:$B$996,PlayerStatsSeason!$T$3:$T$996))</f>
        <v>#NAME?</v>
      </c>
      <c r="H86" s="149" t="e">
        <f ca="1">_xlfn.LET(_xlpm.val, _xlfn.XLOOKUP(B86, PlayerStatsSeason!$B$3:$B$996, PlayerStatsSeason!$Q$3:$Q$996, ""),
  IF(OR(_xlpm.val=0, _xlpm.val=""), "", VALUE(_xlpm.val))
)</f>
        <v>#NAME?</v>
      </c>
      <c r="I86" s="144" t="e">
        <f ca="1">_xlfn.LET(
  _xlpm.val, _xlfn.XLOOKUP(B86, PlayerStatsSeason!$B$3:$B$996, PlayerStatsSeason!$P$3:$P$996, ""),
  IF(OR(_xlpm.val=0, _xlpm.val=""), "", VALUE(_xlpm.val))
)</f>
        <v>#NAME?</v>
      </c>
      <c r="J86" s="149" t="e">
        <f ca="1">_xlfn.XLOOKUP($B86, PlayerStatsSeason!$B$3:$B$996, PlayerStatsSeason!$M$3:$M$996)/(_xlfn.XLOOKUP($B86, PlayerStatsSeason!$B$3:$B$996, PlayerStatsSeason!$P$3:$P$996)+_xlfn.XLOOKUP($B86, PlayerStatsSeason!$B$3:$B$996, PlayerStatsSeason!$M$3:$M$996)+_xlfn.XLOOKUP(B$12,PlayerStatsSeason!$B$3:$B$996,PlayerStatsSeason!$T$3:$T$996))</f>
        <v>#NAME?</v>
      </c>
      <c r="K86" s="143" t="e">
        <f ca="1">_xlfn.LET(
  _xlpm.val, _xlfn.XLOOKUP(B86, PlayerStatsSeason!$B$3:$B$996, PlayerStatsSeason!$N$3:$N$996, ""),
  IF(OR(_xlpm.val=0, _xlpm.val=""), "", VALUE(_xlpm.val))
)</f>
        <v>#NAME?</v>
      </c>
      <c r="L86" s="174" t="e" cm="1">
        <f t="array" aca="1" ref="L86" ca="1">_xlfn.LET(
  _xlpm.val, _xlfn.XLOOKUP(B86, PlayerStatsSeason!$B$3:$B$996, PlayerStatsSeason!$M$3:$M$996, ""),
  IF(OR(_xlpm.val=0, _xlpm.val=""), "", VALUE(_xlpm.val))
)</f>
        <v>#NAME?</v>
      </c>
      <c r="M86" s="149" t="e">
        <f ca="1">_xlfn.XLOOKUP($B86, PlayerStatsSeason!$B$3:$B$996, PlayerStatsSeason!$T$3:$T$996)/(_xlfn.XLOOKUP($B86, PlayerStatsSeason!$B$3:$B$996, PlayerStatsSeason!$P$3:$P$996)+_xlfn.XLOOKUP($B86, PlayerStatsSeason!$B$3:$B$996, PlayerStatsSeason!$M$3:$M$996)+_xlfn.XLOOKUP(B$12,PlayerStatsSeason!$B$3:$B$996,PlayerStatsSeason!$T$3:$T$996))</f>
        <v>#NAME?</v>
      </c>
      <c r="N86" s="143" t="e">
        <f ca="1">_xlfn.LET(
  _xlpm.val, _xlfn.XLOOKUP(B86, PlayerStatsSeason!$B$3:$B$996, PlayerStatsSeason!$U$3:$U$996, ""),
  IF(OR(_xlpm.val=0, _xlpm.val=""), "", VALUE(_xlpm.val))
)</f>
        <v>#NAME?</v>
      </c>
      <c r="O86" s="144" t="e">
        <f ca="1">_xlfn.LET(
  _xlpm.val, _xlfn.XLOOKUP(B86, PlayerStatsSeason!$B$3:$B$996, PlayerStatsSeason!$T$3:$T$996, ""),
  IF(OR(_xlpm.val=0, _xlpm.val=""), "", VALUE(_xlpm.val))
)</f>
        <v>#NAME?</v>
      </c>
      <c r="P86" s="141"/>
      <c r="Q86" s="141" t="e">
        <f ca="1">_xlfn.RANK.EQ(_xlfn.XLOOKUP($B86,PlayerWorking!$I$5:$I$31,PlayerWorking!$J$5:$J$31),PlayerWorking!$J$5:$J$31)</f>
        <v>#NAME?</v>
      </c>
      <c r="R86" s="170" t="e">
        <f t="shared" ca="1" si="11"/>
        <v>#NAME?</v>
      </c>
      <c r="S86" s="141"/>
      <c r="T86" s="154" t="e">
        <f ca="1">IF(D86&gt;0,IFERROR(2*_xlfn.BINOM.INV(_xlfn.BINOM.INV(F86,G86,RAND()),H86,RAND())+ 3*_xlfn.BINOM.INV(_xlfn.BINOM.INV(F86,J86,RAND()),K86,RAND())+ _xlfn.BINOM.INV(_xlfn.BINOM.INV(F86,M86,RAND()),N86,RAND()),ROUND((F86/E86)*_xlfn.XLOOKUP(B86,PlayerStatsSeason!B77:B1070,PlayerStatsSeason!AD77:AD1070),0)),0)</f>
        <v>#NAME?</v>
      </c>
      <c r="U86" s="9">
        <v>13.5</v>
      </c>
      <c r="V86" t="e">
        <f t="shared" ca="1" si="12"/>
        <v>#NAME?</v>
      </c>
      <c r="W86" t="e">
        <f t="shared" ca="1" si="13"/>
        <v>#NAME?</v>
      </c>
    </row>
    <row r="87" spans="1:23" ht="15.75" x14ac:dyDescent="0.25">
      <c r="A87" s="146" t="s">
        <v>93</v>
      </c>
      <c r="B87" s="141" t="e">
        <f ca="1">_xlfn.XLOOKUP(A87,PlayerWorking!$K$5:$K$31,PlayerWorking!$I$5:$I$31)</f>
        <v>#NAME?</v>
      </c>
      <c r="C87" s="142" t="e">
        <f ca="1">_xlfn.XLOOKUP(B87,PlayerStatsSeason!$B$3:$B$996,PlayerStatsSeason!$H$3:$H$996)</f>
        <v>#NAME?</v>
      </c>
      <c r="D87" s="145" t="e">
        <f ca="1">IF(Q87&lt;=5,C87,C87/SUM(PlayerWorking!$J$10:$J$27)*(240-SUM(PlayerWorking!$J$5:$J$9)))</f>
        <v>#NAME?</v>
      </c>
      <c r="E87" s="142" t="e">
        <f ca="1">IF(D87&gt;0,_xlfn.XLOOKUP(B87,PlayerStatsSeason!$B$3:$B$996,PlayerStatsSeason!$J$3:$J$996)+_xlfn.XLOOKUP(B87,PlayerStatsSeason!$B$3:$B$996,PlayerStatsSeason!$T$3:$T$996))</f>
        <v>#NAME?</v>
      </c>
      <c r="F87" s="145" t="e">
        <f t="shared" ca="1" si="10"/>
        <v>#NAME?</v>
      </c>
      <c r="G87" s="149" t="e">
        <f ca="1">_xlfn.XLOOKUP($B87, PlayerStatsSeason!$B$3:$B$996, PlayerStatsSeason!$P$3:$P$996)/(_xlfn.XLOOKUP($B87, PlayerStatsSeason!$B$3:$B$996, PlayerStatsSeason!$P$3:$P$996)+_xlfn.XLOOKUP($B87, PlayerStatsSeason!$B$3:$B$996, PlayerStatsSeason!$M$3:$M$996)+_xlfn.XLOOKUP(B$12,PlayerStatsSeason!$B$3:$B$996,PlayerStatsSeason!$T$3:$T$996))</f>
        <v>#NAME?</v>
      </c>
      <c r="H87" s="149" t="e">
        <f ca="1">_xlfn.LET(_xlpm.val, _xlfn.XLOOKUP(B87, PlayerStatsSeason!$B$3:$B$996, PlayerStatsSeason!$Q$3:$Q$996, ""),
  IF(OR(_xlpm.val=0, _xlpm.val=""), "", VALUE(_xlpm.val))
)</f>
        <v>#NAME?</v>
      </c>
      <c r="I87" s="144" t="e">
        <f ca="1">_xlfn.LET(
  _xlpm.val, _xlfn.XLOOKUP(B87, PlayerStatsSeason!$B$3:$B$996, PlayerStatsSeason!$P$3:$P$996, ""),
  IF(OR(_xlpm.val=0, _xlpm.val=""), "", VALUE(_xlpm.val))
)</f>
        <v>#NAME?</v>
      </c>
      <c r="J87" s="149" t="e">
        <f ca="1">_xlfn.XLOOKUP($B87, PlayerStatsSeason!$B$3:$B$996, PlayerStatsSeason!$M$3:$M$996)/(_xlfn.XLOOKUP($B87, PlayerStatsSeason!$B$3:$B$996, PlayerStatsSeason!$P$3:$P$996)+_xlfn.XLOOKUP($B87, PlayerStatsSeason!$B$3:$B$996, PlayerStatsSeason!$M$3:$M$996)+_xlfn.XLOOKUP(B$12,PlayerStatsSeason!$B$3:$B$996,PlayerStatsSeason!$T$3:$T$996))</f>
        <v>#NAME?</v>
      </c>
      <c r="K87" s="143" t="e">
        <f ca="1">_xlfn.LET(
  _xlpm.val, _xlfn.XLOOKUP(B87, PlayerStatsSeason!$B$3:$B$996, PlayerStatsSeason!$N$3:$N$996, ""),
  IF(OR(_xlpm.val=0, _xlpm.val=""), "", VALUE(_xlpm.val))
)</f>
        <v>#NAME?</v>
      </c>
      <c r="L87" s="174" t="e" cm="1">
        <f t="array" aca="1" ref="L87" ca="1">_xlfn.LET(
  _xlpm.val, _xlfn.XLOOKUP(B87, PlayerStatsSeason!$B$3:$B$996, PlayerStatsSeason!$M$3:$M$996, ""),
  IF(OR(_xlpm.val=0, _xlpm.val=""), "", VALUE(_xlpm.val))
)</f>
        <v>#NAME?</v>
      </c>
      <c r="M87" s="149" t="e">
        <f ca="1">_xlfn.XLOOKUP($B87, PlayerStatsSeason!$B$3:$B$996, PlayerStatsSeason!$T$3:$T$996)/(_xlfn.XLOOKUP($B87, PlayerStatsSeason!$B$3:$B$996, PlayerStatsSeason!$P$3:$P$996)+_xlfn.XLOOKUP($B87, PlayerStatsSeason!$B$3:$B$996, PlayerStatsSeason!$M$3:$M$996)+_xlfn.XLOOKUP(B$12,PlayerStatsSeason!$B$3:$B$996,PlayerStatsSeason!$T$3:$T$996))</f>
        <v>#NAME?</v>
      </c>
      <c r="N87" s="143" t="e">
        <f ca="1">_xlfn.LET(
  _xlpm.val, _xlfn.XLOOKUP(B87, PlayerStatsSeason!$B$3:$B$996, PlayerStatsSeason!$U$3:$U$996, ""),
  IF(OR(_xlpm.val=0, _xlpm.val=""), "", VALUE(_xlpm.val))
)</f>
        <v>#NAME?</v>
      </c>
      <c r="O87" s="144" t="e">
        <f ca="1">_xlfn.LET(
  _xlpm.val, _xlfn.XLOOKUP(B87, PlayerStatsSeason!$B$3:$B$996, PlayerStatsSeason!$T$3:$T$996, ""),
  IF(OR(_xlpm.val=0, _xlpm.val=""), "", VALUE(_xlpm.val))
)</f>
        <v>#NAME?</v>
      </c>
      <c r="P87" s="141"/>
      <c r="Q87" s="141" t="e">
        <f ca="1">_xlfn.RANK.EQ(_xlfn.XLOOKUP($B87,PlayerWorking!$I$5:$I$31,PlayerWorking!$J$5:$J$31),PlayerWorking!$J$5:$J$31)</f>
        <v>#NAME?</v>
      </c>
      <c r="R87" s="170" t="e">
        <f t="shared" ca="1" si="11"/>
        <v>#NAME?</v>
      </c>
      <c r="S87" s="141"/>
      <c r="T87" s="154" t="e">
        <f ca="1">IF(D87&gt;0,IFERROR(2*_xlfn.BINOM.INV(_xlfn.BINOM.INV(F87,G87,RAND()),H87,RAND())+ 3*_xlfn.BINOM.INV(_xlfn.BINOM.INV(F87,J87,RAND()),K87,RAND())+ _xlfn.BINOM.INV(_xlfn.BINOM.INV(F87,M87,RAND()),N87,RAND()),ROUND((F87/E87)*_xlfn.XLOOKUP(B87,PlayerStatsSeason!B78:B1071,PlayerStatsSeason!AD78:AD1071),0)),0)</f>
        <v>#NAME?</v>
      </c>
      <c r="U87" s="9">
        <v>16.5</v>
      </c>
      <c r="V87" t="e">
        <f t="shared" ca="1" si="12"/>
        <v>#NAME?</v>
      </c>
      <c r="W87" t="e">
        <f t="shared" ca="1" si="13"/>
        <v>#NAME?</v>
      </c>
    </row>
    <row r="88" spans="1:23" ht="15.75" x14ac:dyDescent="0.25">
      <c r="A88" s="146" t="s">
        <v>72</v>
      </c>
      <c r="B88" s="141" t="e">
        <f ca="1">_xlfn.XLOOKUP(A88,PlayerWorking!$K$5:$K$31,PlayerWorking!$I$5:$I$31)</f>
        <v>#NAME?</v>
      </c>
      <c r="C88" s="142" t="e">
        <f ca="1">_xlfn.XLOOKUP(B88,PlayerStatsSeason!$B$3:$B$996,PlayerStatsSeason!$H$3:$H$996)</f>
        <v>#NAME?</v>
      </c>
      <c r="D88" s="142" t="e">
        <f ca="1">IF(Q88&lt;=5,C88,C88/SUM(PlayerWorking!$J$10:$J$27)*(240-SUM(PlayerWorking!$J$5:$J$9)))</f>
        <v>#NAME?</v>
      </c>
      <c r="E88" s="142" t="e">
        <f ca="1">IF(D88&gt;0,_xlfn.XLOOKUP(B88,PlayerStatsSeason!$B$3:$B$996,PlayerStatsSeason!$J$3:$J$996)+_xlfn.XLOOKUP(B88,PlayerStatsSeason!$B$3:$B$996,PlayerStatsSeason!$T$3:$T$996))</f>
        <v>#NAME?</v>
      </c>
      <c r="F88" s="145" t="e">
        <f t="shared" ca="1" si="10"/>
        <v>#NAME?</v>
      </c>
      <c r="G88" s="149" t="e">
        <f ca="1">_xlfn.XLOOKUP($B88, PlayerStatsSeason!$B$3:$B$996, PlayerStatsSeason!$P$3:$P$996)/(_xlfn.XLOOKUP($B88, PlayerStatsSeason!$B$3:$B$996, PlayerStatsSeason!$P$3:$P$996)+_xlfn.XLOOKUP($B88, PlayerStatsSeason!$B$3:$B$996, PlayerStatsSeason!$M$3:$M$996)+_xlfn.XLOOKUP(B$12,PlayerStatsSeason!$B$3:$B$996,PlayerStatsSeason!$T$3:$T$996))</f>
        <v>#NAME?</v>
      </c>
      <c r="H88" s="149" t="e">
        <f ca="1">_xlfn.LET(_xlpm.val, _xlfn.XLOOKUP(B88, PlayerStatsSeason!$B$3:$B$996, PlayerStatsSeason!$Q$3:$Q$996, ""),
  IF(OR(_xlpm.val=0, _xlpm.val=""), "", VALUE(_xlpm.val))
)</f>
        <v>#NAME?</v>
      </c>
      <c r="I88" s="144" t="e">
        <f ca="1">_xlfn.LET(
  _xlpm.val, _xlfn.XLOOKUP(B88, PlayerStatsSeason!$B$3:$B$996, PlayerStatsSeason!$P$3:$P$996, ""),
  IF(OR(_xlpm.val=0, _xlpm.val=""), "", VALUE(_xlpm.val))
)</f>
        <v>#NAME?</v>
      </c>
      <c r="J88" s="149" t="e">
        <f ca="1">_xlfn.XLOOKUP($B88, PlayerStatsSeason!$B$3:$B$996, PlayerStatsSeason!$M$3:$M$996)/(_xlfn.XLOOKUP($B88, PlayerStatsSeason!$B$3:$B$996, PlayerStatsSeason!$P$3:$P$996)+_xlfn.XLOOKUP($B88, PlayerStatsSeason!$B$3:$B$996, PlayerStatsSeason!$M$3:$M$996)+_xlfn.XLOOKUP(B$12,PlayerStatsSeason!$B$3:$B$996,PlayerStatsSeason!$T$3:$T$996))</f>
        <v>#NAME?</v>
      </c>
      <c r="K88" s="143" t="e">
        <f ca="1">_xlfn.LET(
  _xlpm.val, _xlfn.XLOOKUP(B88, PlayerStatsSeason!$B$3:$B$996, PlayerStatsSeason!$N$3:$N$996, ""),
  IF(OR(_xlpm.val=0, _xlpm.val=""), "", VALUE(_xlpm.val))
)</f>
        <v>#NAME?</v>
      </c>
      <c r="L88" s="174" t="e" cm="1">
        <f t="array" aca="1" ref="L88" ca="1">_xlfn.LET(
  _xlpm.val, _xlfn.XLOOKUP(B88, PlayerStatsSeason!$B$3:$B$996, PlayerStatsSeason!$M$3:$M$996, ""),
  IF(OR(_xlpm.val=0, _xlpm.val=""), "", VALUE(_xlpm.val))
)</f>
        <v>#NAME?</v>
      </c>
      <c r="M88" s="149" t="e">
        <f ca="1">_xlfn.XLOOKUP($B88, PlayerStatsSeason!$B$3:$B$996, PlayerStatsSeason!$T$3:$T$996)/(_xlfn.XLOOKUP($B88, PlayerStatsSeason!$B$3:$B$996, PlayerStatsSeason!$P$3:$P$996)+_xlfn.XLOOKUP($B88, PlayerStatsSeason!$B$3:$B$996, PlayerStatsSeason!$M$3:$M$996)+_xlfn.XLOOKUP(B$12,PlayerStatsSeason!$B$3:$B$996,PlayerStatsSeason!$T$3:$T$996))</f>
        <v>#NAME?</v>
      </c>
      <c r="N88" s="143" t="e">
        <f ca="1">_xlfn.LET(
  _xlpm.val, _xlfn.XLOOKUP(B88, PlayerStatsSeason!$B$3:$B$996, PlayerStatsSeason!$U$3:$U$996, ""),
  IF(OR(_xlpm.val=0, _xlpm.val=""), "", VALUE(_xlpm.val))
)</f>
        <v>#NAME?</v>
      </c>
      <c r="O88" s="144" t="e">
        <f ca="1">_xlfn.LET(
  _xlpm.val, _xlfn.XLOOKUP(B88, PlayerStatsSeason!$B$3:$B$996, PlayerStatsSeason!$T$3:$T$996, ""),
  IF(OR(_xlpm.val=0, _xlpm.val=""), "", VALUE(_xlpm.val))
)</f>
        <v>#NAME?</v>
      </c>
      <c r="P88" s="141"/>
      <c r="Q88" s="141" t="e">
        <f ca="1">_xlfn.RANK.EQ(_xlfn.XLOOKUP($B88,PlayerWorking!$I$5:$I$31,PlayerWorking!$J$5:$J$31),PlayerWorking!$J$5:$J$31)</f>
        <v>#NAME?</v>
      </c>
      <c r="R88" s="170" t="e">
        <f t="shared" ca="1" si="11"/>
        <v>#NAME?</v>
      </c>
      <c r="S88" s="141"/>
      <c r="T88" s="154" t="e">
        <f ca="1">IF(D88&gt;0,IFERROR(2*_xlfn.BINOM.INV(_xlfn.BINOM.INV(F88,G88,RAND()),H88,RAND())+ 3*_xlfn.BINOM.INV(_xlfn.BINOM.INV(F88,J88,RAND()),K88,RAND())+ _xlfn.BINOM.INV(_xlfn.BINOM.INV(F88,M88,RAND()),N88,RAND()),ROUND((F88/E88)*_xlfn.XLOOKUP(B88,PlayerStatsSeason!B79:B1072,PlayerStatsSeason!AD79:AD1072),0)),0)</f>
        <v>#NAME?</v>
      </c>
      <c r="U88" s="9">
        <v>13.5</v>
      </c>
      <c r="V88" t="e">
        <f t="shared" ca="1" si="12"/>
        <v>#NAME?</v>
      </c>
      <c r="W88" t="e">
        <f t="shared" ca="1" si="13"/>
        <v>#NAME?</v>
      </c>
    </row>
    <row r="89" spans="1:23" ht="15.75" x14ac:dyDescent="0.25">
      <c r="A89" s="147" t="s">
        <v>3145</v>
      </c>
      <c r="B89" s="148" t="str">
        <f ca="1">IFERROR(IF(_xlfn.XLOOKUP(Q89,PlayerWorking!$H$5:$H$31,PlayerWorking!$I$5:$I$31)=0, "", _xlfn.XLOOKUP(Q89,PlayerWorking!$H$5:$H$31,PlayerWorking!$I$5:$I$31)), "")</f>
        <v/>
      </c>
      <c r="C89" s="150" t="e">
        <f ca="1">_xlfn.XLOOKUP(B89,PlayerStatsSeason!$B$3:$B$996,PlayerStatsSeason!$H$3:$H$996)</f>
        <v>#NAME?</v>
      </c>
      <c r="D89" s="150" t="e">
        <f ca="1">IF(Q89&lt;=5,C89,C89/SUM(PlayerWorking!$J$10:$J$27)*(240-SUM(PlayerWorking!$J$5:$J$9)))</f>
        <v>#NAME?</v>
      </c>
      <c r="E89" s="150" t="e">
        <f ca="1">IF(D89&gt;0,_xlfn.XLOOKUP(B89,PlayerStatsSeason!$B$3:$B$996,PlayerStatsSeason!$J$3:$J$996)+_xlfn.XLOOKUP(B89,PlayerStatsSeason!$B$3:$B$996,PlayerStatsSeason!$T$3:$T$996))</f>
        <v>#NAME?</v>
      </c>
      <c r="F89" s="178" t="e">
        <f t="shared" ca="1" si="10"/>
        <v>#NAME?</v>
      </c>
      <c r="G89" s="151" t="e">
        <f ca="1">_xlfn.XLOOKUP($B89, PlayerStatsSeason!$B$3:$B$996, PlayerStatsSeason!$P$3:$P$996)/(_xlfn.XLOOKUP($B89, PlayerStatsSeason!$B$3:$B$996, PlayerStatsSeason!$P$3:$P$996)+_xlfn.XLOOKUP($B89, PlayerStatsSeason!$B$3:$B$996, PlayerStatsSeason!$M$3:$M$996)+_xlfn.XLOOKUP(B$12,PlayerStatsSeason!$B$3:$B$996,PlayerStatsSeason!$T$3:$T$996))</f>
        <v>#NAME?</v>
      </c>
      <c r="H89" s="151" t="e">
        <f ca="1">_xlfn.LET(_xlpm.val, _xlfn.XLOOKUP(B89, PlayerStatsSeason!$B$3:$B$996, PlayerStatsSeason!$Q$3:$Q$996, ""),
  IF(OR(_xlpm.val=0, _xlpm.val=""), "", VALUE(_xlpm.val))
)</f>
        <v>#NAME?</v>
      </c>
      <c r="I89" s="152" t="e">
        <f ca="1">_xlfn.LET(
  _xlpm.val, _xlfn.XLOOKUP(B89, PlayerStatsSeason!$B$3:$B$996, PlayerStatsSeason!$P$3:$P$996, ""),
  IF(OR(_xlpm.val=0, _xlpm.val=""), "", VALUE(_xlpm.val))
)</f>
        <v>#NAME?</v>
      </c>
      <c r="J89" s="151" t="e">
        <f ca="1">_xlfn.XLOOKUP($B89, PlayerStatsSeason!$B$3:$B$996, PlayerStatsSeason!$M$3:$M$996)/(_xlfn.XLOOKUP($B89, PlayerStatsSeason!$B$3:$B$996, PlayerStatsSeason!$P$3:$P$996)+_xlfn.XLOOKUP($B89, PlayerStatsSeason!$B$3:$B$996, PlayerStatsSeason!$M$3:$M$996)+_xlfn.XLOOKUP(B$12,PlayerStatsSeason!$B$3:$B$996,PlayerStatsSeason!$T$3:$T$996))</f>
        <v>#NAME?</v>
      </c>
      <c r="K89" s="153" t="e">
        <f ca="1">_xlfn.LET(
  _xlpm.val, _xlfn.XLOOKUP(B89, PlayerStatsSeason!$B$3:$B$996, PlayerStatsSeason!$N$3:$N$996, ""),
  IF(OR(_xlpm.val=0, _xlpm.val=""), "", VALUE(_xlpm.val))
)</f>
        <v>#NAME?</v>
      </c>
      <c r="L89" s="174" t="e" cm="1">
        <f t="array" aca="1" ref="L89" ca="1">_xlfn.LET(
  _xlpm.val, _xlfn.XLOOKUP(B89, PlayerStatsSeason!$B$3:$B$996, PlayerStatsSeason!$M$3:$M$996, ""),
  IF(OR(_xlpm.val=0, _xlpm.val=""), "", VALUE(_xlpm.val))
)</f>
        <v>#NAME?</v>
      </c>
      <c r="M89" s="151" t="e">
        <f ca="1">_xlfn.XLOOKUP($B89, PlayerStatsSeason!$B$3:$B$996, PlayerStatsSeason!$T$3:$T$996)/(_xlfn.XLOOKUP($B89, PlayerStatsSeason!$B$3:$B$996, PlayerStatsSeason!$P$3:$P$996)+_xlfn.XLOOKUP($B89, PlayerStatsSeason!$B$3:$B$996, PlayerStatsSeason!$M$3:$M$996)+_xlfn.XLOOKUP(B$12,PlayerStatsSeason!$B$3:$B$996,PlayerStatsSeason!$T$3:$T$996))</f>
        <v>#NAME?</v>
      </c>
      <c r="N89" s="153" t="e">
        <f ca="1">_xlfn.LET(
  _xlpm.val, _xlfn.XLOOKUP(B89, PlayerStatsSeason!$B$3:$B$996, PlayerStatsSeason!$U$3:$U$996, ""),
  IF(OR(_xlpm.val=0, _xlpm.val=""), "", VALUE(_xlpm.val))
)</f>
        <v>#NAME?</v>
      </c>
      <c r="O89" s="152" t="e">
        <f ca="1">_xlfn.LET(
  _xlpm.val, _xlfn.XLOOKUP(B89, PlayerStatsSeason!$B$3:$B$996, PlayerStatsSeason!$T$3:$T$996, ""),
  IF(OR(_xlpm.val=0, _xlpm.val=""), "", VALUE(_xlpm.val))
)</f>
        <v>#NAME?</v>
      </c>
      <c r="P89" s="148"/>
      <c r="Q89" s="148" cm="1">
        <f t="array" aca="1" ref="Q89" ca="1">MIN(IF(ISNA(MATCH(PlayerWorking!$H$5:OFFSET(PlayerWorking!$H$5,PlayerWorking!$C$5-1,0),Results!$Q$12:Q88,0)),PlayerWorking!$H$5:OFFSET(PlayerWorking!$H$5,PlayerWorking!$C$5-1,1)))</f>
        <v>0</v>
      </c>
      <c r="R89" s="170" t="e">
        <f t="shared" ca="1" si="11"/>
        <v>#NAME?</v>
      </c>
      <c r="S89" s="148"/>
      <c r="T89" s="155" t="e">
        <f ca="1">IF(D89&gt;0,IFERROR(2*_xlfn.BINOM.INV(_xlfn.BINOM.INV(F89,G89,RAND()),H89,RAND())+ 3*_xlfn.BINOM.INV(_xlfn.BINOM.INV(F89,J89,RAND()),K89,RAND())+ _xlfn.BINOM.INV(_xlfn.BINOM.INV(F89,M89,RAND()),N89,RAND()),ROUND((F89/E89)*_xlfn.XLOOKUP(B89,PlayerStatsSeason!B80:B1073,PlayerStatsSeason!AD80:AD1073),0)),0)</f>
        <v>#NAME?</v>
      </c>
      <c r="U89" s="9">
        <v>11</v>
      </c>
      <c r="V89" t="e">
        <f t="shared" ca="1" si="12"/>
        <v>#NAME?</v>
      </c>
      <c r="W89" t="e">
        <f t="shared" ca="1" si="13"/>
        <v>#NAME?</v>
      </c>
    </row>
    <row r="90" spans="1:23" ht="15.75" x14ac:dyDescent="0.25">
      <c r="A90" s="161" t="s">
        <v>3146</v>
      </c>
      <c r="B90" s="162" t="str">
        <f ca="1">IFERROR(IF(_xlfn.XLOOKUP(Q90,PlayerWorking!$H$5:$H$31,PlayerWorking!$I$5:$I$31)=0, "", _xlfn.XLOOKUP(Q90,PlayerWorking!$H$5:$H$31,PlayerWorking!$I$5:$I$31)), "")</f>
        <v/>
      </c>
      <c r="C90" s="163" t="e">
        <f ca="1">_xlfn.XLOOKUP(B90,PlayerStatsSeason!$B$3:$B$996,PlayerStatsSeason!$H$3:$H$996)</f>
        <v>#NAME?</v>
      </c>
      <c r="D90" s="164" t="e">
        <f ca="1">IF(Q90&lt;=5,C90,C90/SUM(PlayerWorking!$J$10:$J$27)*(240-SUM(PlayerWorking!$J$5:$J$9)))</f>
        <v>#NAME?</v>
      </c>
      <c r="E90" s="163" t="e">
        <f ca="1">IF(D90&gt;0,_xlfn.XLOOKUP(B90,PlayerStatsSeason!$B$3:$B$996,PlayerStatsSeason!$J$3:$J$996)+_xlfn.XLOOKUP(B90,PlayerStatsSeason!$B$3:$B$996,PlayerStatsSeason!$T$3:$T$996))</f>
        <v>#NAME?</v>
      </c>
      <c r="F90" s="164" t="e">
        <f t="shared" ca="1" si="10"/>
        <v>#NAME?</v>
      </c>
      <c r="G90" s="165" t="e">
        <f ca="1">_xlfn.XLOOKUP($B90, PlayerStatsSeason!$B$3:$B$996, PlayerStatsSeason!$P$3:$P$996)/(_xlfn.XLOOKUP($B90, PlayerStatsSeason!$B$3:$B$996, PlayerStatsSeason!$P$3:$P$996)+_xlfn.XLOOKUP($B90, PlayerStatsSeason!$B$3:$B$996, PlayerStatsSeason!$M$3:$M$996)+_xlfn.XLOOKUP(B$12,PlayerStatsSeason!$B$3:$B$996,PlayerStatsSeason!$T$3:$T$996))</f>
        <v>#NAME?</v>
      </c>
      <c r="H90" s="165" t="e">
        <f ca="1">_xlfn.LET(_xlpm.val, _xlfn.XLOOKUP(B90, PlayerStatsSeason!$B$3:$B$996, PlayerStatsSeason!$Q$3:$Q$996, ""),
  IF(OR(_xlpm.val=0, _xlpm.val=""), "", VALUE(_xlpm.val))
)</f>
        <v>#NAME?</v>
      </c>
      <c r="I90" s="166" t="e">
        <f ca="1">_xlfn.LET(
  _xlpm.val, _xlfn.XLOOKUP(B90, PlayerStatsSeason!$B$3:$B$996, PlayerStatsSeason!$P$3:$P$996, ""),
  IF(OR(_xlpm.val=0, _xlpm.val=""), "", VALUE(_xlpm.val))
)</f>
        <v>#NAME?</v>
      </c>
      <c r="J90" s="165" t="e">
        <f ca="1">_xlfn.XLOOKUP($B90, PlayerStatsSeason!$B$3:$B$996, PlayerStatsSeason!$M$3:$M$996)/(_xlfn.XLOOKUP($B90, PlayerStatsSeason!$B$3:$B$996, PlayerStatsSeason!$P$3:$P$996)+_xlfn.XLOOKUP($B90, PlayerStatsSeason!$B$3:$B$996, PlayerStatsSeason!$M$3:$M$996)+_xlfn.XLOOKUP(B$12,PlayerStatsSeason!$B$3:$B$996,PlayerStatsSeason!$T$3:$T$996))</f>
        <v>#NAME?</v>
      </c>
      <c r="K90" s="167" t="e">
        <f ca="1">_xlfn.LET(
  _xlpm.val, _xlfn.XLOOKUP(B90, PlayerStatsSeason!$B$3:$B$996, PlayerStatsSeason!$N$3:$N$996, ""),
  IF(OR(_xlpm.val=0, _xlpm.val=""), "", VALUE(_xlpm.val))
)</f>
        <v>#NAME?</v>
      </c>
      <c r="L90" s="174" t="e" cm="1">
        <f t="array" aca="1" ref="L90" ca="1">_xlfn.LET(
  _xlpm.val, _xlfn.XLOOKUP(B90, PlayerStatsSeason!$B$3:$B$996, PlayerStatsSeason!$M$3:$M$996, ""),
  IF(OR(_xlpm.val=0, _xlpm.val=""), "", VALUE(_xlpm.val))
)</f>
        <v>#NAME?</v>
      </c>
      <c r="M90" s="165" t="e">
        <f ca="1">_xlfn.XLOOKUP($B90, PlayerStatsSeason!$B$3:$B$996, PlayerStatsSeason!$T$3:$T$996)/(_xlfn.XLOOKUP($B90, PlayerStatsSeason!$B$3:$B$996, PlayerStatsSeason!$P$3:$P$996)+_xlfn.XLOOKUP($B90, PlayerStatsSeason!$B$3:$B$996, PlayerStatsSeason!$M$3:$M$996)+_xlfn.XLOOKUP(B$12,PlayerStatsSeason!$B$3:$B$996,PlayerStatsSeason!$T$3:$T$996))</f>
        <v>#NAME?</v>
      </c>
      <c r="N90" s="167" t="e">
        <f ca="1">_xlfn.LET(
  _xlpm.val, _xlfn.XLOOKUP(B90, PlayerStatsSeason!$B$3:$B$996, PlayerStatsSeason!$U$3:$U$996, ""),
  IF(OR(_xlpm.val=0, _xlpm.val=""), "", VALUE(_xlpm.val))
)</f>
        <v>#NAME?</v>
      </c>
      <c r="O90" s="166" t="e">
        <f ca="1">_xlfn.LET(
  _xlpm.val, _xlfn.XLOOKUP(B90, PlayerStatsSeason!$B$3:$B$996, PlayerStatsSeason!$T$3:$T$996, ""),
  IF(OR(_xlpm.val=0, _xlpm.val=""), "", VALUE(_xlpm.val))
)</f>
        <v>#NAME?</v>
      </c>
      <c r="P90" s="162"/>
      <c r="Q90" s="162" cm="1">
        <f t="array" aca="1" ref="Q90" ca="1">MIN(IF(ISNA(MATCH(PlayerWorking!$H$5:OFFSET(PlayerWorking!$H$5,PlayerWorking!$C$5-1,0),Results!$Q$12:Q89,0)),PlayerWorking!$H$5:OFFSET(PlayerWorking!$H$5,PlayerWorking!$C$5-1,1)))</f>
        <v>0</v>
      </c>
      <c r="R90" s="170" t="e">
        <f t="shared" ca="1" si="11"/>
        <v>#NAME?</v>
      </c>
      <c r="S90" s="162"/>
      <c r="T90" s="168" t="e">
        <f ca="1">IF(D90&gt;0,IFERROR(2*_xlfn.BINOM.INV(_xlfn.BINOM.INV(F90,G90,RAND()),H90,RAND())+ 3*_xlfn.BINOM.INV(_xlfn.BINOM.INV(F90,J90,RAND()),K90,RAND())+ _xlfn.BINOM.INV(_xlfn.BINOM.INV(F90,M90,RAND()),N90,RAND()),ROUND((F90/E90)*_xlfn.XLOOKUP(B90,PlayerStatsSeason!B81:B1074,PlayerStatsSeason!AD81:AD1074),0)),0)</f>
        <v>#NAME?</v>
      </c>
      <c r="U90" s="9"/>
    </row>
    <row r="91" spans="1:23" ht="15.75" x14ac:dyDescent="0.25">
      <c r="A91" s="146" t="s">
        <v>3147</v>
      </c>
      <c r="B91" s="141" t="str">
        <f ca="1">IFERROR(IF(_xlfn.XLOOKUP(Q91,PlayerWorking!$H$5:$H$31,PlayerWorking!$I$5:$I$31)=0, "", _xlfn.XLOOKUP(Q91,PlayerWorking!$H$5:$H$31,PlayerWorking!$I$5:$I$31)), "")</f>
        <v/>
      </c>
      <c r="C91" s="142" t="e">
        <f ca="1">_xlfn.XLOOKUP(B91,PlayerStatsSeason!$B$3:$B$996,PlayerStatsSeason!$H$3:$H$996)</f>
        <v>#NAME?</v>
      </c>
      <c r="D91" s="145" t="e">
        <f ca="1">IF(Q91&lt;=5,C91,C91/SUM(PlayerWorking!$J$10:$J$27)*(240-SUM(PlayerWorking!$J$5:$J$9)))</f>
        <v>#NAME?</v>
      </c>
      <c r="E91" s="142" t="e">
        <f ca="1">IF(D91&gt;0,_xlfn.XLOOKUP(B91,PlayerStatsSeason!$B$3:$B$996,PlayerStatsSeason!$J$3:$J$996)+_xlfn.XLOOKUP(B91,PlayerStatsSeason!$B$3:$B$996,PlayerStatsSeason!$T$3:$T$996))</f>
        <v>#NAME?</v>
      </c>
      <c r="F91" s="145" t="e">
        <f t="shared" ca="1" si="10"/>
        <v>#NAME?</v>
      </c>
      <c r="G91" s="149" t="e">
        <f ca="1">_xlfn.XLOOKUP($B91, PlayerStatsSeason!$B$3:$B$996, PlayerStatsSeason!$P$3:$P$996)/(_xlfn.XLOOKUP($B91, PlayerStatsSeason!$B$3:$B$996, PlayerStatsSeason!$P$3:$P$996)+_xlfn.XLOOKUP($B91, PlayerStatsSeason!$B$3:$B$996, PlayerStatsSeason!$M$3:$M$996)+_xlfn.XLOOKUP(B$12,PlayerStatsSeason!$B$3:$B$996,PlayerStatsSeason!$T$3:$T$996))</f>
        <v>#NAME?</v>
      </c>
      <c r="H91" s="149" t="e">
        <f ca="1">_xlfn.LET(_xlpm.val, _xlfn.XLOOKUP(B91, PlayerStatsSeason!$B$3:$B$996, PlayerStatsSeason!$Q$3:$Q$996, ""),
  IF(OR(_xlpm.val=0, _xlpm.val=""), "", VALUE(_xlpm.val))
)</f>
        <v>#NAME?</v>
      </c>
      <c r="I91" s="144" t="e">
        <f ca="1">_xlfn.LET(
  _xlpm.val, _xlfn.XLOOKUP(B91, PlayerStatsSeason!$B$3:$B$996, PlayerStatsSeason!$P$3:$P$996, ""),
  IF(OR(_xlpm.val=0, _xlpm.val=""), "", VALUE(_xlpm.val))
)</f>
        <v>#NAME?</v>
      </c>
      <c r="J91" s="149" t="e">
        <f ca="1">_xlfn.XLOOKUP($B91, PlayerStatsSeason!$B$3:$B$996, PlayerStatsSeason!$M$3:$M$996)/(_xlfn.XLOOKUP($B91, PlayerStatsSeason!$B$3:$B$996, PlayerStatsSeason!$P$3:$P$996)+_xlfn.XLOOKUP($B91, PlayerStatsSeason!$B$3:$B$996, PlayerStatsSeason!$M$3:$M$996)+_xlfn.XLOOKUP(B$12,PlayerStatsSeason!$B$3:$B$996,PlayerStatsSeason!$T$3:$T$996))</f>
        <v>#NAME?</v>
      </c>
      <c r="K91" s="143" t="e">
        <f ca="1">_xlfn.LET(
  _xlpm.val, _xlfn.XLOOKUP(B91, PlayerStatsSeason!$B$3:$B$996, PlayerStatsSeason!$N$3:$N$996, ""),
  IF(OR(_xlpm.val=0, _xlpm.val=""), "", VALUE(_xlpm.val))
)</f>
        <v>#NAME?</v>
      </c>
      <c r="L91" s="174" t="e" cm="1">
        <f t="array" aca="1" ref="L91" ca="1">_xlfn.LET(
  _xlpm.val, _xlfn.XLOOKUP(B91, PlayerStatsSeason!$B$3:$B$996, PlayerStatsSeason!$M$3:$M$996, ""),
  IF(OR(_xlpm.val=0, _xlpm.val=""), "", VALUE(_xlpm.val))
)</f>
        <v>#NAME?</v>
      </c>
      <c r="M91" s="149" t="e">
        <f ca="1">_xlfn.XLOOKUP($B91, PlayerStatsSeason!$B$3:$B$996, PlayerStatsSeason!$T$3:$T$996)/(_xlfn.XLOOKUP($B91, PlayerStatsSeason!$B$3:$B$996, PlayerStatsSeason!$P$3:$P$996)+_xlfn.XLOOKUP($B91, PlayerStatsSeason!$B$3:$B$996, PlayerStatsSeason!$M$3:$M$996)+_xlfn.XLOOKUP(B$12,PlayerStatsSeason!$B$3:$B$996,PlayerStatsSeason!$T$3:$T$996))</f>
        <v>#NAME?</v>
      </c>
      <c r="N91" s="143" t="e">
        <f ca="1">_xlfn.LET(
  _xlpm.val, _xlfn.XLOOKUP(B91, PlayerStatsSeason!$B$3:$B$996, PlayerStatsSeason!$U$3:$U$996, ""),
  IF(OR(_xlpm.val=0, _xlpm.val=""), "", VALUE(_xlpm.val))
)</f>
        <v>#NAME?</v>
      </c>
      <c r="O91" s="144" t="e">
        <f ca="1">_xlfn.LET(
  _xlpm.val, _xlfn.XLOOKUP(B91, PlayerStatsSeason!$B$3:$B$996, PlayerStatsSeason!$T$3:$T$996, ""),
  IF(OR(_xlpm.val=0, _xlpm.val=""), "", VALUE(_xlpm.val))
)</f>
        <v>#NAME?</v>
      </c>
      <c r="P91" s="141"/>
      <c r="Q91" s="141" cm="1">
        <f t="array" aca="1" ref="Q91" ca="1">MIN(IF(ISNA(MATCH(PlayerWorking!$H$5:OFFSET(PlayerWorking!$H$5,PlayerWorking!$C$5-1,0),Results!$Q$12:Q90,0)),PlayerWorking!$H$5:OFFSET(PlayerWorking!$H$5,PlayerWorking!$C$5-1,1)))</f>
        <v>0</v>
      </c>
      <c r="R91" s="170" t="e">
        <f t="shared" ca="1" si="11"/>
        <v>#NAME?</v>
      </c>
      <c r="S91" s="141"/>
      <c r="T91" s="154" t="e">
        <f ca="1">IF(D91&gt;0,IFERROR(2*_xlfn.BINOM.INV(_xlfn.BINOM.INV(F91,G91,RAND()),H91,RAND())+ 3*_xlfn.BINOM.INV(_xlfn.BINOM.INV(F91,J91,RAND()),K91,RAND())+ _xlfn.BINOM.INV(_xlfn.BINOM.INV(F91,M91,RAND()),N91,RAND()),ROUND((F91/E91)*_xlfn.XLOOKUP(B91,PlayerStatsSeason!B82:B1075,PlayerStatsSeason!AD82:AD1075),0)),0)</f>
        <v>#NAME?</v>
      </c>
      <c r="U91" s="9"/>
    </row>
    <row r="92" spans="1:23" ht="15.75" x14ac:dyDescent="0.25">
      <c r="A92" s="146" t="s">
        <v>3148</v>
      </c>
      <c r="B92" s="141" t="str">
        <f ca="1">IFERROR(IF(_xlfn.XLOOKUP(Q92,PlayerWorking!$H$5:$H$31,PlayerWorking!$I$5:$I$31)=0, "", _xlfn.XLOOKUP(Q92,PlayerWorking!$H$5:$H$31,PlayerWorking!$I$5:$I$31)), "")</f>
        <v/>
      </c>
      <c r="C92" s="142" t="e">
        <f ca="1">_xlfn.XLOOKUP(B92,PlayerStatsSeason!$B$3:$B$996,PlayerStatsSeason!$H$3:$H$996)</f>
        <v>#NAME?</v>
      </c>
      <c r="D92" s="145" t="e">
        <f ca="1">IF(Q92&lt;=5,C92,C92/SUM(PlayerWorking!$J$10:$J$27)*(240-SUM(PlayerWorking!$J$5:$J$9)))</f>
        <v>#NAME?</v>
      </c>
      <c r="E92" s="142" t="e">
        <f ca="1">IF(D92&gt;0,_xlfn.XLOOKUP(B92,PlayerStatsSeason!$B$3:$B$996,PlayerStatsSeason!$J$3:$J$996)+_xlfn.XLOOKUP(B92,PlayerStatsSeason!$B$3:$B$996,PlayerStatsSeason!$T$3:$T$996))</f>
        <v>#NAME?</v>
      </c>
      <c r="F92" s="145" t="e">
        <f t="shared" ca="1" si="10"/>
        <v>#NAME?</v>
      </c>
      <c r="G92" s="149" t="e">
        <f ca="1">_xlfn.XLOOKUP($B92, PlayerStatsSeason!$B$3:$B$996, PlayerStatsSeason!$P$3:$P$996)/(_xlfn.XLOOKUP($B92, PlayerStatsSeason!$B$3:$B$996, PlayerStatsSeason!$P$3:$P$996)+_xlfn.XLOOKUP($B92, PlayerStatsSeason!$B$3:$B$996, PlayerStatsSeason!$M$3:$M$996)+_xlfn.XLOOKUP(B$12,PlayerStatsSeason!$B$3:$B$996,PlayerStatsSeason!$T$3:$T$996))</f>
        <v>#NAME?</v>
      </c>
      <c r="H92" s="149" t="e">
        <f ca="1">_xlfn.LET(_xlpm.val, _xlfn.XLOOKUP(B92, PlayerStatsSeason!$B$3:$B$996, PlayerStatsSeason!$Q$3:$Q$996, ""),
  IF(OR(_xlpm.val=0, _xlpm.val=""), "", VALUE(_xlpm.val))
)</f>
        <v>#NAME?</v>
      </c>
      <c r="I92" s="144" t="e">
        <f ca="1">_xlfn.LET(
  _xlpm.val, _xlfn.XLOOKUP(B92, PlayerStatsSeason!$B$3:$B$996, PlayerStatsSeason!$P$3:$P$996, ""),
  IF(OR(_xlpm.val=0, _xlpm.val=""), "", VALUE(_xlpm.val))
)</f>
        <v>#NAME?</v>
      </c>
      <c r="J92" s="149" t="e">
        <f ca="1">_xlfn.XLOOKUP($B92, PlayerStatsSeason!$B$3:$B$996, PlayerStatsSeason!$M$3:$M$996)/(_xlfn.XLOOKUP($B92, PlayerStatsSeason!$B$3:$B$996, PlayerStatsSeason!$P$3:$P$996)+_xlfn.XLOOKUP($B92, PlayerStatsSeason!$B$3:$B$996, PlayerStatsSeason!$M$3:$M$996)+_xlfn.XLOOKUP(B$12,PlayerStatsSeason!$B$3:$B$996,PlayerStatsSeason!$T$3:$T$996))</f>
        <v>#NAME?</v>
      </c>
      <c r="K92" s="143" t="e">
        <f ca="1">_xlfn.LET(
  _xlpm.val, _xlfn.XLOOKUP(B92, PlayerStatsSeason!$B$3:$B$996, PlayerStatsSeason!$N$3:$N$996, ""),
  IF(OR(_xlpm.val=0, _xlpm.val=""), "", VALUE(_xlpm.val))
)</f>
        <v>#NAME?</v>
      </c>
      <c r="L92" s="174" t="e" cm="1">
        <f t="array" aca="1" ref="L92" ca="1">_xlfn.LET(
  _xlpm.val, _xlfn.XLOOKUP(B92, PlayerStatsSeason!$B$3:$B$996, PlayerStatsSeason!$M$3:$M$996, ""),
  IF(OR(_xlpm.val=0, _xlpm.val=""), "", VALUE(_xlpm.val))
)</f>
        <v>#NAME?</v>
      </c>
      <c r="M92" s="149" t="e">
        <f ca="1">_xlfn.XLOOKUP($B92, PlayerStatsSeason!$B$3:$B$996, PlayerStatsSeason!$T$3:$T$996)/(_xlfn.XLOOKUP($B92, PlayerStatsSeason!$B$3:$B$996, PlayerStatsSeason!$P$3:$P$996)+_xlfn.XLOOKUP($B92, PlayerStatsSeason!$B$3:$B$996, PlayerStatsSeason!$M$3:$M$996)+_xlfn.XLOOKUP(B$12,PlayerStatsSeason!$B$3:$B$996,PlayerStatsSeason!$T$3:$T$996))</f>
        <v>#NAME?</v>
      </c>
      <c r="N92" s="143" t="e">
        <f ca="1">_xlfn.LET(
  _xlpm.val, _xlfn.XLOOKUP(B92, PlayerStatsSeason!$B$3:$B$996, PlayerStatsSeason!$U$3:$U$996, ""),
  IF(OR(_xlpm.val=0, _xlpm.val=""), "", VALUE(_xlpm.val))
)</f>
        <v>#NAME?</v>
      </c>
      <c r="O92" s="144" t="e">
        <f ca="1">_xlfn.LET(
  _xlpm.val, _xlfn.XLOOKUP(B92, PlayerStatsSeason!$B$3:$B$996, PlayerStatsSeason!$T$3:$T$996, ""),
  IF(OR(_xlpm.val=0, _xlpm.val=""), "", VALUE(_xlpm.val))
)</f>
        <v>#NAME?</v>
      </c>
      <c r="P92" s="141"/>
      <c r="Q92" s="141" cm="1">
        <f t="array" aca="1" ref="Q92" ca="1">MIN(IF(ISNA(MATCH(PlayerWorking!$H$5:OFFSET(PlayerWorking!$H$5,PlayerWorking!$C$5-1,0),Results!$Q$12:Q91,0)),PlayerWorking!$H$5:OFFSET(PlayerWorking!$H$5,PlayerWorking!$C$5-1,1)))</f>
        <v>0</v>
      </c>
      <c r="R92" s="170" t="e">
        <f t="shared" ca="1" si="11"/>
        <v>#NAME?</v>
      </c>
      <c r="S92" s="141"/>
      <c r="T92" s="154" t="e">
        <f ca="1">IF(D92&gt;0,IFERROR(2*_xlfn.BINOM.INV(_xlfn.BINOM.INV(F92,G92,RAND()),H92,RAND())+ 3*_xlfn.BINOM.INV(_xlfn.BINOM.INV(F92,J92,RAND()),K92,RAND())+ _xlfn.BINOM.INV(_xlfn.BINOM.INV(F92,M92,RAND()),N92,RAND()),ROUND((F92/E92)*_xlfn.XLOOKUP(B92,PlayerStatsSeason!B83:B1076,PlayerStatsSeason!AD83:AD1076),0)),0)</f>
        <v>#NAME?</v>
      </c>
      <c r="U92" s="9"/>
    </row>
    <row r="93" spans="1:23" ht="15.75" x14ac:dyDescent="0.25">
      <c r="A93" s="146" t="s">
        <v>3149</v>
      </c>
      <c r="B93" s="141" t="str">
        <f ca="1">IFERROR(IF(_xlfn.XLOOKUP(Q93,PlayerWorking!$H$5:$H$31,PlayerWorking!$I$5:$I$31)=0, "", _xlfn.XLOOKUP(Q93,PlayerWorking!$H$5:$H$31,PlayerWorking!$I$5:$I$31)), "")</f>
        <v/>
      </c>
      <c r="C93" s="142" t="e">
        <f ca="1">_xlfn.XLOOKUP(B93,PlayerStatsSeason!$B$3:$B$996,PlayerStatsSeason!$H$3:$H$996)</f>
        <v>#NAME?</v>
      </c>
      <c r="D93" s="145" t="e">
        <f ca="1">IF(Q93&lt;=5,C93,C93/SUM(PlayerWorking!$J$10:$J$27)*(240-SUM(PlayerWorking!$J$5:$J$9)))</f>
        <v>#NAME?</v>
      </c>
      <c r="E93" s="142" t="e">
        <f ca="1">IF(D93&gt;0,_xlfn.XLOOKUP(B93,PlayerStatsSeason!$B$3:$B$996,PlayerStatsSeason!$J$3:$J$996)+_xlfn.XLOOKUP(B93,PlayerStatsSeason!$B$3:$B$996,PlayerStatsSeason!$T$3:$T$996))</f>
        <v>#NAME?</v>
      </c>
      <c r="F93" s="145" t="e">
        <f t="shared" ca="1" si="10"/>
        <v>#NAME?</v>
      </c>
      <c r="G93" s="149" t="e">
        <f ca="1">_xlfn.XLOOKUP($B93, PlayerStatsSeason!$B$3:$B$996, PlayerStatsSeason!$P$3:$P$996)/(_xlfn.XLOOKUP($B93, PlayerStatsSeason!$B$3:$B$996, PlayerStatsSeason!$P$3:$P$996)+_xlfn.XLOOKUP($B93, PlayerStatsSeason!$B$3:$B$996, PlayerStatsSeason!$M$3:$M$996)+_xlfn.XLOOKUP(B$12,PlayerStatsSeason!$B$3:$B$996,PlayerStatsSeason!$T$3:$T$996))</f>
        <v>#NAME?</v>
      </c>
      <c r="H93" s="149" t="e">
        <f ca="1">_xlfn.LET(_xlpm.val, _xlfn.XLOOKUP(B93, PlayerStatsSeason!$B$3:$B$996, PlayerStatsSeason!$Q$3:$Q$996, ""),
  IF(OR(_xlpm.val=0, _xlpm.val=""), "", VALUE(_xlpm.val))
)</f>
        <v>#NAME?</v>
      </c>
      <c r="I93" s="144" t="e">
        <f ca="1">_xlfn.LET(
  _xlpm.val, _xlfn.XLOOKUP(B93, PlayerStatsSeason!$B$3:$B$996, PlayerStatsSeason!$P$3:$P$996, ""),
  IF(OR(_xlpm.val=0, _xlpm.val=""), "", VALUE(_xlpm.val))
)</f>
        <v>#NAME?</v>
      </c>
      <c r="J93" s="149" t="e">
        <f ca="1">_xlfn.XLOOKUP($B93, PlayerStatsSeason!$B$3:$B$996, PlayerStatsSeason!$M$3:$M$996)/(_xlfn.XLOOKUP($B93, PlayerStatsSeason!$B$3:$B$996, PlayerStatsSeason!$P$3:$P$996)+_xlfn.XLOOKUP($B93, PlayerStatsSeason!$B$3:$B$996, PlayerStatsSeason!$M$3:$M$996)+_xlfn.XLOOKUP(B$12,PlayerStatsSeason!$B$3:$B$996,PlayerStatsSeason!$T$3:$T$996))</f>
        <v>#NAME?</v>
      </c>
      <c r="K93" s="143" t="e">
        <f ca="1">_xlfn.LET(
  _xlpm.val, _xlfn.XLOOKUP(B93, PlayerStatsSeason!$B$3:$B$996, PlayerStatsSeason!$N$3:$N$996, ""),
  IF(OR(_xlpm.val=0, _xlpm.val=""), "", VALUE(_xlpm.val))
)</f>
        <v>#NAME?</v>
      </c>
      <c r="L93" s="174" t="e" cm="1">
        <f t="array" aca="1" ref="L93" ca="1">_xlfn.LET(
  _xlpm.val, _xlfn.XLOOKUP(B93, PlayerStatsSeason!$B$3:$B$996, PlayerStatsSeason!$M$3:$M$996, ""),
  IF(OR(_xlpm.val=0, _xlpm.val=""), "", VALUE(_xlpm.val))
)</f>
        <v>#NAME?</v>
      </c>
      <c r="M93" s="149" t="e">
        <f ca="1">_xlfn.XLOOKUP($B93, PlayerStatsSeason!$B$3:$B$996, PlayerStatsSeason!$T$3:$T$996)/(_xlfn.XLOOKUP($B93, PlayerStatsSeason!$B$3:$B$996, PlayerStatsSeason!$P$3:$P$996)+_xlfn.XLOOKUP($B93, PlayerStatsSeason!$B$3:$B$996, PlayerStatsSeason!$M$3:$M$996)+_xlfn.XLOOKUP(B$12,PlayerStatsSeason!$B$3:$B$996,PlayerStatsSeason!$T$3:$T$996))</f>
        <v>#NAME?</v>
      </c>
      <c r="N93" s="143" t="e">
        <f ca="1">_xlfn.LET(
  _xlpm.val, _xlfn.XLOOKUP(B93, PlayerStatsSeason!$B$3:$B$996, PlayerStatsSeason!$U$3:$U$996, ""),
  IF(OR(_xlpm.val=0, _xlpm.val=""), "", VALUE(_xlpm.val))
)</f>
        <v>#NAME?</v>
      </c>
      <c r="O93" s="144" t="e">
        <f ca="1">_xlfn.LET(
  _xlpm.val, _xlfn.XLOOKUP(B93, PlayerStatsSeason!$B$3:$B$996, PlayerStatsSeason!$T$3:$T$996, ""),
  IF(OR(_xlpm.val=0, _xlpm.val=""), "", VALUE(_xlpm.val))
)</f>
        <v>#NAME?</v>
      </c>
      <c r="P93" s="141"/>
      <c r="Q93" s="141" cm="1">
        <f t="array" aca="1" ref="Q93" ca="1">MIN(IF(ISNA(MATCH(PlayerWorking!$H$5:OFFSET(PlayerWorking!$H$5,PlayerWorking!$C$5-1,0),Results!$Q$12:Q92,0)),PlayerWorking!$H$5:OFFSET(PlayerWorking!$H$5,PlayerWorking!$C$5-1,1)))</f>
        <v>0</v>
      </c>
      <c r="R93" s="170" t="e">
        <f t="shared" ca="1" si="11"/>
        <v>#NAME?</v>
      </c>
      <c r="S93" s="141"/>
      <c r="T93" s="154" t="e">
        <f ca="1">IF(D93&gt;0,IFERROR(2*_xlfn.BINOM.INV(_xlfn.BINOM.INV(F93,G93,RAND()),H93,RAND())+ 3*_xlfn.BINOM.INV(_xlfn.BINOM.INV(F93,J93,RAND()),K93,RAND())+ _xlfn.BINOM.INV(_xlfn.BINOM.INV(F93,M93,RAND()),N93,RAND()),ROUND((F93/E93)*_xlfn.XLOOKUP(B93,PlayerStatsSeason!B84:B1077,PlayerStatsSeason!AD84:AD1077),0)),0)</f>
        <v>#NAME?</v>
      </c>
      <c r="U93" s="9"/>
    </row>
    <row r="94" spans="1:23" ht="15.75" x14ac:dyDescent="0.25">
      <c r="A94" s="146" t="s">
        <v>3150</v>
      </c>
      <c r="B94" s="141" t="str">
        <f ca="1">IFERROR(IF(_xlfn.XLOOKUP(Q94,PlayerWorking!$H$5:$H$31,PlayerWorking!$I$5:$I$31)=0, "", _xlfn.XLOOKUP(Q94,PlayerWorking!$H$5:$H$31,PlayerWorking!$I$5:$I$31)), "")</f>
        <v/>
      </c>
      <c r="C94" s="142" t="e">
        <f ca="1">_xlfn.XLOOKUP(B94,PlayerStatsSeason!$B$3:$B$996,PlayerStatsSeason!$H$3:$H$996)</f>
        <v>#NAME?</v>
      </c>
      <c r="D94" s="145" t="e">
        <f ca="1">IF(Q94&lt;=5,C94,C94/SUM(PlayerWorking!$J$10:$J$27)*(240-SUM(PlayerWorking!$J$5:$J$9)))</f>
        <v>#NAME?</v>
      </c>
      <c r="E94" s="142" t="e">
        <f ca="1">IF(D94&gt;0,_xlfn.XLOOKUP(B94,PlayerStatsSeason!$B$3:$B$996,PlayerStatsSeason!$J$3:$J$996)+_xlfn.XLOOKUP(B94,PlayerStatsSeason!$B$3:$B$996,PlayerStatsSeason!$T$3:$T$996))</f>
        <v>#NAME?</v>
      </c>
      <c r="F94" s="145" t="e">
        <f t="shared" ca="1" si="10"/>
        <v>#NAME?</v>
      </c>
      <c r="G94" s="149" t="e">
        <f ca="1">_xlfn.XLOOKUP($B94, PlayerStatsSeason!$B$3:$B$996, PlayerStatsSeason!$P$3:$P$996)/(_xlfn.XLOOKUP($B94, PlayerStatsSeason!$B$3:$B$996, PlayerStatsSeason!$P$3:$P$996)+_xlfn.XLOOKUP($B94, PlayerStatsSeason!$B$3:$B$996, PlayerStatsSeason!$M$3:$M$996)+_xlfn.XLOOKUP(B$12,PlayerStatsSeason!$B$3:$B$996,PlayerStatsSeason!$T$3:$T$996))</f>
        <v>#NAME?</v>
      </c>
      <c r="H94" s="149" t="e">
        <f ca="1">_xlfn.LET(_xlpm.val, _xlfn.XLOOKUP(B94, PlayerStatsSeason!$B$3:$B$996, PlayerStatsSeason!$Q$3:$Q$996, ""),
  IF(OR(_xlpm.val=0, _xlpm.val=""), "", VALUE(_xlpm.val))
)</f>
        <v>#NAME?</v>
      </c>
      <c r="I94" s="144" t="e">
        <f ca="1">_xlfn.LET(
  _xlpm.val, _xlfn.XLOOKUP(B94, PlayerStatsSeason!$B$3:$B$996, PlayerStatsSeason!$P$3:$P$996, ""),
  IF(OR(_xlpm.val=0, _xlpm.val=""), "", VALUE(_xlpm.val))
)</f>
        <v>#NAME?</v>
      </c>
      <c r="J94" s="149" t="e">
        <f ca="1">_xlfn.XLOOKUP($B94, PlayerStatsSeason!$B$3:$B$996, PlayerStatsSeason!$M$3:$M$996)/(_xlfn.XLOOKUP($B94, PlayerStatsSeason!$B$3:$B$996, PlayerStatsSeason!$P$3:$P$996)+_xlfn.XLOOKUP($B94, PlayerStatsSeason!$B$3:$B$996, PlayerStatsSeason!$M$3:$M$996)+_xlfn.XLOOKUP(B$12,PlayerStatsSeason!$B$3:$B$996,PlayerStatsSeason!$T$3:$T$996))</f>
        <v>#NAME?</v>
      </c>
      <c r="K94" s="143" t="e">
        <f ca="1">_xlfn.LET(
  _xlpm.val, _xlfn.XLOOKUP(B94, PlayerStatsSeason!$B$3:$B$996, PlayerStatsSeason!$N$3:$N$996, ""),
  IF(OR(_xlpm.val=0, _xlpm.val=""), "", VALUE(_xlpm.val))
)</f>
        <v>#NAME?</v>
      </c>
      <c r="L94" s="174" t="e" cm="1">
        <f t="array" aca="1" ref="L94" ca="1">_xlfn.LET(
  _xlpm.val, _xlfn.XLOOKUP(B94, PlayerStatsSeason!$B$3:$B$996, PlayerStatsSeason!$M$3:$M$996, ""),
  IF(OR(_xlpm.val=0, _xlpm.val=""), "", VALUE(_xlpm.val))
)</f>
        <v>#NAME?</v>
      </c>
      <c r="M94" s="149" t="e">
        <f ca="1">_xlfn.XLOOKUP($B94, PlayerStatsSeason!$B$3:$B$996, PlayerStatsSeason!$T$3:$T$996)/(_xlfn.XLOOKUP($B94, PlayerStatsSeason!$B$3:$B$996, PlayerStatsSeason!$P$3:$P$996)+_xlfn.XLOOKUP($B94, PlayerStatsSeason!$B$3:$B$996, PlayerStatsSeason!$M$3:$M$996)+_xlfn.XLOOKUP(B$12,PlayerStatsSeason!$B$3:$B$996,PlayerStatsSeason!$T$3:$T$996))</f>
        <v>#NAME?</v>
      </c>
      <c r="N94" s="143" t="e">
        <f ca="1">_xlfn.LET(
  _xlpm.val, _xlfn.XLOOKUP(B94, PlayerStatsSeason!$B$3:$B$996, PlayerStatsSeason!$U$3:$U$996, ""),
  IF(OR(_xlpm.val=0, _xlpm.val=""), "", VALUE(_xlpm.val))
)</f>
        <v>#NAME?</v>
      </c>
      <c r="O94" s="144" t="e">
        <f ca="1">_xlfn.LET(
  _xlpm.val, _xlfn.XLOOKUP(B94, PlayerStatsSeason!$B$3:$B$996, PlayerStatsSeason!$T$3:$T$996, ""),
  IF(OR(_xlpm.val=0, _xlpm.val=""), "", VALUE(_xlpm.val))
)</f>
        <v>#NAME?</v>
      </c>
      <c r="P94" s="141"/>
      <c r="Q94" s="141" cm="1">
        <f t="array" aca="1" ref="Q94" ca="1">MIN(IF(ISNA(MATCH(PlayerWorking!$H$5:OFFSET(PlayerWorking!$H$5,PlayerWorking!$C$5-1,0),Results!$Q$12:Q93,0)),PlayerWorking!$H$5:OFFSET(PlayerWorking!$H$5,PlayerWorking!$C$5-1,1)))</f>
        <v>0</v>
      </c>
      <c r="R94" s="170" t="e">
        <f t="shared" ca="1" si="11"/>
        <v>#NAME?</v>
      </c>
      <c r="S94" s="141"/>
      <c r="T94" s="154" t="e">
        <f ca="1">IF(D94&gt;0,IFERROR(2*_xlfn.BINOM.INV(_xlfn.BINOM.INV(F94,G94,RAND()),H94,RAND())+ 3*_xlfn.BINOM.INV(_xlfn.BINOM.INV(F94,J94,RAND()),K94,RAND())+ _xlfn.BINOM.INV(_xlfn.BINOM.INV(F94,M94,RAND()),N94,RAND()),ROUND((F94/E94)*_xlfn.XLOOKUP(B94,PlayerStatsSeason!B85:B1078,PlayerStatsSeason!AD85:AD1078),0)),0)</f>
        <v>#NAME?</v>
      </c>
      <c r="U94" s="9">
        <v>15.5</v>
      </c>
      <c r="V94" t="e">
        <f t="shared" ref="V94:V95" ca="1" si="14">R94-U94</f>
        <v>#NAME?</v>
      </c>
      <c r="W94" t="e">
        <f t="shared" ref="W94:W95" ca="1" si="15">T94-U94</f>
        <v>#NAME?</v>
      </c>
    </row>
    <row r="95" spans="1:23" ht="15.75" x14ac:dyDescent="0.25">
      <c r="A95" s="146" t="s">
        <v>3151</v>
      </c>
      <c r="B95" s="141" t="str">
        <f ca="1">IFERROR(IF(_xlfn.XLOOKUP(Q95,PlayerWorking!$H$5:$H$31,PlayerWorking!$I$5:$I$31)=0, "", _xlfn.XLOOKUP(Q95,PlayerWorking!$H$5:$H$31,PlayerWorking!$I$5:$I$31)), "")</f>
        <v/>
      </c>
      <c r="C95" s="142" t="e">
        <f ca="1">_xlfn.XLOOKUP(B95,PlayerStatsSeason!$B$3:$B$996,PlayerStatsSeason!$H$3:$H$996)</f>
        <v>#NAME?</v>
      </c>
      <c r="D95" s="145" t="e">
        <f ca="1">IF(Q95&lt;=5,C95,C95/SUM(PlayerWorking!$J$10:$J$27)*(240-SUM(PlayerWorking!$J$5:$J$9)))</f>
        <v>#NAME?</v>
      </c>
      <c r="E95" s="142" t="e">
        <f ca="1">IF(D95&gt;0,_xlfn.XLOOKUP(B95,PlayerStatsSeason!$B$3:$B$996,PlayerStatsSeason!$J$3:$J$996)+_xlfn.XLOOKUP(B95,PlayerStatsSeason!$B$3:$B$996,PlayerStatsSeason!$T$3:$T$996))</f>
        <v>#NAME?</v>
      </c>
      <c r="F95" s="145" t="e">
        <f t="shared" ca="1" si="10"/>
        <v>#NAME?</v>
      </c>
      <c r="G95" s="149" t="e">
        <f ca="1">_xlfn.XLOOKUP($B95, PlayerStatsSeason!$B$3:$B$996, PlayerStatsSeason!$P$3:$P$996)/(_xlfn.XLOOKUP($B95, PlayerStatsSeason!$B$3:$B$996, PlayerStatsSeason!$P$3:$P$996)+_xlfn.XLOOKUP($B95, PlayerStatsSeason!$B$3:$B$996, PlayerStatsSeason!$M$3:$M$996)+_xlfn.XLOOKUP(B$12,PlayerStatsSeason!$B$3:$B$996,PlayerStatsSeason!$T$3:$T$996))</f>
        <v>#NAME?</v>
      </c>
      <c r="H95" s="149" t="e">
        <f ca="1">_xlfn.LET(_xlpm.val, _xlfn.XLOOKUP(B95, PlayerStatsSeason!$B$3:$B$996, PlayerStatsSeason!$Q$3:$Q$996, ""),
  IF(OR(_xlpm.val=0, _xlpm.val=""), "", VALUE(_xlpm.val))
)</f>
        <v>#NAME?</v>
      </c>
      <c r="I95" s="144" t="e">
        <f ca="1">_xlfn.LET(
  _xlpm.val, _xlfn.XLOOKUP(B95, PlayerStatsSeason!$B$3:$B$996, PlayerStatsSeason!$P$3:$P$996, ""),
  IF(OR(_xlpm.val=0, _xlpm.val=""), "", VALUE(_xlpm.val))
)</f>
        <v>#NAME?</v>
      </c>
      <c r="J95" s="149" t="e">
        <f ca="1">_xlfn.XLOOKUP($B95, PlayerStatsSeason!$B$3:$B$996, PlayerStatsSeason!$M$3:$M$996)/(_xlfn.XLOOKUP($B95, PlayerStatsSeason!$B$3:$B$996, PlayerStatsSeason!$P$3:$P$996)+_xlfn.XLOOKUP($B95, PlayerStatsSeason!$B$3:$B$996, PlayerStatsSeason!$M$3:$M$996)+_xlfn.XLOOKUP(B$12,PlayerStatsSeason!$B$3:$B$996,PlayerStatsSeason!$T$3:$T$996))</f>
        <v>#NAME?</v>
      </c>
      <c r="K95" s="143" t="e">
        <f ca="1">_xlfn.LET(
  _xlpm.val, _xlfn.XLOOKUP(B95, PlayerStatsSeason!$B$3:$B$996, PlayerStatsSeason!$N$3:$N$996, ""),
  IF(OR(_xlpm.val=0, _xlpm.val=""), "", VALUE(_xlpm.val))
)</f>
        <v>#NAME?</v>
      </c>
      <c r="L95" s="174" t="e" cm="1">
        <f t="array" aca="1" ref="L95" ca="1">_xlfn.LET(
  _xlpm.val, _xlfn.XLOOKUP(B95, PlayerStatsSeason!$B$3:$B$996, PlayerStatsSeason!$M$3:$M$996, ""),
  IF(OR(_xlpm.val=0, _xlpm.val=""), "", VALUE(_xlpm.val))
)</f>
        <v>#NAME?</v>
      </c>
      <c r="M95" s="149" t="e">
        <f ca="1">_xlfn.XLOOKUP($B95, PlayerStatsSeason!$B$3:$B$996, PlayerStatsSeason!$T$3:$T$996)/(_xlfn.XLOOKUP($B95, PlayerStatsSeason!$B$3:$B$996, PlayerStatsSeason!$P$3:$P$996)+_xlfn.XLOOKUP($B95, PlayerStatsSeason!$B$3:$B$996, PlayerStatsSeason!$M$3:$M$996)+_xlfn.XLOOKUP(B$12,PlayerStatsSeason!$B$3:$B$996,PlayerStatsSeason!$T$3:$T$996))</f>
        <v>#NAME?</v>
      </c>
      <c r="N95" s="143" t="e">
        <f ca="1">_xlfn.LET(
  _xlpm.val, _xlfn.XLOOKUP(B95, PlayerStatsSeason!$B$3:$B$996, PlayerStatsSeason!$U$3:$U$996, ""),
  IF(OR(_xlpm.val=0, _xlpm.val=""), "", VALUE(_xlpm.val))
)</f>
        <v>#NAME?</v>
      </c>
      <c r="O95" s="144" t="e">
        <f ca="1">_xlfn.LET(
  _xlpm.val, _xlfn.XLOOKUP(B95, PlayerStatsSeason!$B$3:$B$996, PlayerStatsSeason!$T$3:$T$996, ""),
  IF(OR(_xlpm.val=0, _xlpm.val=""), "", VALUE(_xlpm.val))
)</f>
        <v>#NAME?</v>
      </c>
      <c r="P95" s="141"/>
      <c r="Q95" s="141" cm="1">
        <f t="array" aca="1" ref="Q95" ca="1">MIN(IF(ISNA(MATCH(PlayerWorking!$H$5:OFFSET(PlayerWorking!$H$5,PlayerWorking!$C$5-1,0),Results!$Q$12:Q94,0)),PlayerWorking!$H$5:OFFSET(PlayerWorking!$H$5,PlayerWorking!$C$5-1,1)))</f>
        <v>0</v>
      </c>
      <c r="R95" s="170" t="e">
        <f t="shared" ca="1" si="11"/>
        <v>#NAME?</v>
      </c>
      <c r="S95" s="141"/>
      <c r="T95" s="154" t="e">
        <f ca="1">IF(D95&gt;0,IFERROR(2*_xlfn.BINOM.INV(_xlfn.BINOM.INV(F95,G95,RAND()),H95,RAND())+ 3*_xlfn.BINOM.INV(_xlfn.BINOM.INV(F95,J95,RAND()),K95,RAND())+ _xlfn.BINOM.INV(_xlfn.BINOM.INV(F95,M95,RAND()),N95,RAND()),ROUND((F95/E95)*_xlfn.XLOOKUP(B95,PlayerStatsSeason!B86:B1079,PlayerStatsSeason!AD86:AD1079),0)),0)</f>
        <v>#NAME?</v>
      </c>
      <c r="U95" s="9">
        <v>6.5</v>
      </c>
      <c r="V95" t="e">
        <f t="shared" ca="1" si="14"/>
        <v>#NAME?</v>
      </c>
      <c r="W95" t="e">
        <f t="shared" ca="1" si="15"/>
        <v>#NAME?</v>
      </c>
    </row>
    <row r="96" spans="1:23" ht="15.75" x14ac:dyDescent="0.25">
      <c r="A96" s="146" t="s">
        <v>3152</v>
      </c>
      <c r="B96" s="141" t="str">
        <f ca="1">IFERROR(IF(_xlfn.XLOOKUP(Q96,PlayerWorking!$H$5:$H$31,PlayerWorking!$I$5:$I$31)=0, "", _xlfn.XLOOKUP(Q96,PlayerWorking!$H$5:$H$31,PlayerWorking!$I$5:$I$31)), "")</f>
        <v/>
      </c>
      <c r="C96" s="142" t="e">
        <f ca="1">_xlfn.XLOOKUP(B96,PlayerStatsSeason!$B$3:$B$996,PlayerStatsSeason!$H$3:$H$996)</f>
        <v>#NAME?</v>
      </c>
      <c r="D96" s="145" t="e">
        <f ca="1">IF(Q96&lt;=5,C96,C96/SUM(PlayerWorking!$J$10:$J$27)*(240-SUM(PlayerWorking!$J$5:$J$9)))</f>
        <v>#NAME?</v>
      </c>
      <c r="E96" s="142" t="e">
        <f ca="1">IF(D96&gt;0,_xlfn.XLOOKUP(B96,PlayerStatsSeason!$B$3:$B$996,PlayerStatsSeason!$J$3:$J$996)+_xlfn.XLOOKUP(B96,PlayerStatsSeason!$B$3:$B$996,PlayerStatsSeason!$T$3:$T$996))</f>
        <v>#NAME?</v>
      </c>
      <c r="F96" s="145" t="e">
        <f t="shared" ca="1" si="10"/>
        <v>#NAME?</v>
      </c>
      <c r="G96" s="149" t="e">
        <f ca="1">_xlfn.XLOOKUP($B96, PlayerStatsSeason!$B$3:$B$996, PlayerStatsSeason!$P$3:$P$996)/(_xlfn.XLOOKUP($B96, PlayerStatsSeason!$B$3:$B$996, PlayerStatsSeason!$P$3:$P$996)+_xlfn.XLOOKUP($B96, PlayerStatsSeason!$B$3:$B$996, PlayerStatsSeason!$M$3:$M$996)+_xlfn.XLOOKUP(B$12,PlayerStatsSeason!$B$3:$B$996,PlayerStatsSeason!$T$3:$T$996))</f>
        <v>#NAME?</v>
      </c>
      <c r="H96" s="149" t="e">
        <f ca="1">_xlfn.LET(_xlpm.val, _xlfn.XLOOKUP(B96, PlayerStatsSeason!$B$3:$B$996, PlayerStatsSeason!$Q$3:$Q$996, ""),
  IF(OR(_xlpm.val=0, _xlpm.val=""), "", VALUE(_xlpm.val))
)</f>
        <v>#NAME?</v>
      </c>
      <c r="I96" s="144" t="e">
        <f ca="1">_xlfn.LET(
  _xlpm.val, _xlfn.XLOOKUP(B96, PlayerStatsSeason!$B$3:$B$996, PlayerStatsSeason!$P$3:$P$996, ""),
  IF(OR(_xlpm.val=0, _xlpm.val=""), "", VALUE(_xlpm.val))
)</f>
        <v>#NAME?</v>
      </c>
      <c r="J96" s="149" t="e">
        <f ca="1">_xlfn.XLOOKUP($B96, PlayerStatsSeason!$B$3:$B$996, PlayerStatsSeason!$M$3:$M$996)/(_xlfn.XLOOKUP($B96, PlayerStatsSeason!$B$3:$B$996, PlayerStatsSeason!$P$3:$P$996)+_xlfn.XLOOKUP($B96, PlayerStatsSeason!$B$3:$B$996, PlayerStatsSeason!$M$3:$M$996)+_xlfn.XLOOKUP(B$12,PlayerStatsSeason!$B$3:$B$996,PlayerStatsSeason!$T$3:$T$996))</f>
        <v>#NAME?</v>
      </c>
      <c r="K96" s="143" t="e">
        <f ca="1">_xlfn.LET(
  _xlpm.val, _xlfn.XLOOKUP(B96, PlayerStatsSeason!$B$3:$B$996, PlayerStatsSeason!$N$3:$N$996, ""),
  IF(OR(_xlpm.val=0, _xlpm.val=""), "", VALUE(_xlpm.val))
)</f>
        <v>#NAME?</v>
      </c>
      <c r="L96" s="174" t="e" cm="1">
        <f t="array" aca="1" ref="L96" ca="1">_xlfn.LET(
  _xlpm.val, _xlfn.XLOOKUP(B96, PlayerStatsSeason!$B$3:$B$996, PlayerStatsSeason!$M$3:$M$996, ""),
  IF(OR(_xlpm.val=0, _xlpm.val=""), "", VALUE(_xlpm.val))
)</f>
        <v>#NAME?</v>
      </c>
      <c r="M96" s="149" t="e">
        <f ca="1">_xlfn.XLOOKUP($B96, PlayerStatsSeason!$B$3:$B$996, PlayerStatsSeason!$T$3:$T$996)/(_xlfn.XLOOKUP($B96, PlayerStatsSeason!$B$3:$B$996, PlayerStatsSeason!$P$3:$P$996)+_xlfn.XLOOKUP($B96, PlayerStatsSeason!$B$3:$B$996, PlayerStatsSeason!$M$3:$M$996)+_xlfn.XLOOKUP(B$12,PlayerStatsSeason!$B$3:$B$996,PlayerStatsSeason!$T$3:$T$996))</f>
        <v>#NAME?</v>
      </c>
      <c r="N96" s="143" t="e">
        <f ca="1">_xlfn.LET(
  _xlpm.val, _xlfn.XLOOKUP(B96, PlayerStatsSeason!$B$3:$B$996, PlayerStatsSeason!$U$3:$U$996, ""),
  IF(OR(_xlpm.val=0, _xlpm.val=""), "", VALUE(_xlpm.val))
)</f>
        <v>#NAME?</v>
      </c>
      <c r="O96" s="144" t="e">
        <f ca="1">_xlfn.LET(
  _xlpm.val, _xlfn.XLOOKUP(B96, PlayerStatsSeason!$B$3:$B$996, PlayerStatsSeason!$T$3:$T$996, ""),
  IF(OR(_xlpm.val=0, _xlpm.val=""), "", VALUE(_xlpm.val))
)</f>
        <v>#NAME?</v>
      </c>
      <c r="P96" s="141"/>
      <c r="Q96" s="141" cm="1">
        <f t="array" aca="1" ref="Q96" ca="1">MIN(IF(ISNA(MATCH(PlayerWorking!$H$5:OFFSET(PlayerWorking!$H$5,PlayerWorking!$C$5-1,0),Results!$Q$12:Q95,0)),PlayerWorking!$H$5:OFFSET(PlayerWorking!$H$5,PlayerWorking!$C$5-1,1)))</f>
        <v>0</v>
      </c>
      <c r="R96" s="170" t="e">
        <f t="shared" ca="1" si="11"/>
        <v>#NAME?</v>
      </c>
      <c r="S96" s="141"/>
      <c r="T96" s="154" t="e">
        <f ca="1">IF(D96&gt;0,IFERROR(2*_xlfn.BINOM.INV(_xlfn.BINOM.INV(F96,G96,RAND()),H96,RAND())+ 3*_xlfn.BINOM.INV(_xlfn.BINOM.INV(F96,J96,RAND()),K96,RAND())+ _xlfn.BINOM.INV(_xlfn.BINOM.INV(F96,M96,RAND()),N96,RAND()),ROUND((F96/E96)*_xlfn.XLOOKUP(B96,PlayerStatsSeason!B87:B1080,PlayerStatsSeason!AD87:AD1080),0)),0)</f>
        <v>#NAME?</v>
      </c>
      <c r="U96" s="9"/>
    </row>
    <row r="97" spans="1:23" ht="15.75" x14ac:dyDescent="0.25">
      <c r="A97" s="146" t="s">
        <v>3153</v>
      </c>
      <c r="B97" s="141" t="str">
        <f ca="1">IFERROR(IF(_xlfn.XLOOKUP(Q97,PlayerWorking!$H$5:$H$31,PlayerWorking!$I$5:$I$31)=0, "", _xlfn.XLOOKUP(Q97,PlayerWorking!$H$5:$H$31,PlayerWorking!$I$5:$I$31)), "")</f>
        <v/>
      </c>
      <c r="C97" s="142" t="e">
        <f ca="1">_xlfn.XLOOKUP(B97,PlayerStatsSeason!$B$3:$B$996,PlayerStatsSeason!$H$3:$H$996)</f>
        <v>#NAME?</v>
      </c>
      <c r="D97" s="145" t="e">
        <f ca="1">IF(Q97&lt;=5,C97,C97/SUM(PlayerWorking!$J$10:$J$27)*(240-SUM(PlayerWorking!$J$5:$J$9)))</f>
        <v>#NAME?</v>
      </c>
      <c r="E97" s="142" t="e">
        <f ca="1">IF(D97&gt;0,_xlfn.XLOOKUP(B97,PlayerStatsSeason!$B$3:$B$996,PlayerStatsSeason!$J$3:$J$996)+_xlfn.XLOOKUP(B97,PlayerStatsSeason!$B$3:$B$996,PlayerStatsSeason!$T$3:$T$996))</f>
        <v>#NAME?</v>
      </c>
      <c r="F97" s="145" t="e">
        <f t="shared" ca="1" si="10"/>
        <v>#NAME?</v>
      </c>
      <c r="G97" s="149" t="e">
        <f ca="1">_xlfn.XLOOKUP($B97, PlayerStatsSeason!$B$3:$B$996, PlayerStatsSeason!$P$3:$P$996)/(_xlfn.XLOOKUP($B97, PlayerStatsSeason!$B$3:$B$996, PlayerStatsSeason!$P$3:$P$996)+_xlfn.XLOOKUP($B97, PlayerStatsSeason!$B$3:$B$996, PlayerStatsSeason!$M$3:$M$996)+_xlfn.XLOOKUP(B$12,PlayerStatsSeason!$B$3:$B$996,PlayerStatsSeason!$T$3:$T$996))</f>
        <v>#NAME?</v>
      </c>
      <c r="H97" s="149" t="e">
        <f ca="1">_xlfn.LET(_xlpm.val, _xlfn.XLOOKUP(B97, PlayerStatsSeason!$B$3:$B$996, PlayerStatsSeason!$Q$3:$Q$996, ""),
  IF(OR(_xlpm.val=0, _xlpm.val=""), "", VALUE(_xlpm.val))
)</f>
        <v>#NAME?</v>
      </c>
      <c r="I97" s="144" t="e">
        <f ca="1">_xlfn.LET(
  _xlpm.val, _xlfn.XLOOKUP(B97, PlayerStatsSeason!$B$3:$B$996, PlayerStatsSeason!$P$3:$P$996, ""),
  IF(OR(_xlpm.val=0, _xlpm.val=""), "", VALUE(_xlpm.val))
)</f>
        <v>#NAME?</v>
      </c>
      <c r="J97" s="149" t="e">
        <f ca="1">_xlfn.XLOOKUP($B97, PlayerStatsSeason!$B$3:$B$996, PlayerStatsSeason!$M$3:$M$996)/(_xlfn.XLOOKUP($B97, PlayerStatsSeason!$B$3:$B$996, PlayerStatsSeason!$P$3:$P$996)+_xlfn.XLOOKUP($B97, PlayerStatsSeason!$B$3:$B$996, PlayerStatsSeason!$M$3:$M$996)+_xlfn.XLOOKUP(B$12,PlayerStatsSeason!$B$3:$B$996,PlayerStatsSeason!$T$3:$T$996))</f>
        <v>#NAME?</v>
      </c>
      <c r="K97" s="143" t="e">
        <f ca="1">_xlfn.LET(
  _xlpm.val, _xlfn.XLOOKUP(B97, PlayerStatsSeason!$B$3:$B$996, PlayerStatsSeason!$N$3:$N$996, ""),
  IF(OR(_xlpm.val=0, _xlpm.val=""), "", VALUE(_xlpm.val))
)</f>
        <v>#NAME?</v>
      </c>
      <c r="L97" s="174" t="e" cm="1">
        <f t="array" aca="1" ref="L97" ca="1">_xlfn.LET(
  _xlpm.val, _xlfn.XLOOKUP(B97, PlayerStatsSeason!$B$3:$B$996, PlayerStatsSeason!$M$3:$M$996, ""),
  IF(OR(_xlpm.val=0, _xlpm.val=""), "", VALUE(_xlpm.val))
)</f>
        <v>#NAME?</v>
      </c>
      <c r="M97" s="149" t="e">
        <f ca="1">_xlfn.XLOOKUP($B97, PlayerStatsSeason!$B$3:$B$996, PlayerStatsSeason!$T$3:$T$996)/(_xlfn.XLOOKUP($B97, PlayerStatsSeason!$B$3:$B$996, PlayerStatsSeason!$P$3:$P$996)+_xlfn.XLOOKUP($B97, PlayerStatsSeason!$B$3:$B$996, PlayerStatsSeason!$M$3:$M$996)+_xlfn.XLOOKUP(B$12,PlayerStatsSeason!$B$3:$B$996,PlayerStatsSeason!$T$3:$T$996))</f>
        <v>#NAME?</v>
      </c>
      <c r="N97" s="143" t="e">
        <f ca="1">_xlfn.LET(
  _xlpm.val, _xlfn.XLOOKUP(B97, PlayerStatsSeason!$B$3:$B$996, PlayerStatsSeason!$U$3:$U$996, ""),
  IF(OR(_xlpm.val=0, _xlpm.val=""), "", VALUE(_xlpm.val))
)</f>
        <v>#NAME?</v>
      </c>
      <c r="O97" s="144" t="e">
        <f ca="1">_xlfn.LET(
  _xlpm.val, _xlfn.XLOOKUP(B97, PlayerStatsSeason!$B$3:$B$996, PlayerStatsSeason!$T$3:$T$996, ""),
  IF(OR(_xlpm.val=0, _xlpm.val=""), "", VALUE(_xlpm.val))
)</f>
        <v>#NAME?</v>
      </c>
      <c r="P97" s="141"/>
      <c r="Q97" s="141" cm="1">
        <f t="array" aca="1" ref="Q97" ca="1">MIN(IF(ISNA(MATCH(PlayerWorking!$H$5:OFFSET(PlayerWorking!$H$5,PlayerWorking!$C$5-1,0),Results!$Q$12:Q96,0)),PlayerWorking!$H$5:OFFSET(PlayerWorking!$H$5,PlayerWorking!$C$5-1,1)))</f>
        <v>0</v>
      </c>
      <c r="R97" s="170" t="e">
        <f t="shared" ca="1" si="11"/>
        <v>#NAME?</v>
      </c>
      <c r="S97" s="141"/>
      <c r="T97" s="154" t="e">
        <f ca="1">IF(D97&gt;0,IFERROR(2*_xlfn.BINOM.INV(_xlfn.BINOM.INV(F97,G97,RAND()),H97,RAND())+ 3*_xlfn.BINOM.INV(_xlfn.BINOM.INV(F97,J97,RAND()),K97,RAND())+ _xlfn.BINOM.INV(_xlfn.BINOM.INV(F97,M97,RAND()),N97,RAND()),ROUND((F97/E97)*_xlfn.XLOOKUP(B97,PlayerStatsSeason!B88:B1081,PlayerStatsSeason!AD88:AD1081),0)),0)</f>
        <v>#NAME?</v>
      </c>
      <c r="U97" s="9"/>
    </row>
    <row r="98" spans="1:23" ht="15.75" x14ac:dyDescent="0.25">
      <c r="A98" s="146" t="s">
        <v>3154</v>
      </c>
      <c r="B98" s="141" t="str">
        <f ca="1">IFERROR(IF(_xlfn.XLOOKUP(Q98,PlayerWorking!$H$5:$H$31,PlayerWorking!$I$5:$I$31)=0, "", _xlfn.XLOOKUP(Q98,PlayerWorking!$H$5:$H$31,PlayerWorking!$I$5:$I$31)), "")</f>
        <v/>
      </c>
      <c r="C98" s="142" t="e">
        <f ca="1">_xlfn.XLOOKUP(B98,PlayerStatsSeason!$B$3:$B$996,PlayerStatsSeason!$H$3:$H$996)</f>
        <v>#NAME?</v>
      </c>
      <c r="D98" s="145" t="e">
        <f ca="1">IF(Q98&lt;=5,C98,C98/SUM(PlayerWorking!$J$10:$J$27)*(240-SUM(PlayerWorking!$J$5:$J$9)))</f>
        <v>#NAME?</v>
      </c>
      <c r="E98" s="142" t="e">
        <f ca="1">IF(D98&gt;0,_xlfn.XLOOKUP(B98,PlayerStatsSeason!$B$3:$B$996,PlayerStatsSeason!$J$3:$J$996)+_xlfn.XLOOKUP(B98,PlayerStatsSeason!$B$3:$B$996,PlayerStatsSeason!$T$3:$T$996))</f>
        <v>#NAME?</v>
      </c>
      <c r="F98" s="145" t="e">
        <f t="shared" ca="1" si="10"/>
        <v>#NAME?</v>
      </c>
      <c r="G98" s="149" t="e">
        <f ca="1">_xlfn.XLOOKUP($B98, PlayerStatsSeason!$B$3:$B$996, PlayerStatsSeason!$P$3:$P$996)/(_xlfn.XLOOKUP($B98, PlayerStatsSeason!$B$3:$B$996, PlayerStatsSeason!$P$3:$P$996)+_xlfn.XLOOKUP($B98, PlayerStatsSeason!$B$3:$B$996, PlayerStatsSeason!$M$3:$M$996)+_xlfn.XLOOKUP(B$12,PlayerStatsSeason!$B$3:$B$996,PlayerStatsSeason!$T$3:$T$996))</f>
        <v>#NAME?</v>
      </c>
      <c r="H98" s="149" t="e">
        <f ca="1">_xlfn.LET(_xlpm.val, _xlfn.XLOOKUP(B98, PlayerStatsSeason!$B$3:$B$996, PlayerStatsSeason!$Q$3:$Q$996, ""),
  IF(OR(_xlpm.val=0, _xlpm.val=""), "", VALUE(_xlpm.val))
)</f>
        <v>#NAME?</v>
      </c>
      <c r="I98" s="144" t="e">
        <f ca="1">_xlfn.LET(
  _xlpm.val, _xlfn.XLOOKUP(B98, PlayerStatsSeason!$B$3:$B$996, PlayerStatsSeason!$P$3:$P$996, ""),
  IF(OR(_xlpm.val=0, _xlpm.val=""), "", VALUE(_xlpm.val))
)</f>
        <v>#NAME?</v>
      </c>
      <c r="J98" s="149" t="e">
        <f ca="1">_xlfn.XLOOKUP($B98, PlayerStatsSeason!$B$3:$B$996, PlayerStatsSeason!$M$3:$M$996)/(_xlfn.XLOOKUP($B98, PlayerStatsSeason!$B$3:$B$996, PlayerStatsSeason!$P$3:$P$996)+_xlfn.XLOOKUP($B98, PlayerStatsSeason!$B$3:$B$996, PlayerStatsSeason!$M$3:$M$996)+_xlfn.XLOOKUP(B$12,PlayerStatsSeason!$B$3:$B$996,PlayerStatsSeason!$T$3:$T$996))</f>
        <v>#NAME?</v>
      </c>
      <c r="K98" s="143" t="e">
        <f ca="1">_xlfn.LET(
  _xlpm.val, _xlfn.XLOOKUP(B98, PlayerStatsSeason!$B$3:$B$996, PlayerStatsSeason!$N$3:$N$996, ""),
  IF(OR(_xlpm.val=0, _xlpm.val=""), "", VALUE(_xlpm.val))
)</f>
        <v>#NAME?</v>
      </c>
      <c r="L98" s="174" t="e" cm="1">
        <f t="array" aca="1" ref="L98" ca="1">_xlfn.LET(
  _xlpm.val, _xlfn.XLOOKUP(B98, PlayerStatsSeason!$B$3:$B$996, PlayerStatsSeason!$M$3:$M$996, ""),
  IF(OR(_xlpm.val=0, _xlpm.val=""), "", VALUE(_xlpm.val))
)</f>
        <v>#NAME?</v>
      </c>
      <c r="M98" s="149" t="e">
        <f ca="1">_xlfn.XLOOKUP($B98, PlayerStatsSeason!$B$3:$B$996, PlayerStatsSeason!$T$3:$T$996)/(_xlfn.XLOOKUP($B98, PlayerStatsSeason!$B$3:$B$996, PlayerStatsSeason!$P$3:$P$996)+_xlfn.XLOOKUP($B98, PlayerStatsSeason!$B$3:$B$996, PlayerStatsSeason!$M$3:$M$996)+_xlfn.XLOOKUP(B$12,PlayerStatsSeason!$B$3:$B$996,PlayerStatsSeason!$T$3:$T$996))</f>
        <v>#NAME?</v>
      </c>
      <c r="N98" s="143" t="e">
        <f ca="1">_xlfn.LET(
  _xlpm.val, _xlfn.XLOOKUP(B98, PlayerStatsSeason!$B$3:$B$996, PlayerStatsSeason!$U$3:$U$996, ""),
  IF(OR(_xlpm.val=0, _xlpm.val=""), "", VALUE(_xlpm.val))
)</f>
        <v>#NAME?</v>
      </c>
      <c r="O98" s="144" t="e">
        <f ca="1">_xlfn.LET(
  _xlpm.val, _xlfn.XLOOKUP(B98, PlayerStatsSeason!$B$3:$B$996, PlayerStatsSeason!$T$3:$T$996, ""),
  IF(OR(_xlpm.val=0, _xlpm.val=""), "", VALUE(_xlpm.val))
)</f>
        <v>#NAME?</v>
      </c>
      <c r="P98" s="141"/>
      <c r="Q98" s="141" cm="1">
        <f t="array" aca="1" ref="Q98" ca="1">MIN(IF(ISNA(MATCH(PlayerWorking!$H$5:OFFSET(PlayerWorking!$H$5,PlayerWorking!$C$5-1,0),Results!$Q$12:Q97,0)),PlayerWorking!$H$5:OFFSET(PlayerWorking!$H$5,PlayerWorking!$C$5-1,1)))</f>
        <v>0</v>
      </c>
      <c r="R98" s="170" t="e">
        <f t="shared" ca="1" si="11"/>
        <v>#NAME?</v>
      </c>
      <c r="S98" s="141"/>
      <c r="T98" s="154" t="e">
        <f ca="1">IF(D98&gt;0,IFERROR(2*_xlfn.BINOM.INV(_xlfn.BINOM.INV(F98,G98,RAND()),H98,RAND())+ 3*_xlfn.BINOM.INV(_xlfn.BINOM.INV(F98,J98,RAND()),K98,RAND())+ _xlfn.BINOM.INV(_xlfn.BINOM.INV(F98,M98,RAND()),N98,RAND()),ROUND((F98/E98)*_xlfn.XLOOKUP(B98,PlayerStatsSeason!B89:B1082,PlayerStatsSeason!AD89:AD1082),0)),0)</f>
        <v>#NAME?</v>
      </c>
      <c r="U98" s="9"/>
    </row>
    <row r="99" spans="1:23" ht="15.75" x14ac:dyDescent="0.25">
      <c r="A99" s="146" t="s">
        <v>3155</v>
      </c>
      <c r="B99" s="141" t="str">
        <f ca="1">IFERROR(IF(_xlfn.XLOOKUP(Q99,PlayerWorking!$H$5:$H$31,PlayerWorking!$I$5:$I$31)=0, "", _xlfn.XLOOKUP(Q99,PlayerWorking!$H$5:$H$31,PlayerWorking!$I$5:$I$31)), "")</f>
        <v/>
      </c>
      <c r="C99" s="142" t="e">
        <f ca="1">_xlfn.XLOOKUP(B99,PlayerStatsSeason!$B$3:$B$996,PlayerStatsSeason!$H$3:$H$996)</f>
        <v>#NAME?</v>
      </c>
      <c r="D99" s="145" t="e">
        <f ca="1">IF(Q99&lt;=5,C99,C99/SUM(PlayerWorking!$J$10:$J$27)*(240-SUM(PlayerWorking!$J$5:$J$9)))</f>
        <v>#NAME?</v>
      </c>
      <c r="E99" s="142" t="e">
        <f ca="1">IF(D99&gt;0,_xlfn.XLOOKUP(B99,PlayerStatsSeason!$B$3:$B$996,PlayerStatsSeason!$J$3:$J$996)+_xlfn.XLOOKUP(B99,PlayerStatsSeason!$B$3:$B$996,PlayerStatsSeason!$T$3:$T$996))</f>
        <v>#NAME?</v>
      </c>
      <c r="F99" s="145" t="e">
        <f t="shared" ca="1" si="10"/>
        <v>#NAME?</v>
      </c>
      <c r="G99" s="149" t="e">
        <f ca="1">_xlfn.XLOOKUP($B99, PlayerStatsSeason!$B$3:$B$996, PlayerStatsSeason!$P$3:$P$996)/(_xlfn.XLOOKUP($B99, PlayerStatsSeason!$B$3:$B$996, PlayerStatsSeason!$P$3:$P$996)+_xlfn.XLOOKUP($B99, PlayerStatsSeason!$B$3:$B$996, PlayerStatsSeason!$M$3:$M$996)+_xlfn.XLOOKUP(B$12,PlayerStatsSeason!$B$3:$B$996,PlayerStatsSeason!$T$3:$T$996))</f>
        <v>#NAME?</v>
      </c>
      <c r="H99" s="149" t="e">
        <f ca="1">_xlfn.LET(_xlpm.val, _xlfn.XLOOKUP(B99, PlayerStatsSeason!$B$3:$B$996, PlayerStatsSeason!$Q$3:$Q$996, ""),
  IF(OR(_xlpm.val=0, _xlpm.val=""), "", VALUE(_xlpm.val))
)</f>
        <v>#NAME?</v>
      </c>
      <c r="I99" s="144" t="e">
        <f ca="1">_xlfn.LET(
  _xlpm.val, _xlfn.XLOOKUP(B99, PlayerStatsSeason!$B$3:$B$996, PlayerStatsSeason!$P$3:$P$996, ""),
  IF(OR(_xlpm.val=0, _xlpm.val=""), "", VALUE(_xlpm.val))
)</f>
        <v>#NAME?</v>
      </c>
      <c r="J99" s="149" t="e">
        <f ca="1">_xlfn.XLOOKUP($B99, PlayerStatsSeason!$B$3:$B$996, PlayerStatsSeason!$M$3:$M$996)/(_xlfn.XLOOKUP($B99, PlayerStatsSeason!$B$3:$B$996, PlayerStatsSeason!$P$3:$P$996)+_xlfn.XLOOKUP($B99, PlayerStatsSeason!$B$3:$B$996, PlayerStatsSeason!$M$3:$M$996)+_xlfn.XLOOKUP(B$12,PlayerStatsSeason!$B$3:$B$996,PlayerStatsSeason!$T$3:$T$996))</f>
        <v>#NAME?</v>
      </c>
      <c r="K99" s="143" t="e">
        <f ca="1">_xlfn.LET(
  _xlpm.val, _xlfn.XLOOKUP(B99, PlayerStatsSeason!$B$3:$B$996, PlayerStatsSeason!$N$3:$N$996, ""),
  IF(OR(_xlpm.val=0, _xlpm.val=""), "", VALUE(_xlpm.val))
)</f>
        <v>#NAME?</v>
      </c>
      <c r="L99" s="174" t="e" cm="1">
        <f t="array" aca="1" ref="L99" ca="1">_xlfn.LET(
  _xlpm.val, _xlfn.XLOOKUP(B99, PlayerStatsSeason!$B$3:$B$996, PlayerStatsSeason!$M$3:$M$996, ""),
  IF(OR(_xlpm.val=0, _xlpm.val=""), "", VALUE(_xlpm.val))
)</f>
        <v>#NAME?</v>
      </c>
      <c r="M99" s="149" t="e">
        <f ca="1">_xlfn.XLOOKUP($B99, PlayerStatsSeason!$B$3:$B$996, PlayerStatsSeason!$T$3:$T$996)/(_xlfn.XLOOKUP($B99, PlayerStatsSeason!$B$3:$B$996, PlayerStatsSeason!$P$3:$P$996)+_xlfn.XLOOKUP($B99, PlayerStatsSeason!$B$3:$B$996, PlayerStatsSeason!$M$3:$M$996)+_xlfn.XLOOKUP(B$12,PlayerStatsSeason!$B$3:$B$996,PlayerStatsSeason!$T$3:$T$996))</f>
        <v>#NAME?</v>
      </c>
      <c r="N99" s="143" t="e">
        <f ca="1">_xlfn.LET(
  _xlpm.val, _xlfn.XLOOKUP(B99, PlayerStatsSeason!$B$3:$B$996, PlayerStatsSeason!$U$3:$U$996, ""),
  IF(OR(_xlpm.val=0, _xlpm.val=""), "", VALUE(_xlpm.val))
)</f>
        <v>#NAME?</v>
      </c>
      <c r="O99" s="144" t="e">
        <f ca="1">_xlfn.LET(
  _xlpm.val, _xlfn.XLOOKUP(B99, PlayerStatsSeason!$B$3:$B$996, PlayerStatsSeason!$T$3:$T$996, ""),
  IF(OR(_xlpm.val=0, _xlpm.val=""), "", VALUE(_xlpm.val))
)</f>
        <v>#NAME?</v>
      </c>
      <c r="P99" s="141"/>
      <c r="Q99" s="141" cm="1">
        <f t="array" aca="1" ref="Q99" ca="1">MIN(IF(ISNA(MATCH(PlayerWorking!$H$5:OFFSET(PlayerWorking!$H$5,PlayerWorking!$C$5-1,0),Results!$Q$12:Q98,0)),PlayerWorking!$H$5:OFFSET(PlayerWorking!$H$5,PlayerWorking!$C$5-1,1)))</f>
        <v>0</v>
      </c>
      <c r="R99" s="170" t="e">
        <f t="shared" ca="1" si="11"/>
        <v>#NAME?</v>
      </c>
      <c r="S99" s="141"/>
      <c r="T99" s="154" t="e">
        <f ca="1">IF(D99&gt;0,IFERROR(2*_xlfn.BINOM.INV(_xlfn.BINOM.INV(F99,G99,RAND()),H99,RAND())+ 3*_xlfn.BINOM.INV(_xlfn.BINOM.INV(F99,J99,RAND()),K99,RAND())+ _xlfn.BINOM.INV(_xlfn.BINOM.INV(F99,M99,RAND()),N99,RAND()),ROUND((F99/E99)*_xlfn.XLOOKUP(B99,PlayerStatsSeason!B90:B1083,PlayerStatsSeason!AD90:AD1083),0)),0)</f>
        <v>#NAME?</v>
      </c>
      <c r="U99" s="9"/>
    </row>
    <row r="100" spans="1:23" ht="15.75" x14ac:dyDescent="0.25">
      <c r="A100" s="146" t="s">
        <v>3156</v>
      </c>
      <c r="B100" s="141" t="str">
        <f ca="1">IFERROR(IF(_xlfn.XLOOKUP(Q100,PlayerWorking!$H$5:$H$31,PlayerWorking!$I$5:$I$31)=0, "", _xlfn.XLOOKUP(Q100,PlayerWorking!$H$5:$H$31,PlayerWorking!$I$5:$I$31)), "")</f>
        <v/>
      </c>
      <c r="C100" s="142" t="e">
        <f ca="1">_xlfn.XLOOKUP(B100,PlayerStatsSeason!$B$3:$B$996,PlayerStatsSeason!$H$3:$H$996)</f>
        <v>#NAME?</v>
      </c>
      <c r="D100" s="145" t="e">
        <f ca="1">IF(Q100&lt;=5,C100,C100/SUM(PlayerWorking!$J$10:$J$27)*(240-SUM(PlayerWorking!$J$5:$J$9)))</f>
        <v>#NAME?</v>
      </c>
      <c r="E100" s="142" t="e">
        <f ca="1">IF(D100&gt;0,_xlfn.XLOOKUP(B100,PlayerStatsSeason!$B$3:$B$996,PlayerStatsSeason!$J$3:$J$996)+_xlfn.XLOOKUP(B100,PlayerStatsSeason!$B$3:$B$996,PlayerStatsSeason!$T$3:$T$996))</f>
        <v>#NAME?</v>
      </c>
      <c r="F100" s="145" t="e">
        <f t="shared" ca="1" si="10"/>
        <v>#NAME?</v>
      </c>
      <c r="G100" s="149" t="e">
        <f ca="1">_xlfn.XLOOKUP($B100, PlayerStatsSeason!$B$3:$B$996, PlayerStatsSeason!$P$3:$P$996)/(_xlfn.XLOOKUP($B100, PlayerStatsSeason!$B$3:$B$996, PlayerStatsSeason!$P$3:$P$996)+_xlfn.XLOOKUP($B100, PlayerStatsSeason!$B$3:$B$996, PlayerStatsSeason!$M$3:$M$996)+_xlfn.XLOOKUP(B$12,PlayerStatsSeason!$B$3:$B$996,PlayerStatsSeason!$T$3:$T$996))</f>
        <v>#NAME?</v>
      </c>
      <c r="H100" s="149" t="e">
        <f ca="1">_xlfn.LET(_xlpm.val, _xlfn.XLOOKUP(B100, PlayerStatsSeason!$B$3:$B$996, PlayerStatsSeason!$Q$3:$Q$996, ""),
  IF(OR(_xlpm.val=0, _xlpm.val=""), "", VALUE(_xlpm.val))
)</f>
        <v>#NAME?</v>
      </c>
      <c r="I100" s="144" t="e">
        <f ca="1">_xlfn.LET(
  _xlpm.val, _xlfn.XLOOKUP(B100, PlayerStatsSeason!$B$3:$B$996, PlayerStatsSeason!$P$3:$P$996, ""),
  IF(OR(_xlpm.val=0, _xlpm.val=""), "", VALUE(_xlpm.val))
)</f>
        <v>#NAME?</v>
      </c>
      <c r="J100" s="149" t="e">
        <f ca="1">_xlfn.XLOOKUP($B100, PlayerStatsSeason!$B$3:$B$996, PlayerStatsSeason!$M$3:$M$996)/(_xlfn.XLOOKUP($B100, PlayerStatsSeason!$B$3:$B$996, PlayerStatsSeason!$P$3:$P$996)+_xlfn.XLOOKUP($B100, PlayerStatsSeason!$B$3:$B$996, PlayerStatsSeason!$M$3:$M$996)+_xlfn.XLOOKUP(B$12,PlayerStatsSeason!$B$3:$B$996,PlayerStatsSeason!$T$3:$T$996))</f>
        <v>#NAME?</v>
      </c>
      <c r="K100" s="143" t="e">
        <f ca="1">_xlfn.LET(
  _xlpm.val, _xlfn.XLOOKUP(B100, PlayerStatsSeason!$B$3:$B$996, PlayerStatsSeason!$N$3:$N$996, ""),
  IF(OR(_xlpm.val=0, _xlpm.val=""), "", VALUE(_xlpm.val))
)</f>
        <v>#NAME?</v>
      </c>
      <c r="L100" s="174" t="e" cm="1">
        <f t="array" aca="1" ref="L100" ca="1">_xlfn.LET(
  _xlpm.val, _xlfn.XLOOKUP(B100, PlayerStatsSeason!$B$3:$B$996, PlayerStatsSeason!$M$3:$M$996, ""),
  IF(OR(_xlpm.val=0, _xlpm.val=""), "", VALUE(_xlpm.val))
)</f>
        <v>#NAME?</v>
      </c>
      <c r="M100" s="149" t="e">
        <f ca="1">_xlfn.XLOOKUP($B100, PlayerStatsSeason!$B$3:$B$996, PlayerStatsSeason!$T$3:$T$996)/(_xlfn.XLOOKUP($B100, PlayerStatsSeason!$B$3:$B$996, PlayerStatsSeason!$P$3:$P$996)+_xlfn.XLOOKUP($B100, PlayerStatsSeason!$B$3:$B$996, PlayerStatsSeason!$M$3:$M$996)+_xlfn.XLOOKUP(B$12,PlayerStatsSeason!$B$3:$B$996,PlayerStatsSeason!$T$3:$T$996))</f>
        <v>#NAME?</v>
      </c>
      <c r="N100" s="143" t="e">
        <f ca="1">_xlfn.LET(
  _xlpm.val, _xlfn.XLOOKUP(B100, PlayerStatsSeason!$B$3:$B$996, PlayerStatsSeason!$U$3:$U$996, ""),
  IF(OR(_xlpm.val=0, _xlpm.val=""), "", VALUE(_xlpm.val))
)</f>
        <v>#NAME?</v>
      </c>
      <c r="O100" s="144" t="e">
        <f ca="1">_xlfn.LET(
  _xlpm.val, _xlfn.XLOOKUP(B100, PlayerStatsSeason!$B$3:$B$996, PlayerStatsSeason!$T$3:$T$996, ""),
  IF(OR(_xlpm.val=0, _xlpm.val=""), "", VALUE(_xlpm.val))
)</f>
        <v>#NAME?</v>
      </c>
      <c r="P100" s="141"/>
      <c r="Q100" s="141" cm="1">
        <f t="array" aca="1" ref="Q100" ca="1">MIN(IF(ISNA(MATCH(PlayerWorking!$H$5:OFFSET(PlayerWorking!$H$5,PlayerWorking!$C$5-1,0),Results!$Q$12:Q99,0)),PlayerWorking!$H$5:OFFSET(PlayerWorking!$H$5,PlayerWorking!$C$5-1,1)))</f>
        <v>0</v>
      </c>
      <c r="R100" s="170" t="e">
        <f t="shared" ca="1" si="11"/>
        <v>#NAME?</v>
      </c>
      <c r="S100" s="141"/>
      <c r="T100" s="154" t="e">
        <f ca="1">IF(D100&gt;0,IFERROR(2*_xlfn.BINOM.INV(_xlfn.BINOM.INV(F100,G100,RAND()),H100,RAND())+ 3*_xlfn.BINOM.INV(_xlfn.BINOM.INV(F100,J100,RAND()),K100,RAND())+ _xlfn.BINOM.INV(_xlfn.BINOM.INV(F100,M100,RAND()),N100,RAND()),ROUND((F100/E100)*_xlfn.XLOOKUP(B100,PlayerStatsSeason!B91:B1084,PlayerStatsSeason!AD91:AD1084),0)),0)</f>
        <v>#NAME?</v>
      </c>
      <c r="U100" s="9"/>
    </row>
    <row r="101" spans="1:23" ht="15.75" x14ac:dyDescent="0.25">
      <c r="A101" s="146" t="s">
        <v>3157</v>
      </c>
      <c r="B101" s="141" t="str">
        <f ca="1">IFERROR(IF(_xlfn.XLOOKUP(Q101,PlayerWorking!$H$5:$H$31,PlayerWorking!$I$5:$I$31)=0, "", _xlfn.XLOOKUP(Q101,PlayerWorking!$H$5:$H$31,PlayerWorking!$I$5:$I$31)), "")</f>
        <v/>
      </c>
      <c r="C101" s="142" t="e">
        <f ca="1">_xlfn.XLOOKUP(B101,PlayerStatsSeason!$B$3:$B$996,PlayerStatsSeason!$H$3:$H$996)</f>
        <v>#NAME?</v>
      </c>
      <c r="D101" s="145" t="e">
        <f ca="1">IF(Q101&lt;=5,C101,C101/SUM(PlayerWorking!$J$10:$J$27)*(240-SUM(PlayerWorking!$J$5:$J$9)))</f>
        <v>#NAME?</v>
      </c>
      <c r="E101" s="142" t="e">
        <f ca="1">IF(D101&gt;0,_xlfn.XLOOKUP(B101,PlayerStatsSeason!$B$3:$B$996,PlayerStatsSeason!$J$3:$J$996)+_xlfn.XLOOKUP(B101,PlayerStatsSeason!$B$3:$B$996,PlayerStatsSeason!$T$3:$T$996))</f>
        <v>#NAME?</v>
      </c>
      <c r="F101" s="145" t="e">
        <f t="shared" ca="1" si="10"/>
        <v>#NAME?</v>
      </c>
      <c r="G101" s="149" t="e">
        <f ca="1">_xlfn.XLOOKUP($B101, PlayerStatsSeason!$B$3:$B$996, PlayerStatsSeason!$P$3:$P$996)/(_xlfn.XLOOKUP($B101, PlayerStatsSeason!$B$3:$B$996, PlayerStatsSeason!$P$3:$P$996)+_xlfn.XLOOKUP($B101, PlayerStatsSeason!$B$3:$B$996, PlayerStatsSeason!$M$3:$M$996)+_xlfn.XLOOKUP(B$12,PlayerStatsSeason!$B$3:$B$996,PlayerStatsSeason!$T$3:$T$996))</f>
        <v>#NAME?</v>
      </c>
      <c r="H101" s="149" t="e">
        <f ca="1">_xlfn.LET(_xlpm.val, _xlfn.XLOOKUP(B101, PlayerStatsSeason!$B$3:$B$996, PlayerStatsSeason!$Q$3:$Q$996, ""),
  IF(OR(_xlpm.val=0, _xlpm.val=""), "", VALUE(_xlpm.val))
)</f>
        <v>#NAME?</v>
      </c>
      <c r="I101" s="144" t="e">
        <f ca="1">_xlfn.LET(
  _xlpm.val, _xlfn.XLOOKUP(B101, PlayerStatsSeason!$B$3:$B$996, PlayerStatsSeason!$P$3:$P$996, ""),
  IF(OR(_xlpm.val=0, _xlpm.val=""), "", VALUE(_xlpm.val))
)</f>
        <v>#NAME?</v>
      </c>
      <c r="J101" s="149" t="e">
        <f ca="1">_xlfn.XLOOKUP($B101, PlayerStatsSeason!$B$3:$B$996, PlayerStatsSeason!$M$3:$M$996)/(_xlfn.XLOOKUP($B101, PlayerStatsSeason!$B$3:$B$996, PlayerStatsSeason!$P$3:$P$996)+_xlfn.XLOOKUP($B101, PlayerStatsSeason!$B$3:$B$996, PlayerStatsSeason!$M$3:$M$996)+_xlfn.XLOOKUP(B$12,PlayerStatsSeason!$B$3:$B$996,PlayerStatsSeason!$T$3:$T$996))</f>
        <v>#NAME?</v>
      </c>
      <c r="K101" s="143" t="e">
        <f ca="1">_xlfn.LET(
  _xlpm.val, _xlfn.XLOOKUP(B101, PlayerStatsSeason!$B$3:$B$996, PlayerStatsSeason!$N$3:$N$996, ""),
  IF(OR(_xlpm.val=0, _xlpm.val=""), "", VALUE(_xlpm.val))
)</f>
        <v>#NAME?</v>
      </c>
      <c r="L101" s="174" t="e" cm="1">
        <f t="array" aca="1" ref="L101" ca="1">_xlfn.LET(
  _xlpm.val, _xlfn.XLOOKUP(B101, PlayerStatsSeason!$B$3:$B$996, PlayerStatsSeason!$M$3:$M$996, ""),
  IF(OR(_xlpm.val=0, _xlpm.val=""), "", VALUE(_xlpm.val))
)</f>
        <v>#NAME?</v>
      </c>
      <c r="M101" s="149" t="e">
        <f ca="1">_xlfn.XLOOKUP($B101, PlayerStatsSeason!$B$3:$B$996, PlayerStatsSeason!$T$3:$T$996)/(_xlfn.XLOOKUP($B101, PlayerStatsSeason!$B$3:$B$996, PlayerStatsSeason!$P$3:$P$996)+_xlfn.XLOOKUP($B101, PlayerStatsSeason!$B$3:$B$996, PlayerStatsSeason!$M$3:$M$996)+_xlfn.XLOOKUP(B$12,PlayerStatsSeason!$B$3:$B$996,PlayerStatsSeason!$T$3:$T$996))</f>
        <v>#NAME?</v>
      </c>
      <c r="N101" s="143" t="e">
        <f ca="1">_xlfn.LET(
  _xlpm.val, _xlfn.XLOOKUP(B101, PlayerStatsSeason!$B$3:$B$996, PlayerStatsSeason!$U$3:$U$996, ""),
  IF(OR(_xlpm.val=0, _xlpm.val=""), "", VALUE(_xlpm.val))
)</f>
        <v>#NAME?</v>
      </c>
      <c r="O101" s="144" t="e">
        <f ca="1">_xlfn.LET(
  _xlpm.val, _xlfn.XLOOKUP(B101, PlayerStatsSeason!$B$3:$B$996, PlayerStatsSeason!$T$3:$T$996, ""),
  IF(OR(_xlpm.val=0, _xlpm.val=""), "", VALUE(_xlpm.val))
)</f>
        <v>#NAME?</v>
      </c>
      <c r="P101" s="141"/>
      <c r="Q101" s="141" cm="1">
        <f t="array" aca="1" ref="Q101" ca="1">MIN(IF(ISNA(MATCH(PlayerWorking!$H$5:OFFSET(PlayerWorking!$H$5,PlayerWorking!$C$5-1,0),Results!$Q$12:Q100,0)),PlayerWorking!$H$5:OFFSET(PlayerWorking!$H$5,PlayerWorking!$C$5-1,1)))</f>
        <v>0</v>
      </c>
      <c r="R101" s="170" t="e">
        <f t="shared" ca="1" si="11"/>
        <v>#NAME?</v>
      </c>
      <c r="S101" s="141"/>
      <c r="T101" s="154" t="e">
        <f ca="1">IF(D101&gt;0,IFERROR(2*_xlfn.BINOM.INV(_xlfn.BINOM.INV(F101,G101,RAND()),H101,RAND())+ 3*_xlfn.BINOM.INV(_xlfn.BINOM.INV(F101,J101,RAND()),K101,RAND())+ _xlfn.BINOM.INV(_xlfn.BINOM.INV(F101,M101,RAND()),N101,RAND()),ROUND((F101/E101)*_xlfn.XLOOKUP(B101,PlayerStatsSeason!B92:B1085,PlayerStatsSeason!AD92:AD1085),0)),0)</f>
        <v>#NAME?</v>
      </c>
      <c r="U101" s="9"/>
    </row>
    <row r="102" spans="1:23" ht="15.75" x14ac:dyDescent="0.25">
      <c r="A102" s="146" t="s">
        <v>3158</v>
      </c>
      <c r="B102" s="141" t="str">
        <f ca="1">IFERROR(IF(_xlfn.XLOOKUP(Q102,PlayerWorking!$H$5:$H$31,PlayerWorking!$I$5:$I$31)=0, "", _xlfn.XLOOKUP(Q102,PlayerWorking!$H$5:$H$31,PlayerWorking!$I$5:$I$31)), "")</f>
        <v/>
      </c>
      <c r="C102" s="142" t="e">
        <f ca="1">_xlfn.XLOOKUP(B102,PlayerStatsSeason!$B$3:$B$996,PlayerStatsSeason!$H$3:$H$996)</f>
        <v>#NAME?</v>
      </c>
      <c r="D102" s="145" t="e">
        <f ca="1">IF(Q102&lt;=5,C102,C102/SUM(PlayerWorking!$J$10:$J$27)*(240-SUM(PlayerWorking!$J$5:$J$9)))</f>
        <v>#NAME?</v>
      </c>
      <c r="E102" s="145" t="e">
        <f ca="1">IF(D102&gt;0,_xlfn.XLOOKUP(B102,PlayerStatsSeason!$B$3:$B$996,PlayerStatsSeason!$J$3:$J$996)+_xlfn.XLOOKUP(B102,PlayerStatsSeason!$B$3:$B$996,PlayerStatsSeason!$T$3:$T$996))</f>
        <v>#NAME?</v>
      </c>
      <c r="F102" s="145" t="e">
        <f t="shared" ca="1" si="10"/>
        <v>#NAME?</v>
      </c>
      <c r="G102" s="149" t="e">
        <f ca="1">_xlfn.XLOOKUP($B102, PlayerStatsSeason!$B$3:$B$996, PlayerStatsSeason!$P$3:$P$996)/(_xlfn.XLOOKUP($B102, PlayerStatsSeason!$B$3:$B$996, PlayerStatsSeason!$P$3:$P$996)+_xlfn.XLOOKUP($B102, PlayerStatsSeason!$B$3:$B$996, PlayerStatsSeason!$M$3:$M$996)+_xlfn.XLOOKUP(B$12,PlayerStatsSeason!$B$3:$B$996,PlayerStatsSeason!$T$3:$T$996))</f>
        <v>#NAME?</v>
      </c>
      <c r="H102" s="149" t="e">
        <f ca="1">_xlfn.LET(_xlpm.val, _xlfn.XLOOKUP(B102, PlayerStatsSeason!$B$3:$B$996, PlayerStatsSeason!$Q$3:$Q$996, ""),
  IF(OR(_xlpm.val=0, _xlpm.val=""), "", VALUE(_xlpm.val))
)</f>
        <v>#NAME?</v>
      </c>
      <c r="I102" s="144" t="e">
        <f ca="1">_xlfn.LET(
  _xlpm.val, _xlfn.XLOOKUP(B102, PlayerStatsSeason!$B$3:$B$996, PlayerStatsSeason!$P$3:$P$996, ""),
  IF(OR(_xlpm.val=0, _xlpm.val=""), "", VALUE(_xlpm.val))
)</f>
        <v>#NAME?</v>
      </c>
      <c r="J102" s="149" t="e">
        <f ca="1">_xlfn.XLOOKUP($B102, PlayerStatsSeason!$B$3:$B$996, PlayerStatsSeason!$M$3:$M$996)/(_xlfn.XLOOKUP($B102, PlayerStatsSeason!$B$3:$B$996, PlayerStatsSeason!$P$3:$P$996)+_xlfn.XLOOKUP($B102, PlayerStatsSeason!$B$3:$B$996, PlayerStatsSeason!$M$3:$M$996)+_xlfn.XLOOKUP(B$12,PlayerStatsSeason!$B$3:$B$996,PlayerStatsSeason!$T$3:$T$996))</f>
        <v>#NAME?</v>
      </c>
      <c r="K102" s="143" t="e">
        <f ca="1">_xlfn.LET(
  _xlpm.val, _xlfn.XLOOKUP(B102, PlayerStatsSeason!$B$3:$B$996, PlayerStatsSeason!$N$3:$N$996, ""),
  IF(OR(_xlpm.val=0, _xlpm.val=""), "", VALUE(_xlpm.val))
)</f>
        <v>#NAME?</v>
      </c>
      <c r="L102" s="174" t="e" cm="1">
        <f t="array" aca="1" ref="L102" ca="1">_xlfn.LET(
  _xlpm.val, _xlfn.XLOOKUP(B102, PlayerStatsSeason!$B$3:$B$996, PlayerStatsSeason!$M$3:$M$996, ""),
  IF(OR(_xlpm.val=0, _xlpm.val=""), "", VALUE(_xlpm.val))
)</f>
        <v>#NAME?</v>
      </c>
      <c r="M102" s="149" t="e">
        <f ca="1">_xlfn.XLOOKUP($B102, PlayerStatsSeason!$B$3:$B$996, PlayerStatsSeason!$T$3:$T$996)/(_xlfn.XLOOKUP($B102, PlayerStatsSeason!$B$3:$B$996, PlayerStatsSeason!$P$3:$P$996)+_xlfn.XLOOKUP($B102, PlayerStatsSeason!$B$3:$B$996, PlayerStatsSeason!$M$3:$M$996)+_xlfn.XLOOKUP(B$12,PlayerStatsSeason!$B$3:$B$996,PlayerStatsSeason!$T$3:$T$996))</f>
        <v>#NAME?</v>
      </c>
      <c r="N102" s="143" t="e">
        <f ca="1">_xlfn.LET(
  _xlpm.val, _xlfn.XLOOKUP(B102, PlayerStatsSeason!$B$3:$B$996, PlayerStatsSeason!$U$3:$U$996, ""),
  IF(OR(_xlpm.val=0, _xlpm.val=""), "", VALUE(_xlpm.val))
)</f>
        <v>#NAME?</v>
      </c>
      <c r="O102" s="144" t="e">
        <f ca="1">_xlfn.LET(
  _xlpm.val, _xlfn.XLOOKUP(B102, PlayerStatsSeason!$B$3:$B$996, PlayerStatsSeason!$T$3:$T$996, ""),
  IF(OR(_xlpm.val=0, _xlpm.val=""), "", VALUE(_xlpm.val))
)</f>
        <v>#NAME?</v>
      </c>
      <c r="P102" s="141"/>
      <c r="Q102" s="141" cm="1">
        <f t="array" aca="1" ref="Q102" ca="1">MIN(IF(ISNA(MATCH(PlayerWorking!$H$5:OFFSET(PlayerWorking!$H$5,PlayerWorking!$C$5-1,0),Results!$Q$12:Q101,0)),PlayerWorking!$H$5:OFFSET(PlayerWorking!$H$5,PlayerWorking!$C$5-1,1)))</f>
        <v>0</v>
      </c>
      <c r="R102" s="170" t="e">
        <f t="shared" ca="1" si="11"/>
        <v>#NAME?</v>
      </c>
      <c r="S102" s="141"/>
      <c r="T102" s="154" t="e">
        <f ca="1">IF(D102&gt;0,IFERROR(2*_xlfn.BINOM.INV(_xlfn.BINOM.INV(F102,G102,RAND()),H102,RAND())+ 3*_xlfn.BINOM.INV(_xlfn.BINOM.INV(F102,J102,RAND()),K102,RAND())+ _xlfn.BINOM.INV(_xlfn.BINOM.INV(F102,M102,RAND()),N102,RAND()),ROUND((F102/E102)*_xlfn.XLOOKUP(B102,PlayerStatsSeason!B93:B1086,PlayerStatsSeason!AD93:AD1086),0)),0)</f>
        <v>#NAME?</v>
      </c>
      <c r="U102" s="9"/>
    </row>
    <row r="103" spans="1:23" ht="15.75" x14ac:dyDescent="0.25">
      <c r="A103" s="146" t="s">
        <v>3159</v>
      </c>
      <c r="B103" s="141"/>
      <c r="C103" s="142" t="e">
        <f ca="1">_xlfn.XLOOKUP(B103,PlayerStatsSeason!$B$3:$B$996,PlayerStatsSeason!$H$3:$H$996)</f>
        <v>#NAME?</v>
      </c>
      <c r="D103" s="142" t="e">
        <f ca="1">IF(Q103&lt;=5,C103,C103/SUM(PlayerWorking!$J$10:$J$27)*(240-SUM(PlayerWorking!$J$5:$J$9)))</f>
        <v>#NAME?</v>
      </c>
      <c r="E103" s="142" t="e">
        <f ca="1">IF(D103&gt;0,_xlfn.XLOOKUP(B103,PlayerStatsSeason!$B$3:$B$996,PlayerStatsSeason!$J$3:$J$996)+_xlfn.XLOOKUP(B103,PlayerStatsSeason!$B$3:$B$996,PlayerStatsSeason!$T$3:$T$996))</f>
        <v>#NAME?</v>
      </c>
      <c r="F103" s="142" t="e">
        <f t="shared" ca="1" si="10"/>
        <v>#NAME?</v>
      </c>
      <c r="G103" s="149" t="e">
        <f ca="1">_xlfn.XLOOKUP($B103, PlayerStatsSeason!$B$3:$B$996, PlayerStatsSeason!$P$3:$P$996)/(_xlfn.XLOOKUP($B103, PlayerStatsSeason!$B$3:$B$996, PlayerStatsSeason!$P$3:$P$996)+_xlfn.XLOOKUP($B103, PlayerStatsSeason!$B$3:$B$996, PlayerStatsSeason!$M$3:$M$996)+_xlfn.XLOOKUP(B$12,PlayerStatsSeason!$B$3:$B$996,PlayerStatsSeason!$T$3:$T$996))</f>
        <v>#NAME?</v>
      </c>
      <c r="H103" s="149" t="str">
        <f>_xlfn.LET(_xlpm.val, _xlfn.XLOOKUP(B103, PlayerStatsSeason!$B$3:$B$996, PlayerStatsSeason!$Q$3:$Q$996, ""),
  IF(OR(_xlpm.val=0, _xlpm.val=""), "", VALUE(_xlpm.val))
)</f>
        <v/>
      </c>
      <c r="I103" s="144" t="str">
        <f>_xlfn.LET(
  _xlpm.val, _xlfn.XLOOKUP(B103, PlayerStatsSeason!$B$3:$B$996, PlayerStatsSeason!$P$3:$P$996, ""),
  IF(OR(_xlpm.val=0, _xlpm.val=""), "", VALUE(_xlpm.val))
)</f>
        <v/>
      </c>
      <c r="J103" s="149" t="e">
        <f ca="1">_xlfn.XLOOKUP($B103, PlayerStatsSeason!$B$3:$B$996, PlayerStatsSeason!$M$3:$M$996)/(_xlfn.XLOOKUP($B103, PlayerStatsSeason!$B$3:$B$996, PlayerStatsSeason!$P$3:$P$996)+_xlfn.XLOOKUP($B103, PlayerStatsSeason!$B$3:$B$996, PlayerStatsSeason!$M$3:$M$996)+_xlfn.XLOOKUP(B$12,PlayerStatsSeason!$B$3:$B$996,PlayerStatsSeason!$T$3:$T$996))</f>
        <v>#NAME?</v>
      </c>
      <c r="K103" s="143" t="str">
        <f>_xlfn.LET(
  _xlpm.val, _xlfn.XLOOKUP(B103, PlayerStatsSeason!$B$3:$B$996, PlayerStatsSeason!$N$3:$N$996, ""),
  IF(OR(_xlpm.val=0, _xlpm.val=""), "", VALUE(_xlpm.val))
)</f>
        <v/>
      </c>
      <c r="L103" s="144" t="str">
        <f>_xlfn.LET(
  _xlpm.val, _xlfn.XLOOKUP(B103, PlayerStatsSeason!$B$3:$B$996, PlayerStatsSeason!$L$3:$L$996, ""),
  IF(OR(_xlpm.val=0, _xlpm.val=""), "", VALUE(_xlpm.val))
)</f>
        <v/>
      </c>
      <c r="M103" s="149" t="e">
        <f ca="1">_xlfn.XLOOKUP($B103, PlayerStatsSeason!$B$3:$B$996, PlayerStatsSeason!$T$3:$T$996)/(_xlfn.XLOOKUP($B103, PlayerStatsSeason!$B$3:$B$996, PlayerStatsSeason!$P$3:$P$996)+_xlfn.XLOOKUP($B103, PlayerStatsSeason!$B$3:$B$996, PlayerStatsSeason!$M$3:$M$996)+_xlfn.XLOOKUP(B$12,PlayerStatsSeason!$B$3:$B$996,PlayerStatsSeason!$T$3:$T$996))</f>
        <v>#NAME?</v>
      </c>
      <c r="N103" s="143" t="str">
        <f>_xlfn.LET(
  _xlpm.val, _xlfn.XLOOKUP(B103, PlayerStatsSeason!$B$3:$B$996, PlayerStatsSeason!$U$3:$U$996, ""),
  IF(OR(_xlpm.val=0, _xlpm.val=""), "", VALUE(_xlpm.val))
)</f>
        <v/>
      </c>
      <c r="O103" s="144" t="str">
        <f>_xlfn.LET(
  _xlpm.val, _xlfn.XLOOKUP(B103, PlayerStatsSeason!$B$3:$B$996, PlayerStatsSeason!$T$3:$T$996, ""),
  IF(OR(_xlpm.val=0, _xlpm.val=""), "", VALUE(_xlpm.val))
)</f>
        <v/>
      </c>
      <c r="P103" s="141"/>
      <c r="Q103" s="141" cm="1">
        <f t="array" aca="1" ref="Q103" ca="1">MIN(IF(ISNA(MATCH(PlayerWorking!$H$5:OFFSET(PlayerWorking!$H$5,PlayerWorking!$C$5-1,0),Results!$Q$12:Q102,0)),PlayerWorking!$H$5:OFFSET(PlayerWorking!$H$5,PlayerWorking!$C$5-1,1)))</f>
        <v>0</v>
      </c>
      <c r="R103" s="170" t="e">
        <f t="shared" ca="1" si="11"/>
        <v>#NAME?</v>
      </c>
      <c r="S103" s="141"/>
      <c r="T103" s="154" t="e">
        <f ca="1">IF(D103&gt;0,IFERROR(2*_xlfn.BINOM.INV(_xlfn.BINOM.INV(F103,G103,RAND()),H103,RAND())+ 3*_xlfn.BINOM.INV(_xlfn.BINOM.INV(F103,J103,RAND()),K103,RAND())+ _xlfn.BINOM.INV(_xlfn.BINOM.INV(F103,M103,RAND()),N103,RAND()),ROUND((F103/E103)*_xlfn.XLOOKUP(B103,PlayerStatsSeason!B94:B1087,PlayerStatsSeason!AD94:AD1087),0)),0)</f>
        <v>#NAME?</v>
      </c>
      <c r="U103" s="9"/>
    </row>
    <row r="104" spans="1:23" ht="15.75" x14ac:dyDescent="0.25">
      <c r="A104" s="146" t="s">
        <v>3160</v>
      </c>
      <c r="B104" s="141"/>
      <c r="C104" s="142" t="e">
        <f ca="1">_xlfn.XLOOKUP(B104,PlayerStatsSeason!$B$3:$B$996,PlayerStatsSeason!$H$3:$H$996)</f>
        <v>#NAME?</v>
      </c>
      <c r="D104" s="142" t="e">
        <f ca="1">IF(Q104&lt;=5,C104,C104/SUM(PlayerWorking!$J$10:$J$27)*(240-SUM(PlayerWorking!$J$5:$J$9)))</f>
        <v>#NAME?</v>
      </c>
      <c r="E104" s="142" t="e">
        <f ca="1">IF(D104&gt;0,_xlfn.XLOOKUP(B104,PlayerStatsSeason!$B$3:$B$996,PlayerStatsSeason!$J$3:$J$996)+_xlfn.XLOOKUP(B104,PlayerStatsSeason!$B$3:$B$996,PlayerStatsSeason!$T$3:$T$996))</f>
        <v>#NAME?</v>
      </c>
      <c r="F104" s="142" t="e">
        <f t="shared" ca="1" si="10"/>
        <v>#NAME?</v>
      </c>
      <c r="G104" s="149" t="e">
        <f ca="1">_xlfn.XLOOKUP($B104, PlayerStatsSeason!$B$3:$B$996, PlayerStatsSeason!$P$3:$P$996)/(_xlfn.XLOOKUP($B104, PlayerStatsSeason!$B$3:$B$996, PlayerStatsSeason!$P$3:$P$996)+_xlfn.XLOOKUP($B104, PlayerStatsSeason!$B$3:$B$996, PlayerStatsSeason!$M$3:$M$996)+_xlfn.XLOOKUP(B$12,PlayerStatsSeason!$B$3:$B$996,PlayerStatsSeason!$T$3:$T$996))</f>
        <v>#NAME?</v>
      </c>
      <c r="H104" s="149" t="str">
        <f>_xlfn.LET(_xlpm.val, _xlfn.XLOOKUP(B104, PlayerStatsSeason!$B$3:$B$996, PlayerStatsSeason!$Q$3:$Q$996, ""),
  IF(OR(_xlpm.val=0, _xlpm.val=""), "", VALUE(_xlpm.val))
)</f>
        <v/>
      </c>
      <c r="I104" s="144" t="str">
        <f>_xlfn.LET(
  _xlpm.val, _xlfn.XLOOKUP(B104, PlayerStatsSeason!$B$3:$B$996, PlayerStatsSeason!$P$3:$P$996, ""),
  IF(OR(_xlpm.val=0, _xlpm.val=""), "", VALUE(_xlpm.val))
)</f>
        <v/>
      </c>
      <c r="J104" s="149" t="e">
        <f ca="1">_xlfn.XLOOKUP($B104, PlayerStatsSeason!$B$3:$B$996, PlayerStatsSeason!$M$3:$M$996)/(_xlfn.XLOOKUP($B104, PlayerStatsSeason!$B$3:$B$996, PlayerStatsSeason!$P$3:$P$996)+_xlfn.XLOOKUP($B104, PlayerStatsSeason!$B$3:$B$996, PlayerStatsSeason!$M$3:$M$996)+_xlfn.XLOOKUP(B$12,PlayerStatsSeason!$B$3:$B$996,PlayerStatsSeason!$T$3:$T$996))</f>
        <v>#NAME?</v>
      </c>
      <c r="K104" s="143" t="str">
        <f>_xlfn.LET(
  _xlpm.val, _xlfn.XLOOKUP(B104, PlayerStatsSeason!$B$3:$B$996, PlayerStatsSeason!$N$3:$N$996, ""),
  IF(OR(_xlpm.val=0, _xlpm.val=""), "", VALUE(_xlpm.val))
)</f>
        <v/>
      </c>
      <c r="L104" s="144" t="str">
        <f>_xlfn.LET(
  _xlpm.val, _xlfn.XLOOKUP(B104, PlayerStatsSeason!$B$3:$B$996, PlayerStatsSeason!$L$3:$L$996, ""),
  IF(OR(_xlpm.val=0, _xlpm.val=""), "", VALUE(_xlpm.val))
)</f>
        <v/>
      </c>
      <c r="M104" s="149" t="e">
        <f ca="1">_xlfn.XLOOKUP($B104, PlayerStatsSeason!$B$3:$B$996, PlayerStatsSeason!$T$3:$T$996)/(_xlfn.XLOOKUP($B104, PlayerStatsSeason!$B$3:$B$996, PlayerStatsSeason!$P$3:$P$996)+_xlfn.XLOOKUP($B104, PlayerStatsSeason!$B$3:$B$996, PlayerStatsSeason!$M$3:$M$996)+_xlfn.XLOOKUP(B$12,PlayerStatsSeason!$B$3:$B$996,PlayerStatsSeason!$T$3:$T$996))</f>
        <v>#NAME?</v>
      </c>
      <c r="N104" s="143" t="str">
        <f>_xlfn.LET(
  _xlpm.val, _xlfn.XLOOKUP(B104, PlayerStatsSeason!$B$3:$B$996, PlayerStatsSeason!$U$3:$U$996, ""),
  IF(OR(_xlpm.val=0, _xlpm.val=""), "", VALUE(_xlpm.val))
)</f>
        <v/>
      </c>
      <c r="O104" s="144" t="str">
        <f>_xlfn.LET(
  _xlpm.val, _xlfn.XLOOKUP(B104, PlayerStatsSeason!$B$3:$B$996, PlayerStatsSeason!$T$3:$T$996, ""),
  IF(OR(_xlpm.val=0, _xlpm.val=""), "", VALUE(_xlpm.val))
)</f>
        <v/>
      </c>
      <c r="P104" s="141"/>
      <c r="Q104" s="141" cm="1">
        <f t="array" aca="1" ref="Q104" ca="1">MIN(IF(ISNA(MATCH(PlayerWorking!$H$5:OFFSET(PlayerWorking!$H$5,PlayerWorking!$C$5-1,0),Results!$Q$12:Q103,0)),PlayerWorking!$H$5:OFFSET(PlayerWorking!$H$5,PlayerWorking!$C$5-1,1)))</f>
        <v>0</v>
      </c>
      <c r="R104" s="170" t="e">
        <f t="shared" ca="1" si="11"/>
        <v>#NAME?</v>
      </c>
      <c r="S104" s="141"/>
      <c r="T104" s="154" t="e">
        <f ca="1">IF(D104&gt;0,IFERROR(2*_xlfn.BINOM.INV(_xlfn.BINOM.INV(F104,G104,RAND()),H104,RAND())+ 3*_xlfn.BINOM.INV(_xlfn.BINOM.INV(F104,J104,RAND()),K104,RAND())+ _xlfn.BINOM.INV(_xlfn.BINOM.INV(F104,M104,RAND()),N104,RAND()),ROUND((F104/E104)*_xlfn.XLOOKUP(B104,PlayerStatsSeason!B95:B1088,PlayerStatsSeason!AD95:AD1088),0)),0)</f>
        <v>#NAME?</v>
      </c>
      <c r="U104" s="9"/>
    </row>
    <row r="105" spans="1:23" ht="15.75" x14ac:dyDescent="0.25">
      <c r="A105" s="146" t="s">
        <v>3161</v>
      </c>
      <c r="B105" s="141"/>
      <c r="C105" s="142" t="e">
        <f ca="1">_xlfn.XLOOKUP(B105,PlayerStatsSeason!$B$3:$B$996,PlayerStatsSeason!$H$3:$H$996)</f>
        <v>#NAME?</v>
      </c>
      <c r="D105" s="142" t="e">
        <f ca="1">IF(Q105&lt;=5,C105,C105/SUM(PlayerWorking!$J$10:$J$27)*(240-SUM(PlayerWorking!$J$5:$J$9)))</f>
        <v>#NAME?</v>
      </c>
      <c r="E105" s="142" t="e">
        <f ca="1">IF(D105&gt;0,_xlfn.XLOOKUP(B105,PlayerStatsSeason!$B$3:$B$996,PlayerStatsSeason!$J$3:$J$996)+_xlfn.XLOOKUP(B105,PlayerStatsSeason!$B$3:$B$996,PlayerStatsSeason!$T$3:$T$996))</f>
        <v>#NAME?</v>
      </c>
      <c r="F105" s="142" t="e">
        <f t="shared" ca="1" si="10"/>
        <v>#NAME?</v>
      </c>
      <c r="G105" s="149" t="e">
        <f ca="1">_xlfn.XLOOKUP($B105, PlayerStatsSeason!$B$3:$B$996, PlayerStatsSeason!$P$3:$P$996)/(_xlfn.XLOOKUP($B105, PlayerStatsSeason!$B$3:$B$996, PlayerStatsSeason!$P$3:$P$996)+_xlfn.XLOOKUP($B105, PlayerStatsSeason!$B$3:$B$996, PlayerStatsSeason!$M$3:$M$996)+_xlfn.XLOOKUP(B$12,PlayerStatsSeason!$B$3:$B$996,PlayerStatsSeason!$T$3:$T$996))</f>
        <v>#NAME?</v>
      </c>
      <c r="H105" s="149" t="str">
        <f>_xlfn.LET(_xlpm.val, _xlfn.XLOOKUP(B105, PlayerStatsSeason!$B$3:$B$996, PlayerStatsSeason!$Q$3:$Q$996, ""),
  IF(OR(_xlpm.val=0, _xlpm.val=""), "", VALUE(_xlpm.val))
)</f>
        <v/>
      </c>
      <c r="I105" s="144" t="str">
        <f>_xlfn.LET(
  _xlpm.val, _xlfn.XLOOKUP(B105, PlayerStatsSeason!$B$3:$B$996, PlayerStatsSeason!$P$3:$P$996, ""),
  IF(OR(_xlpm.val=0, _xlpm.val=""), "", VALUE(_xlpm.val))
)</f>
        <v/>
      </c>
      <c r="J105" s="149" t="e">
        <f ca="1">_xlfn.XLOOKUP($B105, PlayerStatsSeason!$B$3:$B$996, PlayerStatsSeason!$M$3:$M$996)/(_xlfn.XLOOKUP($B105, PlayerStatsSeason!$B$3:$B$996, PlayerStatsSeason!$P$3:$P$996)+_xlfn.XLOOKUP($B105, PlayerStatsSeason!$B$3:$B$996, PlayerStatsSeason!$M$3:$M$996)+_xlfn.XLOOKUP(B$12,PlayerStatsSeason!$B$3:$B$996,PlayerStatsSeason!$T$3:$T$996))</f>
        <v>#NAME?</v>
      </c>
      <c r="K105" s="143" t="str">
        <f>_xlfn.LET(
  _xlpm.val, _xlfn.XLOOKUP(B105, PlayerStatsSeason!$B$3:$B$996, PlayerStatsSeason!$N$3:$N$996, ""),
  IF(OR(_xlpm.val=0, _xlpm.val=""), "", VALUE(_xlpm.val))
)</f>
        <v/>
      </c>
      <c r="L105" s="144" t="str">
        <f>_xlfn.LET(
  _xlpm.val, _xlfn.XLOOKUP(B105, PlayerStatsSeason!$B$3:$B$996, PlayerStatsSeason!$L$3:$L$996, ""),
  IF(OR(_xlpm.val=0, _xlpm.val=""), "", VALUE(_xlpm.val))
)</f>
        <v/>
      </c>
      <c r="M105" s="149" t="e">
        <f ca="1">_xlfn.XLOOKUP($B105, PlayerStatsSeason!$B$3:$B$996, PlayerStatsSeason!$T$3:$T$996)/(_xlfn.XLOOKUP($B105, PlayerStatsSeason!$B$3:$B$996, PlayerStatsSeason!$P$3:$P$996)+_xlfn.XLOOKUP($B105, PlayerStatsSeason!$B$3:$B$996, PlayerStatsSeason!$M$3:$M$996)+_xlfn.XLOOKUP(B$12,PlayerStatsSeason!$B$3:$B$996,PlayerStatsSeason!$T$3:$T$996))</f>
        <v>#NAME?</v>
      </c>
      <c r="N105" s="143" t="str">
        <f>_xlfn.LET(
  _xlpm.val, _xlfn.XLOOKUP(B105, PlayerStatsSeason!$B$3:$B$996, PlayerStatsSeason!$U$3:$U$996, ""),
  IF(OR(_xlpm.val=0, _xlpm.val=""), "", VALUE(_xlpm.val))
)</f>
        <v/>
      </c>
      <c r="O105" s="144" t="str">
        <f>_xlfn.LET(
  _xlpm.val, _xlfn.XLOOKUP(B105, PlayerStatsSeason!$B$3:$B$996, PlayerStatsSeason!$T$3:$T$996, ""),
  IF(OR(_xlpm.val=0, _xlpm.val=""), "", VALUE(_xlpm.val))
)</f>
        <v/>
      </c>
      <c r="P105" s="141"/>
      <c r="Q105" s="141" cm="1">
        <f t="array" aca="1" ref="Q105" ca="1">MIN(IF(ISNA(MATCH(PlayerWorking!$H$5:OFFSET(PlayerWorking!$H$5,PlayerWorking!$C$5-1,0),Results!$Q$12:Q104,0)),PlayerWorking!$H$5:OFFSET(PlayerWorking!$H$5,PlayerWorking!$C$5-1,1)))</f>
        <v>0</v>
      </c>
      <c r="R105" s="170" t="e">
        <f t="shared" ca="1" si="11"/>
        <v>#NAME?</v>
      </c>
      <c r="S105" s="141"/>
      <c r="T105" s="154" t="e">
        <f ca="1">IF(D105&gt;0,IFERROR(2*_xlfn.BINOM.INV(_xlfn.BINOM.INV(F105,G105,RAND()),H105,RAND())+ 3*_xlfn.BINOM.INV(_xlfn.BINOM.INV(F105,J105,RAND()),K105,RAND())+ _xlfn.BINOM.INV(_xlfn.BINOM.INV(F105,M105,RAND()),N105,RAND()),ROUND((F105/E105)*_xlfn.XLOOKUP(B105,PlayerStatsSeason!B96:B1089,PlayerStatsSeason!AD96:AD1089),0)),0)</f>
        <v>#NAME?</v>
      </c>
      <c r="U105" s="9"/>
    </row>
    <row r="106" spans="1:23" ht="15.75" x14ac:dyDescent="0.25">
      <c r="A106" s="146" t="s">
        <v>3162</v>
      </c>
      <c r="B106" s="141"/>
      <c r="C106" s="142" t="e">
        <f ca="1">_xlfn.XLOOKUP(B106,PlayerStatsSeason!$B$3:$B$996,PlayerStatsSeason!$H$3:$H$996)</f>
        <v>#NAME?</v>
      </c>
      <c r="D106" s="142" t="e">
        <f ca="1">IF(Q106&lt;=5,C106,C106/SUM(PlayerWorking!$J$10:$J$27)*(240-SUM(PlayerWorking!$J$5:$J$9)))</f>
        <v>#NAME?</v>
      </c>
      <c r="E106" s="142" t="e">
        <f ca="1">IF(D106&gt;0,_xlfn.XLOOKUP(B106,PlayerStatsSeason!$B$3:$B$996,PlayerStatsSeason!$J$3:$J$996)+_xlfn.XLOOKUP(B106,PlayerStatsSeason!$B$3:$B$996,PlayerStatsSeason!$T$3:$T$996))</f>
        <v>#NAME?</v>
      </c>
      <c r="F106" s="142" t="e">
        <f t="shared" ca="1" si="10"/>
        <v>#NAME?</v>
      </c>
      <c r="G106" s="149" t="e">
        <f ca="1">_xlfn.XLOOKUP($B106, PlayerStatsSeason!$B$3:$B$996, PlayerStatsSeason!$P$3:$P$996)/(_xlfn.XLOOKUP($B106, PlayerStatsSeason!$B$3:$B$996, PlayerStatsSeason!$P$3:$P$996)+_xlfn.XLOOKUP($B106, PlayerStatsSeason!$B$3:$B$996, PlayerStatsSeason!$M$3:$M$996)+_xlfn.XLOOKUP(B$12,PlayerStatsSeason!$B$3:$B$996,PlayerStatsSeason!$T$3:$T$996))</f>
        <v>#NAME?</v>
      </c>
      <c r="H106" s="149" t="str">
        <f>_xlfn.LET(_xlpm.val, _xlfn.XLOOKUP(B106, PlayerStatsSeason!$B$3:$B$996, PlayerStatsSeason!$Q$3:$Q$996, ""),
  IF(OR(_xlpm.val=0, _xlpm.val=""), "", VALUE(_xlpm.val))
)</f>
        <v/>
      </c>
      <c r="I106" s="144" t="str">
        <f>_xlfn.LET(
  _xlpm.val, _xlfn.XLOOKUP(B106, PlayerStatsSeason!$B$3:$B$996, PlayerStatsSeason!$P$3:$P$996, ""),
  IF(OR(_xlpm.val=0, _xlpm.val=""), "", VALUE(_xlpm.val))
)</f>
        <v/>
      </c>
      <c r="J106" s="149" t="e">
        <f ca="1">_xlfn.XLOOKUP($B106, PlayerStatsSeason!$B$3:$B$996, PlayerStatsSeason!$M$3:$M$996)/(_xlfn.XLOOKUP($B106, PlayerStatsSeason!$B$3:$B$996, PlayerStatsSeason!$P$3:$P$996)+_xlfn.XLOOKUP($B106, PlayerStatsSeason!$B$3:$B$996, PlayerStatsSeason!$M$3:$M$996)+_xlfn.XLOOKUP(B$12,PlayerStatsSeason!$B$3:$B$996,PlayerStatsSeason!$T$3:$T$996))</f>
        <v>#NAME?</v>
      </c>
      <c r="K106" s="143" t="str">
        <f>_xlfn.LET(
  _xlpm.val, _xlfn.XLOOKUP(B106, PlayerStatsSeason!$B$3:$B$996, PlayerStatsSeason!$N$3:$N$996, ""),
  IF(OR(_xlpm.val=0, _xlpm.val=""), "", VALUE(_xlpm.val))
)</f>
        <v/>
      </c>
      <c r="L106" s="144" t="str">
        <f>_xlfn.LET(
  _xlpm.val, _xlfn.XLOOKUP(B106, PlayerStatsSeason!$B$3:$B$996, PlayerStatsSeason!$L$3:$L$996, ""),
  IF(OR(_xlpm.val=0, _xlpm.val=""), "", VALUE(_xlpm.val))
)</f>
        <v/>
      </c>
      <c r="M106" s="149" t="e">
        <f ca="1">_xlfn.XLOOKUP($B106, PlayerStatsSeason!$B$3:$B$996, PlayerStatsSeason!$T$3:$T$996)/(_xlfn.XLOOKUP($B106, PlayerStatsSeason!$B$3:$B$996, PlayerStatsSeason!$P$3:$P$996)+_xlfn.XLOOKUP($B106, PlayerStatsSeason!$B$3:$B$996, PlayerStatsSeason!$M$3:$M$996)+_xlfn.XLOOKUP(B$12,PlayerStatsSeason!$B$3:$B$996,PlayerStatsSeason!$T$3:$T$996))</f>
        <v>#NAME?</v>
      </c>
      <c r="N106" s="143" t="str">
        <f>_xlfn.LET(
  _xlpm.val, _xlfn.XLOOKUP(B106, PlayerStatsSeason!$B$3:$B$996, PlayerStatsSeason!$U$3:$U$996, ""),
  IF(OR(_xlpm.val=0, _xlpm.val=""), "", VALUE(_xlpm.val))
)</f>
        <v/>
      </c>
      <c r="O106" s="144" t="str">
        <f>_xlfn.LET(
  _xlpm.val, _xlfn.XLOOKUP(B106, PlayerStatsSeason!$B$3:$B$996, PlayerStatsSeason!$T$3:$T$996, ""),
  IF(OR(_xlpm.val=0, _xlpm.val=""), "", VALUE(_xlpm.val))
)</f>
        <v/>
      </c>
      <c r="P106" s="141"/>
      <c r="Q106" s="141" cm="1">
        <f t="array" aca="1" ref="Q106" ca="1">MIN(IF(ISNA(MATCH(PlayerWorking!$H$5:OFFSET(PlayerWorking!$H$5,PlayerWorking!$C$5-1,0),Results!$Q$12:Q105,0)),PlayerWorking!$H$5:OFFSET(PlayerWorking!$H$5,PlayerWorking!$C$5-1,1)))</f>
        <v>0</v>
      </c>
      <c r="R106" s="170" t="e">
        <f t="shared" ca="1" si="11"/>
        <v>#NAME?</v>
      </c>
      <c r="S106" s="141"/>
      <c r="T106" s="154" t="e">
        <f ca="1">IF(D106&gt;0,IFERROR(2*_xlfn.BINOM.INV(_xlfn.BINOM.INV(F106,G106,RAND()),H106,RAND())+ 3*_xlfn.BINOM.INV(_xlfn.BINOM.INV(F106,J106,RAND()),K106,RAND())+ _xlfn.BINOM.INV(_xlfn.BINOM.INV(F106,M106,RAND()),N106,RAND()),ROUND((F106/E106)*_xlfn.XLOOKUP(B106,PlayerStatsSeason!B97:B1090,PlayerStatsSeason!AD97:AD1090),0)),0)</f>
        <v>#NAME?</v>
      </c>
      <c r="U106" s="9"/>
    </row>
    <row r="107" spans="1:23" ht="15.75" x14ac:dyDescent="0.25">
      <c r="A107" s="146" t="s">
        <v>3163</v>
      </c>
      <c r="B107" s="141"/>
      <c r="C107" s="142" t="e">
        <f ca="1">_xlfn.XLOOKUP(B107,PlayerStatsSeason!$B$3:$B$996,PlayerStatsSeason!$H$3:$H$996)</f>
        <v>#NAME?</v>
      </c>
      <c r="D107" s="142" t="e">
        <f ca="1">IF(Q107&lt;=5,C107,C107/SUM(PlayerWorking!$J$10:$J$27)*(240-SUM(PlayerWorking!$J$5:$J$9)))</f>
        <v>#NAME?</v>
      </c>
      <c r="E107" s="142" t="e">
        <f ca="1">IF(D107&gt;0,_xlfn.XLOOKUP(B107,PlayerStatsSeason!$B$3:$B$996,PlayerStatsSeason!$J$3:$J$996)+_xlfn.XLOOKUP(B107,PlayerStatsSeason!$B$3:$B$996,PlayerStatsSeason!$T$3:$T$996))</f>
        <v>#NAME?</v>
      </c>
      <c r="F107" s="142" t="e">
        <f t="shared" ca="1" si="10"/>
        <v>#NAME?</v>
      </c>
      <c r="G107" s="149" t="e">
        <f ca="1">_xlfn.XLOOKUP($B107, PlayerStatsSeason!$B$3:$B$996, PlayerStatsSeason!$P$3:$P$996)/(_xlfn.XLOOKUP($B107, PlayerStatsSeason!$B$3:$B$996, PlayerStatsSeason!$P$3:$P$996)+_xlfn.XLOOKUP($B107, PlayerStatsSeason!$B$3:$B$996, PlayerStatsSeason!$M$3:$M$996)+_xlfn.XLOOKUP(B$12,PlayerStatsSeason!$B$3:$B$996,PlayerStatsSeason!$T$3:$T$996))</f>
        <v>#NAME?</v>
      </c>
      <c r="H107" s="149" t="str">
        <f>_xlfn.LET(_xlpm.val, _xlfn.XLOOKUP(B107, PlayerStatsSeason!$B$3:$B$996, PlayerStatsSeason!$Q$3:$Q$996, ""),
  IF(OR(_xlpm.val=0, _xlpm.val=""), "", VALUE(_xlpm.val))
)</f>
        <v/>
      </c>
      <c r="I107" s="144" t="str">
        <f>_xlfn.LET(
  _xlpm.val, _xlfn.XLOOKUP(B107, PlayerStatsSeason!$B$3:$B$996, PlayerStatsSeason!$P$3:$P$996, ""),
  IF(OR(_xlpm.val=0, _xlpm.val=""), "", VALUE(_xlpm.val))
)</f>
        <v/>
      </c>
      <c r="J107" s="149" t="e">
        <f ca="1">_xlfn.XLOOKUP($B107, PlayerStatsSeason!$B$3:$B$996, PlayerStatsSeason!$M$3:$M$996)/(_xlfn.XLOOKUP($B107, PlayerStatsSeason!$B$3:$B$996, PlayerStatsSeason!$P$3:$P$996)+_xlfn.XLOOKUP($B107, PlayerStatsSeason!$B$3:$B$996, PlayerStatsSeason!$M$3:$M$996)+_xlfn.XLOOKUP(B$12,PlayerStatsSeason!$B$3:$B$996,PlayerStatsSeason!$T$3:$T$996))</f>
        <v>#NAME?</v>
      </c>
      <c r="K107" s="143" t="str">
        <f>_xlfn.LET(
  _xlpm.val, _xlfn.XLOOKUP(B107, PlayerStatsSeason!$B$3:$B$996, PlayerStatsSeason!$N$3:$N$996, ""),
  IF(OR(_xlpm.val=0, _xlpm.val=""), "", VALUE(_xlpm.val))
)</f>
        <v/>
      </c>
      <c r="L107" s="144" t="str">
        <f>_xlfn.LET(
  _xlpm.val, _xlfn.XLOOKUP(B107, PlayerStatsSeason!$B$3:$B$996, PlayerStatsSeason!$L$3:$L$996, ""),
  IF(OR(_xlpm.val=0, _xlpm.val=""), "", VALUE(_xlpm.val))
)</f>
        <v/>
      </c>
      <c r="M107" s="149" t="e">
        <f ca="1">_xlfn.XLOOKUP($B107, PlayerStatsSeason!$B$3:$B$996, PlayerStatsSeason!$T$3:$T$996)/(_xlfn.XLOOKUP($B107, PlayerStatsSeason!$B$3:$B$996, PlayerStatsSeason!$P$3:$P$996)+_xlfn.XLOOKUP($B107, PlayerStatsSeason!$B$3:$B$996, PlayerStatsSeason!$M$3:$M$996)+_xlfn.XLOOKUP(B$12,PlayerStatsSeason!$B$3:$B$996,PlayerStatsSeason!$T$3:$T$996))</f>
        <v>#NAME?</v>
      </c>
      <c r="N107" s="143" t="str">
        <f>_xlfn.LET(
  _xlpm.val, _xlfn.XLOOKUP(B107, PlayerStatsSeason!$B$3:$B$996, PlayerStatsSeason!$U$3:$U$996, ""),
  IF(OR(_xlpm.val=0, _xlpm.val=""), "", VALUE(_xlpm.val))
)</f>
        <v/>
      </c>
      <c r="O107" s="144" t="str">
        <f>_xlfn.LET(
  _xlpm.val, _xlfn.XLOOKUP(B107, PlayerStatsSeason!$B$3:$B$996, PlayerStatsSeason!$T$3:$T$996, ""),
  IF(OR(_xlpm.val=0, _xlpm.val=""), "", VALUE(_xlpm.val))
)</f>
        <v/>
      </c>
      <c r="P107" s="141"/>
      <c r="Q107" s="141"/>
      <c r="R107" s="170" t="e">
        <f t="shared" ca="1" si="11"/>
        <v>#NAME?</v>
      </c>
      <c r="S107" s="141"/>
      <c r="T107" s="154" t="e">
        <f ca="1">IF(D107&gt;0,IFERROR(2*_xlfn.BINOM.INV(_xlfn.BINOM.INV(F107,G107,RAND()),H107,RAND())+ 3*_xlfn.BINOM.INV(_xlfn.BINOM.INV(F107,J107,RAND()),K107,RAND())+ _xlfn.BINOM.INV(_xlfn.BINOM.INV(F107,M107,RAND()),N107,RAND()),ROUND((F107/E107)*_xlfn.XLOOKUP(B107,PlayerStatsSeason!B98:B1091,PlayerStatsSeason!AD98:AD1091),0)),0)</f>
        <v>#NAME?</v>
      </c>
      <c r="U107" s="9"/>
    </row>
    <row r="108" spans="1:23" ht="15.75" x14ac:dyDescent="0.25">
      <c r="A108" s="147" t="s">
        <v>3164</v>
      </c>
      <c r="B108" s="148"/>
      <c r="C108" s="150">
        <f>_xlfn.XLOOKUP(B108,PlayerStatsSeason!$B$3:$B$996,PlayerStatsSeason!$H$3:$H$996)</f>
        <v>0</v>
      </c>
      <c r="D108" s="150">
        <f>IF(Q108&lt;=5,C108,C108/SUM(PlayerWorking!$J$10:$J$27)*(240-SUM(PlayerWorking!$J$5:$J$9)))</f>
        <v>0</v>
      </c>
      <c r="E108" s="150" t="b">
        <f>IF(D108&gt;0,_xlfn.XLOOKUP(B108,PlayerStatsSeason!$B$3:$B$996,PlayerStatsSeason!$J$3:$J$996)+_xlfn.XLOOKUP(B108,PlayerStatsSeason!$B$3:$B$996,PlayerStatsSeason!$T$3:$T$996))</f>
        <v>0</v>
      </c>
      <c r="F108" s="150">
        <f t="shared" si="10"/>
        <v>0</v>
      </c>
      <c r="G108" s="151" t="e">
        <f ca="1">_xlfn.XLOOKUP($B108, PlayerStatsSeason!$B$3:$B$996, PlayerStatsSeason!$P$3:$P$996)/(_xlfn.XLOOKUP($B108, PlayerStatsSeason!$B$3:$B$996, PlayerStatsSeason!$P$3:$P$996)+_xlfn.XLOOKUP($B108, PlayerStatsSeason!$B$3:$B$996, PlayerStatsSeason!$M$3:$M$996)+_xlfn.XLOOKUP(B$12,PlayerStatsSeason!$B$3:$B$996,PlayerStatsSeason!$T$3:$T$996))</f>
        <v>#NAME?</v>
      </c>
      <c r="H108" s="151" t="str">
        <f>_xlfn.LET(_xlpm.val, _xlfn.XLOOKUP(B108, PlayerStatsSeason!$B$3:$B$996, PlayerStatsSeason!$Q$3:$Q$996, ""),
  IF(OR(_xlpm.val=0, _xlpm.val=""), "", VALUE(_xlpm.val))
)</f>
        <v/>
      </c>
      <c r="I108" s="152" t="str">
        <f>_xlfn.LET(
  _xlpm.val, _xlfn.XLOOKUP(B108, PlayerStatsSeason!$B$3:$B$996, PlayerStatsSeason!$P$3:$P$996, ""),
  IF(OR(_xlpm.val=0, _xlpm.val=""), "", VALUE(_xlpm.val))
)</f>
        <v/>
      </c>
      <c r="J108" s="151" t="e">
        <f ca="1">_xlfn.XLOOKUP($B108, PlayerStatsSeason!$B$3:$B$996, PlayerStatsSeason!$M$3:$M$996)/(_xlfn.XLOOKUP($B108, PlayerStatsSeason!$B$3:$B$996, PlayerStatsSeason!$P$3:$P$996)+_xlfn.XLOOKUP($B108, PlayerStatsSeason!$B$3:$B$996, PlayerStatsSeason!$M$3:$M$996)+_xlfn.XLOOKUP(B$12,PlayerStatsSeason!$B$3:$B$996,PlayerStatsSeason!$T$3:$T$996))</f>
        <v>#NAME?</v>
      </c>
      <c r="K108" s="153" t="str">
        <f>_xlfn.LET(
  _xlpm.val, _xlfn.XLOOKUP(B108, PlayerStatsSeason!$B$3:$B$996, PlayerStatsSeason!$N$3:$N$996, ""),
  IF(OR(_xlpm.val=0, _xlpm.val=""), "", VALUE(_xlpm.val))
)</f>
        <v/>
      </c>
      <c r="L108" s="152" t="str">
        <f>_xlfn.LET(
  _xlpm.val, _xlfn.XLOOKUP(B108, PlayerStatsSeason!$B$3:$B$996, PlayerStatsSeason!$L$3:$L$996, ""),
  IF(OR(_xlpm.val=0, _xlpm.val=""), "", VALUE(_xlpm.val))
)</f>
        <v/>
      </c>
      <c r="M108" s="151" t="e">
        <f ca="1">_xlfn.XLOOKUP($B108, PlayerStatsSeason!$B$3:$B$996, PlayerStatsSeason!$T$3:$T$996)/(_xlfn.XLOOKUP($B108, PlayerStatsSeason!$B$3:$B$996, PlayerStatsSeason!$P$3:$P$996)+_xlfn.XLOOKUP($B108, PlayerStatsSeason!$B$3:$B$996, PlayerStatsSeason!$M$3:$M$996)+_xlfn.XLOOKUP(B$12,PlayerStatsSeason!$B$3:$B$996,PlayerStatsSeason!$T$3:$T$996))</f>
        <v>#NAME?</v>
      </c>
      <c r="N108" s="153" t="str">
        <f>_xlfn.LET(
  _xlpm.val, _xlfn.XLOOKUP(B108, PlayerStatsSeason!$B$3:$B$996, PlayerStatsSeason!$U$3:$U$996, ""),
  IF(OR(_xlpm.val=0, _xlpm.val=""), "", VALUE(_xlpm.val))
)</f>
        <v/>
      </c>
      <c r="O108" s="152" t="str">
        <f>_xlfn.LET(
  _xlpm.val, _xlfn.XLOOKUP(B108, PlayerStatsSeason!$B$3:$B$996, PlayerStatsSeason!$T$3:$T$996, ""),
  IF(OR(_xlpm.val=0, _xlpm.val=""), "", VALUE(_xlpm.val))
)</f>
        <v/>
      </c>
      <c r="P108" s="148"/>
      <c r="Q108" s="148"/>
      <c r="R108" s="170">
        <f t="shared" si="11"/>
        <v>0</v>
      </c>
      <c r="S108" s="148"/>
      <c r="T108" s="155">
        <f ca="1">IF(D108&gt;0,IFERROR(2*_xlfn.BINOM.INV(_xlfn.BINOM.INV(F108,G108,RAND()),H108,RAND())+ 3*_xlfn.BINOM.INV(_xlfn.BINOM.INV(F108,J108,RAND()),K108,RAND())+ _xlfn.BINOM.INV(_xlfn.BINOM.INV(F108,M108,RAND()),N108,RAND()),ROUND((F108/E108)*_xlfn.XLOOKUP(B108,PlayerStatsSeason!B99:B1092,PlayerStatsSeason!AD99:AD1092),0)),0)</f>
        <v>0</v>
      </c>
      <c r="U108" s="9"/>
    </row>
    <row r="109" spans="1:23" ht="15.75" x14ac:dyDescent="0.25">
      <c r="A109" s="125"/>
      <c r="D109" s="8"/>
      <c r="G109" s="140"/>
      <c r="H109" s="140"/>
      <c r="J109" s="140"/>
      <c r="K109" s="140"/>
      <c r="M109" s="140"/>
      <c r="T109" s="9" t="e">
        <f ca="1">SUM(T84:T108)</f>
        <v>#NAME?</v>
      </c>
      <c r="U109" s="9"/>
    </row>
    <row r="110" spans="1:23" ht="15.75" x14ac:dyDescent="0.25">
      <c r="A110" s="125"/>
      <c r="D110" s="8"/>
      <c r="G110" s="140"/>
      <c r="H110" s="140"/>
      <c r="J110" s="140"/>
      <c r="K110" s="140"/>
      <c r="M110" s="140"/>
      <c r="Q110" cm="1">
        <f t="array" aca="1" ref="Q110" ca="1">MIN(IF(ISNA(MATCH(PlayerWorking!$H$5:OFFSET(PlayerWorking!$H$5,PlayerWorking!$C$5-1,0),Results!$Q$12:Q103,0)),PlayerWorking!$H$5:OFFSET(PlayerWorking!$H$5,PlayerWorking!$C$5-1,1)))</f>
        <v>0</v>
      </c>
    </row>
    <row r="111" spans="1:23" ht="33.75" x14ac:dyDescent="0.5">
      <c r="B111" s="206" t="str">
        <f>E77</f>
        <v>Golden State Warriors</v>
      </c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184"/>
      <c r="V111" s="156"/>
      <c r="W111" s="156"/>
    </row>
    <row r="112" spans="1:23" ht="33.75" x14ac:dyDescent="0.5"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</row>
    <row r="113" spans="1:23" ht="18.75" x14ac:dyDescent="0.3">
      <c r="A113" s="179"/>
      <c r="B113" s="180" t="s">
        <v>171</v>
      </c>
      <c r="C113" s="180" t="s">
        <v>878</v>
      </c>
      <c r="D113" s="180" t="s">
        <v>3132</v>
      </c>
      <c r="E113" s="180" t="s">
        <v>3133</v>
      </c>
      <c r="F113" s="180" t="s">
        <v>3134</v>
      </c>
      <c r="G113" s="181" t="s">
        <v>3135</v>
      </c>
      <c r="H113" s="180" t="s">
        <v>887</v>
      </c>
      <c r="I113" s="180" t="s">
        <v>3136</v>
      </c>
      <c r="J113" s="181" t="s">
        <v>3137</v>
      </c>
      <c r="K113" s="180" t="s">
        <v>884</v>
      </c>
      <c r="L113" s="180" t="s">
        <v>3138</v>
      </c>
      <c r="M113" s="181" t="s">
        <v>3139</v>
      </c>
      <c r="N113" s="180" t="s">
        <v>891</v>
      </c>
      <c r="O113" s="180" t="s">
        <v>3140</v>
      </c>
      <c r="P113" s="180" t="s">
        <v>899</v>
      </c>
      <c r="Q113" s="180" t="s">
        <v>3142</v>
      </c>
      <c r="R113" s="180" t="s">
        <v>872</v>
      </c>
      <c r="S113" s="180" t="s">
        <v>873</v>
      </c>
      <c r="T113" s="182" t="s">
        <v>3143</v>
      </c>
      <c r="U113" s="185" t="s">
        <v>3144</v>
      </c>
      <c r="V113" s="180" t="s">
        <v>872</v>
      </c>
      <c r="W113" s="182" t="s">
        <v>3143</v>
      </c>
    </row>
    <row r="114" spans="1:23" ht="15.75" x14ac:dyDescent="0.25">
      <c r="A114" s="161" t="s">
        <v>56</v>
      </c>
      <c r="B114" s="162" t="e">
        <f ca="1">_xlfn.XLOOKUP(A114,PlayerWorking!$W$5:$W$31,PlayerWorking!$U$5:$U$31)</f>
        <v>#NAME?</v>
      </c>
      <c r="C114" s="163" t="e">
        <f ca="1">_xlfn.XLOOKUP(B114,PlayerStatsSeason!$B$3:$B$996,PlayerStatsSeason!$H$3:$H$996)</f>
        <v>#NAME?</v>
      </c>
      <c r="D114" s="163" t="e">
        <f ca="1">IF(Q114&lt;=5,C114,C114/SUM(PlayerWorking!$J$10:$J$27)*(240-SUM(PlayerWorking!$J$5:$J$9)))</f>
        <v>#NAME?</v>
      </c>
      <c r="E114" s="163" t="e">
        <f ca="1">IF(D114&gt;0,_xlfn.XLOOKUP(B114,PlayerStatsSeason!$B$3:$B$996,PlayerStatsSeason!$J$3:$J$996)+_xlfn.XLOOKUP(B114,PlayerStatsSeason!$B$3:$B$996,PlayerStatsSeason!$T$3:$T$996))</f>
        <v>#NAME?</v>
      </c>
      <c r="F114" s="163" t="e">
        <f ca="1">((0.0182*(D114)^2-0.1186*(D114)+2.3528)/(0.0182*(C114)^2-0.1186*(C114)+2.3528))*E114</f>
        <v>#NAME?</v>
      </c>
      <c r="G114" s="167" t="e">
        <f ca="1">_xlfn.LET(
  _xlpm.twoPA, _xlfn.XLOOKUP($B114, PlayerStatsSeason!$B$3:$B$996, PlayerStatsSeason!$P$3:$P$996, 0),
  _xlpm.threePA, _xlfn.XLOOKUP($B114, PlayerStatsSeason!$B$3:$B$996, PlayerStatsSeason!$M$3:$M$996, 0),
  _xlpm.ftA, _xlfn.XLOOKUP($B114, PlayerStatsSeason!$B$3:$B$996, PlayerStatsSeason!$T$3:$T$996, 0),
  _xlpm.total, _xlpm.twoPA + _xlpm.threePA + _xlpm.ftA,
  _xlpm.val, IF(_xlpm.total = 0, "", _xlpm.twoPA / _xlpm.total),
  _xlpm.val
)</f>
        <v>#NAME?</v>
      </c>
      <c r="H114" s="167" t="e">
        <f ca="1">_xlfn.LET(
  _xlpm.val, _xlfn.XLOOKUP(B114, PlayerStatsSeason!$B$3:$B$996, PlayerStatsSeason!$Q$3:$Q$996, ""),
  IF(OR(_xlpm.val=0, _xlpm.val=""), "", VALUE(_xlpm.val))
)</f>
        <v>#NAME?</v>
      </c>
      <c r="I114" s="166" t="e">
        <f ca="1">_xlfn.LET(
  _xlpm.val, _xlfn.XLOOKUP(B114, PlayerStatsSeason!$B$3:$B$996, PlayerStatsSeason!$P$3:$P$996, ""),
  IF(OR(_xlpm.val=0, _xlpm.val=""), "", VALUE(_xlpm.val))
)</f>
        <v>#NAME?</v>
      </c>
      <c r="J114" s="167" t="e">
        <f ca="1">_xlfn.LET(
  _xlpm.twoPA, _xlfn.XLOOKUP($B114, PlayerStatsSeason!$B$3:$B$996, PlayerStatsSeason!$P$3:$P$996, 0),
  _xlpm.threePA, _xlfn.XLOOKUP($B114, PlayerStatsSeason!$B$3:$B$996, PlayerStatsSeason!$M$3:$M$996, 0),
  _xlpm.ftA, _xlfn.XLOOKUP($B114, PlayerStatsSeason!$B$3:$B$996, PlayerStatsSeason!$T$3:$T$996, 0),
  _xlpm.total, _xlpm.twoPA + _xlpm.threePA + _xlpm.ftA,
  _xlpm.val, IF(_xlpm.total = 0, "", _xlpm.threePA / _xlpm.total),
  _xlpm.val
)</f>
        <v>#NAME?</v>
      </c>
      <c r="K114" s="167" t="e">
        <f ca="1">_xlfn.LET(
  _xlpm.val, _xlfn.XLOOKUP(B114, PlayerStatsSeason!$B$3:$B$996, PlayerStatsSeason!$N$3:$N$996, ""),
  IF(OR(_xlpm.val=0, _xlpm.val=""), "", VALUE(_xlpm.val))
)</f>
        <v>#NAME?</v>
      </c>
      <c r="L114" s="166" t="e" cm="1">
        <f t="array" aca="1" ref="L114" ca="1">_xlfn.LET(
  _xlpm.val, _xlfn.XLOOKUP(B114, PlayerStatsSeason!$B$3:$B$996, PlayerStatsSeason!$M$3:$M$996, ""),
  IF(OR(_xlpm.val=0, _xlpm.val=""), "", VALUE(_xlpm.val))
)</f>
        <v>#NAME?</v>
      </c>
      <c r="M114" s="167" t="e">
        <f ca="1">_xlfn.LET(
  _xlpm.twoPA, _xlfn.XLOOKUP($B114, PlayerStatsSeason!$B$3:$B$996, PlayerStatsSeason!$P$3:$P$996, 0),
  _xlpm.threePA, _xlfn.XLOOKUP($B114, PlayerStatsSeason!$B$3:$B$996, PlayerStatsSeason!$M$3:$M$996, 0),
  _xlpm.ftA, _xlfn.XLOOKUP($B114, PlayerStatsSeason!$B$3:$B$996, PlayerStatsSeason!$T$3:$T$996, 0),
  _xlpm.total, _xlpm.twoPA + _xlpm.threePA + _xlpm.ftA,
  _xlpm.val, IF(_xlpm.total = 0, "", _xlpm.ftA / _xlpm.total),
  _xlpm.val
)</f>
        <v>#NAME?</v>
      </c>
      <c r="N114" s="167" t="e">
        <f ca="1">_xlfn.LET(
  _xlpm.val, _xlfn.XLOOKUP(B114, PlayerStatsSeason!$B$3:$B$996, PlayerStatsSeason!$U$3:$U$996, ""),
  IF(OR(_xlpm.val=0, _xlpm.val=""), "", VALUE(_xlpm.val))
)</f>
        <v>#NAME?</v>
      </c>
      <c r="O114" s="166" t="e">
        <f ca="1">_xlfn.LET(
  _xlpm.val, _xlfn.XLOOKUP(B114, PlayerStatsSeason!$B$3:$B$996, PlayerStatsSeason!$T$3:$T$996, ""),
  IF(OR(_xlpm.val=0, _xlpm.val=""), "", VALUE(_xlpm.val))
)</f>
        <v>#NAME?</v>
      </c>
      <c r="P114" s="162"/>
      <c r="Q114" s="162" t="e">
        <f ca="1">_xlfn.RANK.EQ(_xlfn.XLOOKUP($B114,PlayerWorking!$U$5:$U$31,PlayerWorking!$V$5:$V$31),PlayerWorking!$V$5:$V$31)</f>
        <v>#NAME?</v>
      </c>
      <c r="R114" s="170" t="e">
        <f ca="1">IF(D114&gt;0,ROUND(((L114 * K114 * 3) + (I114 * H114 * 2) + (O114 * N114)) * (C114 / 32), 1),0)</f>
        <v>#NAME?</v>
      </c>
      <c r="S114" s="162"/>
      <c r="T114" s="168" t="e">
        <f ca="1">IF(D114&gt;0,IFERROR(2*_xlfn.BINOM.INV(_xlfn.BINOM.INV(F114,G114,RAND()),H114,RAND())+ 3*_xlfn.BINOM.INV(_xlfn.BINOM.INV(F114,J114,RAND()),K114,RAND())+ _xlfn.BINOM.INV(_xlfn.BINOM.INV(F114,M114,RAND()),N114,RAND()),ROUND((F114/E114)*_xlfn.XLOOKUP(B114,PlayerStatsSeason!B105:B1098,PlayerStatsSeason!AD105:AD1098),0)),0)</f>
        <v>#NAME?</v>
      </c>
      <c r="U114" s="9">
        <v>18.5</v>
      </c>
      <c r="V114" t="e">
        <f ca="1">R114-U114</f>
        <v>#NAME?</v>
      </c>
      <c r="W114" t="e">
        <f ca="1">T114-U114</f>
        <v>#NAME?</v>
      </c>
    </row>
    <row r="115" spans="1:23" ht="15.75" x14ac:dyDescent="0.25">
      <c r="A115" s="146" t="s">
        <v>63</v>
      </c>
      <c r="B115" s="141" t="e">
        <f ca="1">_xlfn.XLOOKUP(A115,PlayerWorking!$W$5:$W$31,PlayerWorking!$U$5:$U$31)</f>
        <v>#NAME?</v>
      </c>
      <c r="C115" s="142" t="e">
        <f ca="1">_xlfn.XLOOKUP(B115,PlayerStatsSeason!$B$3:$B$996,PlayerStatsSeason!$H$3:$H$996)</f>
        <v>#NAME?</v>
      </c>
      <c r="D115" s="142" t="e">
        <f ca="1">IF(Q115&lt;=5,C115,C115/SUM(PlayerWorking!$J$10:$J$27)*(240-SUM(PlayerWorking!$J$5:$J$9)))</f>
        <v>#NAME?</v>
      </c>
      <c r="E115" s="142" t="e">
        <f ca="1">IF(D115&gt;0,_xlfn.XLOOKUP(B115,PlayerStatsSeason!$B$3:$B$996,PlayerStatsSeason!$J$3:$J$996)+_xlfn.XLOOKUP(B115,PlayerStatsSeason!$B$3:$B$996,PlayerStatsSeason!$T$3:$T$996))</f>
        <v>#NAME?</v>
      </c>
      <c r="F115" s="142" t="e">
        <f t="shared" ref="F115:F130" ca="1" si="16">((0.0182*(D115)^2-0.1186*(D115)+2.3528)/(0.0182*(C115)^2-0.1186*(C115)+2.3528))*E115</f>
        <v>#NAME?</v>
      </c>
      <c r="G115" s="143" t="e">
        <f ca="1">_xlfn.LET(
  _xlpm.twoPA, _xlfn.XLOOKUP($B115, PlayerStatsSeason!$B$3:$B$996, PlayerStatsSeason!$P$3:$P$996, 0),
  _xlpm.threePA, _xlfn.XLOOKUP($B115, PlayerStatsSeason!$B$3:$B$996, PlayerStatsSeason!$M$3:$M$996, 0),
  _xlpm.ftA, _xlfn.XLOOKUP($B115, PlayerStatsSeason!$B$3:$B$996, PlayerStatsSeason!$T$3:$T$996, 0),
  _xlpm.total, _xlpm.twoPA + _xlpm.threePA + _xlpm.ftA,
  _xlpm.val, IF(_xlpm.total = 0, "", _xlpm.twoPA / _xlpm.total),
  _xlpm.val
)</f>
        <v>#NAME?</v>
      </c>
      <c r="H115" s="143" t="e">
        <f ca="1">_xlfn.LET(
  _xlpm.val, _xlfn.XLOOKUP(B115, PlayerStatsSeason!$B$3:$B$996, PlayerStatsSeason!$Q$3:$Q$996, ""),
  IF(OR(_xlpm.val=0, _xlpm.val=""), "", VALUE(_xlpm.val))
)</f>
        <v>#NAME?</v>
      </c>
      <c r="I115" s="144" t="e">
        <f ca="1">_xlfn.LET(
  _xlpm.val, _xlfn.XLOOKUP(B115, PlayerStatsSeason!$B$3:$B$996, PlayerStatsSeason!$P$3:$P$996, ""),
  IF(OR(_xlpm.val=0, _xlpm.val=""), "", VALUE(_xlpm.val))
)</f>
        <v>#NAME?</v>
      </c>
      <c r="J115" s="143" t="e">
        <f ca="1">_xlfn.LET(
  _xlpm.twoPA, _xlfn.XLOOKUP($B115, PlayerStatsSeason!$B$3:$B$996, PlayerStatsSeason!$P$3:$P$996, 0),
  _xlpm.threePA, _xlfn.XLOOKUP($B115, PlayerStatsSeason!$B$3:$B$996, PlayerStatsSeason!$M$3:$M$996, 0),
  _xlpm.ftA, _xlfn.XLOOKUP($B115, PlayerStatsSeason!$B$3:$B$996, PlayerStatsSeason!$T$3:$T$996, 0),
  _xlpm.total, _xlpm.twoPA + _xlpm.threePA + _xlpm.ftA,
  _xlpm.val, IF(_xlpm.total = 0, "", _xlpm.threePA / _xlpm.total),
  _xlpm.val
)</f>
        <v>#NAME?</v>
      </c>
      <c r="K115" s="167" t="e">
        <f ca="1">_xlfn.LET(
  _xlpm.val, _xlfn.XLOOKUP(B115, PlayerStatsSeason!$B$3:$B$996, PlayerStatsSeason!$N$3:$N$996, ""),
  IF(OR(_xlpm.val=0, _xlpm.val=""), "", VALUE(_xlpm.val))
)</f>
        <v>#NAME?</v>
      </c>
      <c r="L115" s="166" t="e" cm="1">
        <f t="array" aca="1" ref="L115" ca="1">_xlfn.LET(
  _xlpm.val, _xlfn.XLOOKUP(B115, PlayerStatsSeason!$B$3:$B$996, PlayerStatsSeason!$M$3:$M$996, ""),
  IF(OR(_xlpm.val=0, _xlpm.val=""), "", VALUE(_xlpm.val))
)</f>
        <v>#NAME?</v>
      </c>
      <c r="M115" s="143" t="e">
        <f ca="1">_xlfn.LET(
  _xlpm.twoPA, _xlfn.XLOOKUP($B115, PlayerStatsSeason!$B$3:$B$996, PlayerStatsSeason!$P$3:$P$996, 0),
  _xlpm.threePA, _xlfn.XLOOKUP($B115, PlayerStatsSeason!$B$3:$B$996, PlayerStatsSeason!$M$3:$M$996, 0),
  _xlpm.ftA, _xlfn.XLOOKUP($B115, PlayerStatsSeason!$B$3:$B$996, PlayerStatsSeason!$T$3:$T$996, 0),
  _xlpm.total, _xlpm.twoPA + _xlpm.threePA + _xlpm.ftA,
  _xlpm.val, IF(_xlpm.total = 0, "", _xlpm.ftA / _xlpm.total),
  _xlpm.val
)</f>
        <v>#NAME?</v>
      </c>
      <c r="N115" s="143" t="e">
        <f ca="1">_xlfn.LET(
  _xlpm.val, _xlfn.XLOOKUP(B115, PlayerStatsSeason!$B$3:$B$996, PlayerStatsSeason!$U$3:$U$996, ""),
  IF(OR(_xlpm.val=0, _xlpm.val=""), "", VALUE(_xlpm.val))
)</f>
        <v>#NAME?</v>
      </c>
      <c r="O115" s="144" t="e">
        <f ca="1">_xlfn.LET(
  _xlpm.val, _xlfn.XLOOKUP(B115, PlayerStatsSeason!$B$3:$B$996, PlayerStatsSeason!$T$3:$T$996, ""),
  IF(OR(_xlpm.val=0, _xlpm.val=""), "", VALUE(_xlpm.val))
)</f>
        <v>#NAME?</v>
      </c>
      <c r="P115" s="141"/>
      <c r="Q115" s="141" t="e">
        <f ca="1">_xlfn.RANK.EQ(_xlfn.XLOOKUP($B115,PlayerWorking!$U$5:$U$31,PlayerWorking!$V$5:$V$31),PlayerWorking!$V$5:$V$31)</f>
        <v>#NAME?</v>
      </c>
      <c r="R115" s="170" t="e">
        <f t="shared" ref="R115:R138" ca="1" si="17">IF(D115&gt;0,ROUND(((L115 * K115 * 3) + (I115 * H115 * 2) + (O115 * N115)) * (C115 / 32), 1),0)</f>
        <v>#NAME?</v>
      </c>
      <c r="S115" s="141"/>
      <c r="T115" s="154" t="e">
        <f ca="1">IF(D115&gt;0,IFERROR(2*_xlfn.BINOM.INV(_xlfn.BINOM.INV(F115,G115,RAND()),H115,RAND())+ 3*_xlfn.BINOM.INV(_xlfn.BINOM.INV(F115,J115,RAND()),K115,RAND())+ _xlfn.BINOM.INV(_xlfn.BINOM.INV(F115,M115,RAND()),N115,RAND()),ROUND((F115/E115)*_xlfn.XLOOKUP(B115,PlayerStatsSeason!B106:B1099,PlayerStatsSeason!AD106:AD1099),0)),0)</f>
        <v>#NAME?</v>
      </c>
      <c r="U115" s="9">
        <v>12.5</v>
      </c>
      <c r="V115" t="e">
        <f t="shared" ref="V115:V120" ca="1" si="18">R115-U115</f>
        <v>#NAME?</v>
      </c>
      <c r="W115" t="e">
        <f t="shared" ref="W115:W120" ca="1" si="19">T115-U115</f>
        <v>#NAME?</v>
      </c>
    </row>
    <row r="116" spans="1:23" ht="15.75" x14ac:dyDescent="0.25">
      <c r="A116" s="146" t="s">
        <v>47</v>
      </c>
      <c r="B116" s="141" t="e">
        <f ca="1">_xlfn.XLOOKUP(A116,PlayerWorking!$W$5:$W$31,PlayerWorking!$U$5:$U$31)</f>
        <v>#NAME?</v>
      </c>
      <c r="C116" s="142" t="e">
        <f ca="1">_xlfn.XLOOKUP(B116,PlayerStatsSeason!$B$3:$B$996,PlayerStatsSeason!$H$3:$H$996)</f>
        <v>#NAME?</v>
      </c>
      <c r="D116" s="142" t="e">
        <f ca="1">IF(Q116&lt;=5,C116,C116/SUM(PlayerWorking!$J$10:$J$27)*(240-SUM(PlayerWorking!$J$5:$J$9)))</f>
        <v>#NAME?</v>
      </c>
      <c r="E116" s="142" t="e">
        <f ca="1">IF(D116&gt;0,_xlfn.XLOOKUP(B116,PlayerStatsSeason!$B$3:$B$996,PlayerStatsSeason!$J$3:$J$996)+_xlfn.XLOOKUP(B116,PlayerStatsSeason!$B$3:$B$996,PlayerStatsSeason!$T$3:$T$996))</f>
        <v>#NAME?</v>
      </c>
      <c r="F116" s="142" t="e">
        <f t="shared" ca="1" si="16"/>
        <v>#NAME?</v>
      </c>
      <c r="G116" s="143" t="e">
        <f ca="1">_xlfn.LET(
  _xlpm.twoPA, _xlfn.XLOOKUP($B116, PlayerStatsSeason!$B$3:$B$996, PlayerStatsSeason!$P$3:$P$996, 0),
  _xlpm.threePA, _xlfn.XLOOKUP($B116, PlayerStatsSeason!$B$3:$B$996, PlayerStatsSeason!$M$3:$M$996, 0),
  _xlpm.ftA, _xlfn.XLOOKUP($B116, PlayerStatsSeason!$B$3:$B$996, PlayerStatsSeason!$T$3:$T$996, 0),
  _xlpm.total, _xlpm.twoPA + _xlpm.threePA + _xlpm.ftA,
  _xlpm.val, IF(_xlpm.total = 0, "", _xlpm.twoPA / _xlpm.total),
  _xlpm.val
)</f>
        <v>#NAME?</v>
      </c>
      <c r="H116" s="143" t="e">
        <f ca="1">_xlfn.LET(
  _xlpm.val, _xlfn.XLOOKUP(B116, PlayerStatsSeason!$B$3:$B$996, PlayerStatsSeason!$Q$3:$Q$996, ""),
  IF(OR(_xlpm.val=0, _xlpm.val=""), "", VALUE(_xlpm.val))
)</f>
        <v>#NAME?</v>
      </c>
      <c r="I116" s="144" t="e">
        <f ca="1">_xlfn.LET(
  _xlpm.val, _xlfn.XLOOKUP(B116, PlayerStatsSeason!$B$3:$B$996, PlayerStatsSeason!$P$3:$P$996, ""),
  IF(OR(_xlpm.val=0, _xlpm.val=""), "", VALUE(_xlpm.val))
)</f>
        <v>#NAME?</v>
      </c>
      <c r="J116" s="143" t="e">
        <f ca="1">_xlfn.LET(
  _xlpm.twoPA, _xlfn.XLOOKUP($B116, PlayerStatsSeason!$B$3:$B$996, PlayerStatsSeason!$P$3:$P$996, 0),
  _xlpm.threePA, _xlfn.XLOOKUP($B116, PlayerStatsSeason!$B$3:$B$996, PlayerStatsSeason!$M$3:$M$996, 0),
  _xlpm.ftA, _xlfn.XLOOKUP($B116, PlayerStatsSeason!$B$3:$B$996, PlayerStatsSeason!$T$3:$T$996, 0),
  _xlpm.total, _xlpm.twoPA + _xlpm.threePA + _xlpm.ftA,
  _xlpm.val, IF(_xlpm.total = 0, "", _xlpm.threePA / _xlpm.total),
  _xlpm.val
)</f>
        <v>#NAME?</v>
      </c>
      <c r="K116" s="167" t="e">
        <f ca="1">_xlfn.LET(
  _xlpm.val, _xlfn.XLOOKUP(B116, PlayerStatsSeason!$B$3:$B$996, PlayerStatsSeason!$N$3:$N$996, ""),
  IF(OR(_xlpm.val=0, _xlpm.val=""), "", VALUE(_xlpm.val))
)</f>
        <v>#NAME?</v>
      </c>
      <c r="L116" s="166" t="e" cm="1">
        <f t="array" aca="1" ref="L116" ca="1">_xlfn.LET(
  _xlpm.val, _xlfn.XLOOKUP(B116, PlayerStatsSeason!$B$3:$B$996, PlayerStatsSeason!$M$3:$M$996, ""),
  IF(OR(_xlpm.val=0, _xlpm.val=""), "", VALUE(_xlpm.val))
)</f>
        <v>#NAME?</v>
      </c>
      <c r="M116" s="143" t="e">
        <f ca="1">_xlfn.LET(
  _xlpm.twoPA, _xlfn.XLOOKUP($B116, PlayerStatsSeason!$B$3:$B$996, PlayerStatsSeason!$P$3:$P$996, 0),
  _xlpm.threePA, _xlfn.XLOOKUP($B116, PlayerStatsSeason!$B$3:$B$996, PlayerStatsSeason!$M$3:$M$996, 0),
  _xlpm.ftA, _xlfn.XLOOKUP($B116, PlayerStatsSeason!$B$3:$B$996, PlayerStatsSeason!$T$3:$T$996, 0),
  _xlpm.total, _xlpm.twoPA + _xlpm.threePA + _xlpm.ftA,
  _xlpm.val, IF(_xlpm.total = 0, "", _xlpm.ftA / _xlpm.total),
  _xlpm.val
)</f>
        <v>#NAME?</v>
      </c>
      <c r="N116" s="143" t="e">
        <f ca="1">_xlfn.LET(
  _xlpm.val, _xlfn.XLOOKUP(B116, PlayerStatsSeason!$B$3:$B$996, PlayerStatsSeason!$U$3:$U$996, ""),
  IF(OR(_xlpm.val=0, _xlpm.val=""), "", VALUE(_xlpm.val))
)</f>
        <v>#NAME?</v>
      </c>
      <c r="O116" s="144" t="e">
        <f ca="1">_xlfn.LET(
  _xlpm.val, _xlfn.XLOOKUP(B116, PlayerStatsSeason!$B$3:$B$996, PlayerStatsSeason!$T$3:$T$996, ""),
  IF(OR(_xlpm.val=0, _xlpm.val=""), "", VALUE(_xlpm.val))
)</f>
        <v>#NAME?</v>
      </c>
      <c r="P116" s="141"/>
      <c r="Q116" s="141" t="e">
        <f ca="1">_xlfn.RANK.EQ(_xlfn.XLOOKUP($B116,PlayerWorking!$U$5:$U$31,PlayerWorking!$V$5:$V$31),PlayerWorking!$V$5:$V$31)</f>
        <v>#NAME?</v>
      </c>
      <c r="R116" s="170" t="e">
        <f t="shared" ca="1" si="17"/>
        <v>#NAME?</v>
      </c>
      <c r="S116" s="141"/>
      <c r="T116" s="154" t="e">
        <f ca="1">IF(D116&gt;0,IFERROR(2*_xlfn.BINOM.INV(_xlfn.BINOM.INV(F116,G116,RAND()),H116,RAND())+ 3*_xlfn.BINOM.INV(_xlfn.BINOM.INV(F116,J116,RAND()),K116,RAND())+ _xlfn.BINOM.INV(_xlfn.BINOM.INV(F116,M116,RAND()),N116,RAND()),ROUND((F116/E116)*_xlfn.XLOOKUP(B116,PlayerStatsSeason!B107:B1100,PlayerStatsSeason!AD107:AD1100),0)),0)</f>
        <v>#NAME?</v>
      </c>
      <c r="U116" s="9">
        <v>10</v>
      </c>
      <c r="V116" t="e">
        <f t="shared" ca="1" si="18"/>
        <v>#NAME?</v>
      </c>
      <c r="W116" t="e">
        <f t="shared" ca="1" si="19"/>
        <v>#NAME?</v>
      </c>
    </row>
    <row r="117" spans="1:23" ht="15.75" x14ac:dyDescent="0.25">
      <c r="A117" s="146" t="s">
        <v>93</v>
      </c>
      <c r="B117" s="141" t="e">
        <f ca="1">_xlfn.XLOOKUP(A117,PlayerWorking!$W$5:$W$31,PlayerWorking!$U$5:$U$31)</f>
        <v>#NAME?</v>
      </c>
      <c r="C117" s="142" t="e">
        <f ca="1">_xlfn.XLOOKUP(B117,PlayerStatsSeason!$B$3:$B$996,PlayerStatsSeason!$H$3:$H$996)</f>
        <v>#NAME?</v>
      </c>
      <c r="D117" s="142" t="e">
        <f ca="1">IF(Q117&lt;=5,C117,C117/SUM(PlayerWorking!$J$10:$J$27)*(240-SUM(PlayerWorking!$J$5:$J$9)))</f>
        <v>#NAME?</v>
      </c>
      <c r="E117" s="142" t="e">
        <f ca="1">IF(D117&gt;0,_xlfn.XLOOKUP(B117,PlayerStatsSeason!$B$3:$B$996,PlayerStatsSeason!$J$3:$J$996)+_xlfn.XLOOKUP(B117,PlayerStatsSeason!$B$3:$B$996,PlayerStatsSeason!$T$3:$T$996))</f>
        <v>#NAME?</v>
      </c>
      <c r="F117" s="142" t="e">
        <f t="shared" ca="1" si="16"/>
        <v>#NAME?</v>
      </c>
      <c r="G117" s="143" t="e">
        <f ca="1">_xlfn.LET(
  _xlpm.twoPA, _xlfn.XLOOKUP($B117, PlayerStatsSeason!$B$3:$B$996, PlayerStatsSeason!$P$3:$P$996, 0),
  _xlpm.threePA, _xlfn.XLOOKUP($B117, PlayerStatsSeason!$B$3:$B$996, PlayerStatsSeason!$M$3:$M$996, 0),
  _xlpm.ftA, _xlfn.XLOOKUP($B117, PlayerStatsSeason!$B$3:$B$996, PlayerStatsSeason!$T$3:$T$996, 0),
  _xlpm.total, _xlpm.twoPA + _xlpm.threePA + _xlpm.ftA,
  _xlpm.val, IF(_xlpm.total = 0, "", _xlpm.twoPA / _xlpm.total),
  _xlpm.val
)</f>
        <v>#NAME?</v>
      </c>
      <c r="H117" s="143" t="e">
        <f ca="1">_xlfn.LET(
  _xlpm.val, _xlfn.XLOOKUP(B117, PlayerStatsSeason!$B$3:$B$996, PlayerStatsSeason!$Q$3:$Q$996, ""),
  IF(OR(_xlpm.val=0, _xlpm.val=""), "", VALUE(_xlpm.val))
)</f>
        <v>#NAME?</v>
      </c>
      <c r="I117" s="144" t="e">
        <f ca="1">_xlfn.LET(
  _xlpm.val, _xlfn.XLOOKUP(B117, PlayerStatsSeason!$B$3:$B$996, PlayerStatsSeason!$P$3:$P$996, ""),
  IF(OR(_xlpm.val=0, _xlpm.val=""), "", VALUE(_xlpm.val))
)</f>
        <v>#NAME?</v>
      </c>
      <c r="J117" s="143" t="e">
        <f ca="1">_xlfn.LET(
  _xlpm.twoPA, _xlfn.XLOOKUP($B117, PlayerStatsSeason!$B$3:$B$996, PlayerStatsSeason!$P$3:$P$996, 0),
  _xlpm.threePA, _xlfn.XLOOKUP($B117, PlayerStatsSeason!$B$3:$B$996, PlayerStatsSeason!$M$3:$M$996, 0),
  _xlpm.ftA, _xlfn.XLOOKUP($B117, PlayerStatsSeason!$B$3:$B$996, PlayerStatsSeason!$T$3:$T$996, 0),
  _xlpm.total, _xlpm.twoPA + _xlpm.threePA + _xlpm.ftA,
  _xlpm.val, IF(_xlpm.total = 0, "", _xlpm.threePA / _xlpm.total),
  _xlpm.val
)</f>
        <v>#NAME?</v>
      </c>
      <c r="K117" s="167" t="e">
        <f ca="1">_xlfn.LET(
  _xlpm.val, _xlfn.XLOOKUP(B117, PlayerStatsSeason!$B$3:$B$996, PlayerStatsSeason!$N$3:$N$996, ""),
  IF(OR(_xlpm.val=0, _xlpm.val=""), "", VALUE(_xlpm.val))
)</f>
        <v>#NAME?</v>
      </c>
      <c r="L117" s="166" t="e" cm="1">
        <f t="array" aca="1" ref="L117" ca="1">_xlfn.LET(
  _xlpm.val, _xlfn.XLOOKUP(B117, PlayerStatsSeason!$B$3:$B$996, PlayerStatsSeason!$M$3:$M$996, ""),
  IF(OR(_xlpm.val=0, _xlpm.val=""), "", VALUE(_xlpm.val))
)</f>
        <v>#NAME?</v>
      </c>
      <c r="M117" s="143" t="e">
        <f ca="1">_xlfn.LET(
  _xlpm.twoPA, _xlfn.XLOOKUP($B117, PlayerStatsSeason!$B$3:$B$996, PlayerStatsSeason!$P$3:$P$996, 0),
  _xlpm.threePA, _xlfn.XLOOKUP($B117, PlayerStatsSeason!$B$3:$B$996, PlayerStatsSeason!$M$3:$M$996, 0),
  _xlpm.ftA, _xlfn.XLOOKUP($B117, PlayerStatsSeason!$B$3:$B$996, PlayerStatsSeason!$T$3:$T$996, 0),
  _xlpm.total, _xlpm.twoPA + _xlpm.threePA + _xlpm.ftA,
  _xlpm.val, IF(_xlpm.total = 0, "", _xlpm.ftA / _xlpm.total),
  _xlpm.val
)</f>
        <v>#NAME?</v>
      </c>
      <c r="N117" s="143" t="e">
        <f ca="1">_xlfn.LET(
  _xlpm.val, _xlfn.XLOOKUP(B117, PlayerStatsSeason!$B$3:$B$996, PlayerStatsSeason!$U$3:$U$996, ""),
  IF(OR(_xlpm.val=0, _xlpm.val=""), "", VALUE(_xlpm.val))
)</f>
        <v>#NAME?</v>
      </c>
      <c r="O117" s="144" t="e">
        <f ca="1">_xlfn.LET(
  _xlpm.val, _xlfn.XLOOKUP(B117, PlayerStatsSeason!$B$3:$B$996, PlayerStatsSeason!$T$3:$T$996, ""),
  IF(OR(_xlpm.val=0, _xlpm.val=""), "", VALUE(_xlpm.val))
)</f>
        <v>#NAME?</v>
      </c>
      <c r="P117" s="141"/>
      <c r="Q117" s="141" t="e">
        <f ca="1">_xlfn.RANK.EQ(_xlfn.XLOOKUP($B117,PlayerWorking!$U$5:$U$31,PlayerWorking!$V$5:$V$31),PlayerWorking!$V$5:$V$31)</f>
        <v>#NAME?</v>
      </c>
      <c r="R117" s="170" t="e">
        <f t="shared" ca="1" si="17"/>
        <v>#NAME?</v>
      </c>
      <c r="S117" s="141"/>
      <c r="T117" s="154" t="e">
        <f ca="1">IF(D117&gt;0,IFERROR(2*_xlfn.BINOM.INV(_xlfn.BINOM.INV(F117,G117,RAND()),H117,RAND())+ 3*_xlfn.BINOM.INV(_xlfn.BINOM.INV(F117,J117,RAND()),K117,RAND())+ _xlfn.BINOM.INV(_xlfn.BINOM.INV(F117,M117,RAND()),N117,RAND()),ROUND((F117/E117)*_xlfn.XLOOKUP(B117,PlayerStatsSeason!B108:B1101,PlayerStatsSeason!AD108:AD1101),0)),0)</f>
        <v>#NAME?</v>
      </c>
      <c r="U117" s="9">
        <v>19</v>
      </c>
      <c r="V117" t="e">
        <f t="shared" ca="1" si="18"/>
        <v>#NAME?</v>
      </c>
      <c r="W117" t="e">
        <f t="shared" ca="1" si="19"/>
        <v>#NAME?</v>
      </c>
    </row>
    <row r="118" spans="1:23" ht="15.75" x14ac:dyDescent="0.25">
      <c r="A118" s="146" t="s">
        <v>72</v>
      </c>
      <c r="B118" s="141" t="e">
        <f ca="1">_xlfn.XLOOKUP(A118,PlayerWorking!$W$5:$W$31,PlayerWorking!$U$5:$U$31)</f>
        <v>#NAME?</v>
      </c>
      <c r="C118" s="142" t="e">
        <f ca="1">_xlfn.XLOOKUP(B118,PlayerStatsSeason!$B$3:$B$996,PlayerStatsSeason!$H$3:$H$996)</f>
        <v>#NAME?</v>
      </c>
      <c r="D118" s="142" t="e">
        <f ca="1">IF(Q118&lt;=5,C118,C118/SUM(PlayerWorking!$J$10:$J$27)*(240-SUM(PlayerWorking!$J$5:$J$9)))</f>
        <v>#NAME?</v>
      </c>
      <c r="E118" s="142" t="e">
        <f ca="1">IF(D118&gt;0,_xlfn.XLOOKUP(B118,PlayerStatsSeason!$B$3:$B$996,PlayerStatsSeason!$J$3:$J$996)+_xlfn.XLOOKUP(B118,PlayerStatsSeason!$B$3:$B$996,PlayerStatsSeason!$T$3:$T$996))</f>
        <v>#NAME?</v>
      </c>
      <c r="F118" s="142" t="e">
        <f t="shared" ca="1" si="16"/>
        <v>#NAME?</v>
      </c>
      <c r="G118" s="143" t="e">
        <f ca="1">_xlfn.LET(
  _xlpm.twoPA, _xlfn.XLOOKUP($B118, PlayerStatsSeason!$B$3:$B$996, PlayerStatsSeason!$P$3:$P$996, 0),
  _xlpm.threePA, _xlfn.XLOOKUP($B118, PlayerStatsSeason!$B$3:$B$996, PlayerStatsSeason!$M$3:$M$996, 0),
  _xlpm.ftA, _xlfn.XLOOKUP($B118, PlayerStatsSeason!$B$3:$B$996, PlayerStatsSeason!$T$3:$T$996, 0),
  _xlpm.total, _xlpm.twoPA + _xlpm.threePA + _xlpm.ftA,
  _xlpm.val, IF(_xlpm.total = 0, "", _xlpm.twoPA / _xlpm.total),
  _xlpm.val
)</f>
        <v>#NAME?</v>
      </c>
      <c r="H118" s="143" t="e">
        <f ca="1">_xlfn.LET(
  _xlpm.val, _xlfn.XLOOKUP(B118, PlayerStatsSeason!$B$3:$B$996, PlayerStatsSeason!$Q$3:$Q$996, ""),
  IF(OR(_xlpm.val=0, _xlpm.val=""), "", VALUE(_xlpm.val))
)</f>
        <v>#NAME?</v>
      </c>
      <c r="I118" s="144" t="e">
        <f ca="1">_xlfn.LET(
  _xlpm.val, _xlfn.XLOOKUP(B118, PlayerStatsSeason!$B$3:$B$996, PlayerStatsSeason!$P$3:$P$996, ""),
  IF(OR(_xlpm.val=0, _xlpm.val=""), "", VALUE(_xlpm.val))
)</f>
        <v>#NAME?</v>
      </c>
      <c r="J118" s="143" t="e">
        <f ca="1">_xlfn.LET(
  _xlpm.twoPA, _xlfn.XLOOKUP($B118, PlayerStatsSeason!$B$3:$B$996, PlayerStatsSeason!$P$3:$P$996, 0),
  _xlpm.threePA, _xlfn.XLOOKUP($B118, PlayerStatsSeason!$B$3:$B$996, PlayerStatsSeason!$M$3:$M$996, 0),
  _xlpm.ftA, _xlfn.XLOOKUP($B118, PlayerStatsSeason!$B$3:$B$996, PlayerStatsSeason!$T$3:$T$996, 0),
  _xlpm.total, _xlpm.twoPA + _xlpm.threePA + _xlpm.ftA,
  _xlpm.val, IF(_xlpm.total = 0, "", _xlpm.threePA / _xlpm.total),
  _xlpm.val
)</f>
        <v>#NAME?</v>
      </c>
      <c r="K118" s="167" t="e">
        <f ca="1">_xlfn.LET(
  _xlpm.val, _xlfn.XLOOKUP(B118, PlayerStatsSeason!$B$3:$B$996, PlayerStatsSeason!$N$3:$N$996, ""),
  IF(OR(_xlpm.val=0, _xlpm.val=""), "", VALUE(_xlpm.val))
)</f>
        <v>#NAME?</v>
      </c>
      <c r="L118" s="166" t="e" cm="1">
        <f t="array" aca="1" ref="L118" ca="1">_xlfn.LET(
  _xlpm.val, _xlfn.XLOOKUP(B118, PlayerStatsSeason!$B$3:$B$996, PlayerStatsSeason!$M$3:$M$996, ""),
  IF(OR(_xlpm.val=0, _xlpm.val=""), "", VALUE(_xlpm.val))
)</f>
        <v>#NAME?</v>
      </c>
      <c r="M118" s="143" t="e">
        <f ca="1">_xlfn.LET(
  _xlpm.twoPA, _xlfn.XLOOKUP($B118, PlayerStatsSeason!$B$3:$B$996, PlayerStatsSeason!$P$3:$P$996, 0),
  _xlpm.threePA, _xlfn.XLOOKUP($B118, PlayerStatsSeason!$B$3:$B$996, PlayerStatsSeason!$M$3:$M$996, 0),
  _xlpm.ftA, _xlfn.XLOOKUP($B118, PlayerStatsSeason!$B$3:$B$996, PlayerStatsSeason!$T$3:$T$996, 0),
  _xlpm.total, _xlpm.twoPA + _xlpm.threePA + _xlpm.ftA,
  _xlpm.val, IF(_xlpm.total = 0, "", _xlpm.ftA / _xlpm.total),
  _xlpm.val
)</f>
        <v>#NAME?</v>
      </c>
      <c r="N118" s="143" t="e">
        <f ca="1">_xlfn.LET(
  _xlpm.val, _xlfn.XLOOKUP(B118, PlayerStatsSeason!$B$3:$B$996, PlayerStatsSeason!$U$3:$U$996, ""),
  IF(OR(_xlpm.val=0, _xlpm.val=""), "", VALUE(_xlpm.val))
)</f>
        <v>#NAME?</v>
      </c>
      <c r="O118" s="144" t="e">
        <f ca="1">_xlfn.LET(
  _xlpm.val, _xlfn.XLOOKUP(B118, PlayerStatsSeason!$B$3:$B$996, PlayerStatsSeason!$T$3:$T$996, ""),
  IF(OR(_xlpm.val=0, _xlpm.val=""), "", VALUE(_xlpm.val))
)</f>
        <v>#NAME?</v>
      </c>
      <c r="P118" s="141"/>
      <c r="Q118" s="141" t="e">
        <f ca="1">_xlfn.RANK.EQ(_xlfn.XLOOKUP($B118,PlayerWorking!$U$5:$U$31,PlayerWorking!$V$5:$V$31),PlayerWorking!$V$5:$V$31)</f>
        <v>#NAME?</v>
      </c>
      <c r="R118" s="170" t="e">
        <f t="shared" ca="1" si="17"/>
        <v>#NAME?</v>
      </c>
      <c r="S118" s="141"/>
      <c r="T118" s="154" t="e">
        <f ca="1">IF(D118&gt;0,IFERROR(2*_xlfn.BINOM.INV(_xlfn.BINOM.INV(F118,G118,RAND()),H118,RAND())+ 3*_xlfn.BINOM.INV(_xlfn.BINOM.INV(F118,J118,RAND()),K118,RAND())+ _xlfn.BINOM.INV(_xlfn.BINOM.INV(F118,M118,RAND()),N118,RAND()),ROUND((F118/E118)*_xlfn.XLOOKUP(B118,PlayerStatsSeason!B109:B1102,PlayerStatsSeason!AD109:AD1102),0)),0)</f>
        <v>#NAME?</v>
      </c>
      <c r="U118" s="9">
        <v>14</v>
      </c>
      <c r="V118" t="e">
        <f t="shared" ca="1" si="18"/>
        <v>#NAME?</v>
      </c>
      <c r="W118" t="e">
        <f t="shared" ca="1" si="19"/>
        <v>#NAME?</v>
      </c>
    </row>
    <row r="119" spans="1:23" ht="15.75" x14ac:dyDescent="0.25">
      <c r="A119" s="146" t="s">
        <v>3145</v>
      </c>
      <c r="B119" s="141" t="str">
        <f ca="1">IFERROR(IF(_xlfn.XLOOKUP(Q119,PlayerWorking!$T$5:$T$31,PlayerWorking!$U$5:$U$31)=0, "", _xlfn.XLOOKUP(Q119,PlayerWorking!$T$5:$T$31,PlayerWorking!$U$5:$U$31)), "")</f>
        <v/>
      </c>
      <c r="C119" s="142" t="e">
        <f ca="1">_xlfn.XLOOKUP(B119,PlayerStatsSeason!$B$3:$B$996,PlayerStatsSeason!$H$3:$H$996)</f>
        <v>#NAME?</v>
      </c>
      <c r="D119" s="145" t="e">
        <f ca="1">IF(Q119&lt;=5,C119,C119/SUM(PlayerWorking!$J$10:$J$27)*(240-SUM(PlayerWorking!$J$5:$J$9)))</f>
        <v>#NAME?</v>
      </c>
      <c r="E119" s="145" t="e">
        <f ca="1">IF(D119&gt;0,_xlfn.XLOOKUP(B119,PlayerStatsSeason!$B$3:$B$996,PlayerStatsSeason!$J$3:$J$996)+_xlfn.XLOOKUP(B119,PlayerStatsSeason!$B$3:$B$996,PlayerStatsSeason!$T$3:$T$996))</f>
        <v>#NAME?</v>
      </c>
      <c r="F119" s="145" t="e">
        <f t="shared" ca="1" si="16"/>
        <v>#NAME?</v>
      </c>
      <c r="G119" s="143" t="e">
        <f ca="1">_xlfn.LET(
  _xlpm.twoPA, _xlfn.XLOOKUP($B119, PlayerStatsSeason!$B$3:$B$996, PlayerStatsSeason!$P$3:$P$996, 0),
  _xlpm.threePA, _xlfn.XLOOKUP($B119, PlayerStatsSeason!$B$3:$B$996, PlayerStatsSeason!$M$3:$M$996, 0),
  _xlpm.ftA, _xlfn.XLOOKUP($B119, PlayerStatsSeason!$B$3:$B$996, PlayerStatsSeason!$T$3:$T$996, 0),
  _xlpm.total, _xlpm.twoPA + _xlpm.threePA + _xlpm.ftA,
  _xlpm.val, IF(_xlpm.total = 0, "", _xlpm.twoPA / _xlpm.total),
  _xlpm.val
)</f>
        <v>#NAME?</v>
      </c>
      <c r="H119" s="143" t="e">
        <f ca="1">_xlfn.LET(
  _xlpm.val, _xlfn.XLOOKUP(B119, PlayerStatsSeason!$B$3:$B$996, PlayerStatsSeason!$Q$3:$Q$996, ""),
  IF(OR(_xlpm.val=0, _xlpm.val=""), "", VALUE(_xlpm.val))
)</f>
        <v>#NAME?</v>
      </c>
      <c r="I119" s="144" t="e">
        <f ca="1">_xlfn.LET(
  _xlpm.val, _xlfn.XLOOKUP(B119, PlayerStatsSeason!$B$3:$B$996, PlayerStatsSeason!$P$3:$P$996, ""),
  IF(OR(_xlpm.val=0, _xlpm.val=""), "", VALUE(_xlpm.val))
)</f>
        <v>#NAME?</v>
      </c>
      <c r="J119" s="143" t="e">
        <f ca="1">_xlfn.LET(
  _xlpm.twoPA, _xlfn.XLOOKUP($B119, PlayerStatsSeason!$B$3:$B$996, PlayerStatsSeason!$P$3:$P$996, 0),
  _xlpm.threePA, _xlfn.XLOOKUP($B119, PlayerStatsSeason!$B$3:$B$996, PlayerStatsSeason!$M$3:$M$996, 0),
  _xlpm.ftA, _xlfn.XLOOKUP($B119, PlayerStatsSeason!$B$3:$B$996, PlayerStatsSeason!$T$3:$T$996, 0),
  _xlpm.total, _xlpm.twoPA + _xlpm.threePA + _xlpm.ftA,
  _xlpm.val, IF(_xlpm.total = 0, "", _xlpm.threePA / _xlpm.total),
  _xlpm.val
)</f>
        <v>#NAME?</v>
      </c>
      <c r="K119" s="167" t="e">
        <f ca="1">_xlfn.LET(
  _xlpm.val, _xlfn.XLOOKUP(B119, PlayerStatsSeason!$B$3:$B$996, PlayerStatsSeason!$N$3:$N$996, ""),
  IF(OR(_xlpm.val=0, _xlpm.val=""), "", VALUE(_xlpm.val))
)</f>
        <v>#NAME?</v>
      </c>
      <c r="L119" s="166" t="e" cm="1">
        <f t="array" aca="1" ref="L119" ca="1">_xlfn.LET(
  _xlpm.val, _xlfn.XLOOKUP(B119, PlayerStatsSeason!$B$3:$B$996, PlayerStatsSeason!$M$3:$M$996, ""),
  IF(OR(_xlpm.val=0, _xlpm.val=""), "", VALUE(_xlpm.val))
)</f>
        <v>#NAME?</v>
      </c>
      <c r="M119" s="143" t="e">
        <f ca="1">_xlfn.LET(
  _xlpm.twoPA, _xlfn.XLOOKUP($B119, PlayerStatsSeason!$B$3:$B$996, PlayerStatsSeason!$P$3:$P$996, 0),
  _xlpm.threePA, _xlfn.XLOOKUP($B119, PlayerStatsSeason!$B$3:$B$996, PlayerStatsSeason!$M$3:$M$996, 0),
  _xlpm.ftA, _xlfn.XLOOKUP($B119, PlayerStatsSeason!$B$3:$B$996, PlayerStatsSeason!$T$3:$T$996, 0),
  _xlpm.total, _xlpm.twoPA + _xlpm.threePA + _xlpm.ftA,
  _xlpm.val, IF(_xlpm.total = 0, "", _xlpm.ftA / _xlpm.total),
  _xlpm.val
)</f>
        <v>#NAME?</v>
      </c>
      <c r="N119" s="143" t="e">
        <f ca="1">_xlfn.LET(
  _xlpm.val, _xlfn.XLOOKUP(B119, PlayerStatsSeason!$B$3:$B$996, PlayerStatsSeason!$U$3:$U$996, ""),
  IF(OR(_xlpm.val=0, _xlpm.val=""), "", VALUE(_xlpm.val))
)</f>
        <v>#NAME?</v>
      </c>
      <c r="O119" s="144" t="e">
        <f ca="1">_xlfn.LET(
  _xlpm.val, _xlfn.XLOOKUP(B119, PlayerStatsSeason!$B$3:$B$996, PlayerStatsSeason!$T$3:$T$996, ""),
  IF(OR(_xlpm.val=0, _xlpm.val=""), "", VALUE(_xlpm.val))
)</f>
        <v>#NAME?</v>
      </c>
      <c r="P119" s="141"/>
      <c r="Q119" s="141" cm="1">
        <f t="array" aca="1" ref="Q119" ca="1">MIN(IF(ISNA(MATCH(PlayerWorking!$T$5:OFFSET(PlayerWorking!$T$5,PlayerWorking!$O$5-1,0),Results!$Q$42:Q118,0)),PlayerWorking!$T$5:OFFSET(PlayerWorking!$T$5,PlayerWorking!$O$5-1,1)))</f>
        <v>0</v>
      </c>
      <c r="R119" s="170" t="e">
        <f t="shared" ca="1" si="17"/>
        <v>#NAME?</v>
      </c>
      <c r="S119" s="141"/>
      <c r="T119" s="154" t="e">
        <f ca="1">IF(D119&gt;0,IFERROR(2*_xlfn.BINOM.INV(_xlfn.BINOM.INV(F119,G119,RAND()),H119,RAND())+ 3*_xlfn.BINOM.INV(_xlfn.BINOM.INV(F119,J119,RAND()),K119,RAND())+ _xlfn.BINOM.INV(_xlfn.BINOM.INV(F119,M119,RAND()),N119,RAND()),ROUND((F119/E119)*_xlfn.XLOOKUP(B119,PlayerStatsSeason!B110:B1103,PlayerStatsSeason!AD110:AD1103),0)),0)</f>
        <v>#NAME?</v>
      </c>
      <c r="U119" s="9">
        <v>12.5</v>
      </c>
      <c r="V119" t="e">
        <f t="shared" ca="1" si="18"/>
        <v>#NAME?</v>
      </c>
      <c r="W119" t="e">
        <f t="shared" ca="1" si="19"/>
        <v>#NAME?</v>
      </c>
    </row>
    <row r="120" spans="1:23" ht="15.75" x14ac:dyDescent="0.25">
      <c r="A120" s="146" t="s">
        <v>3146</v>
      </c>
      <c r="B120" s="141" t="str">
        <f ca="1">IFERROR(IF(_xlfn.XLOOKUP(Q120,PlayerWorking!$T$5:$T$31,PlayerWorking!$U$5:$U$31)=0, "", _xlfn.XLOOKUP(Q120,PlayerWorking!$T$5:$T$31,PlayerWorking!$U$5:$U$31)), "")</f>
        <v/>
      </c>
      <c r="C120" s="142" t="e">
        <f ca="1">_xlfn.XLOOKUP(B120,PlayerStatsSeason!$B$3:$B$996,PlayerStatsSeason!$H$3:$H$996)</f>
        <v>#NAME?</v>
      </c>
      <c r="D120" s="145" t="e">
        <f ca="1">IF(Q120&lt;=5,C120,C120/SUM(PlayerWorking!$J$10:$J$27)*(240-SUM(PlayerWorking!$J$5:$J$9)))</f>
        <v>#NAME?</v>
      </c>
      <c r="E120" s="145" t="e">
        <f ca="1">IF(D120&gt;0,_xlfn.XLOOKUP(B120,PlayerStatsSeason!$B$3:$B$996,PlayerStatsSeason!$J$3:$J$996)+_xlfn.XLOOKUP(B120,PlayerStatsSeason!$B$3:$B$996,PlayerStatsSeason!$T$3:$T$996))</f>
        <v>#NAME?</v>
      </c>
      <c r="F120" s="145" t="e">
        <f t="shared" ca="1" si="16"/>
        <v>#NAME?</v>
      </c>
      <c r="G120" s="143" t="e">
        <f ca="1">_xlfn.LET(
  _xlpm.twoPA, _xlfn.XLOOKUP($B120, PlayerStatsSeason!$B$3:$B$996, PlayerStatsSeason!$P$3:$P$996, 0),
  _xlpm.threePA, _xlfn.XLOOKUP($B120, PlayerStatsSeason!$B$3:$B$996, PlayerStatsSeason!$M$3:$M$996, 0),
  _xlpm.ftA, _xlfn.XLOOKUP($B120, PlayerStatsSeason!$B$3:$B$996, PlayerStatsSeason!$T$3:$T$996, 0),
  _xlpm.total, _xlpm.twoPA + _xlpm.threePA + _xlpm.ftA,
  _xlpm.val, IF(_xlpm.total = 0, "", _xlpm.twoPA / _xlpm.total),
  _xlpm.val
)</f>
        <v>#NAME?</v>
      </c>
      <c r="H120" s="143" t="e">
        <f ca="1">_xlfn.LET(
  _xlpm.val, _xlfn.XLOOKUP(B120, PlayerStatsSeason!$B$3:$B$996, PlayerStatsSeason!$Q$3:$Q$996, ""),
  IF(OR(_xlpm.val=0, _xlpm.val=""), "", VALUE(_xlpm.val))
)</f>
        <v>#NAME?</v>
      </c>
      <c r="I120" s="144" t="e">
        <f ca="1">_xlfn.LET(
  _xlpm.val, _xlfn.XLOOKUP(B120, PlayerStatsSeason!$B$3:$B$996, PlayerStatsSeason!$P$3:$P$996, ""),
  IF(OR(_xlpm.val=0, _xlpm.val=""), "", VALUE(_xlpm.val))
)</f>
        <v>#NAME?</v>
      </c>
      <c r="J120" s="143" t="e">
        <f ca="1">_xlfn.LET(
  _xlpm.twoPA, _xlfn.XLOOKUP($B120, PlayerStatsSeason!$B$3:$B$996, PlayerStatsSeason!$P$3:$P$996, 0),
  _xlpm.threePA, _xlfn.XLOOKUP($B120, PlayerStatsSeason!$B$3:$B$996, PlayerStatsSeason!$M$3:$M$996, 0),
  _xlpm.ftA, _xlfn.XLOOKUP($B120, PlayerStatsSeason!$B$3:$B$996, PlayerStatsSeason!$T$3:$T$996, 0),
  _xlpm.total, _xlpm.twoPA + _xlpm.threePA + _xlpm.ftA,
  _xlpm.val, IF(_xlpm.total = 0, "", _xlpm.threePA / _xlpm.total),
  _xlpm.val
)</f>
        <v>#NAME?</v>
      </c>
      <c r="K120" s="167" t="e">
        <f ca="1">_xlfn.LET(
  _xlpm.val, _xlfn.XLOOKUP(B120, PlayerStatsSeason!$B$3:$B$996, PlayerStatsSeason!$N$3:$N$996, ""),
  IF(OR(_xlpm.val=0, _xlpm.val=""), "", VALUE(_xlpm.val))
)</f>
        <v>#NAME?</v>
      </c>
      <c r="L120" s="166" t="e" cm="1">
        <f t="array" aca="1" ref="L120" ca="1">_xlfn.LET(
  _xlpm.val, _xlfn.XLOOKUP(B120, PlayerStatsSeason!$B$3:$B$996, PlayerStatsSeason!$M$3:$M$996, ""),
  IF(OR(_xlpm.val=0, _xlpm.val=""), "", VALUE(_xlpm.val))
)</f>
        <v>#NAME?</v>
      </c>
      <c r="M120" s="143" t="e">
        <f ca="1">_xlfn.LET(
  _xlpm.twoPA, _xlfn.XLOOKUP($B120, PlayerStatsSeason!$B$3:$B$996, PlayerStatsSeason!$P$3:$P$996, 0),
  _xlpm.threePA, _xlfn.XLOOKUP($B120, PlayerStatsSeason!$B$3:$B$996, PlayerStatsSeason!$M$3:$M$996, 0),
  _xlpm.ftA, _xlfn.XLOOKUP($B120, PlayerStatsSeason!$B$3:$B$996, PlayerStatsSeason!$T$3:$T$996, 0),
  _xlpm.total, _xlpm.twoPA + _xlpm.threePA + _xlpm.ftA,
  _xlpm.val, IF(_xlpm.total = 0, "", _xlpm.ftA / _xlpm.total),
  _xlpm.val
)</f>
        <v>#NAME?</v>
      </c>
      <c r="N120" s="143" t="e">
        <f ca="1">_xlfn.LET(
  _xlpm.val, _xlfn.XLOOKUP(B120, PlayerStatsSeason!$B$3:$B$996, PlayerStatsSeason!$U$3:$U$996, ""),
  IF(OR(_xlpm.val=0, _xlpm.val=""), "", VALUE(_xlpm.val))
)</f>
        <v>#NAME?</v>
      </c>
      <c r="O120" s="144" t="e">
        <f ca="1">_xlfn.LET(
  _xlpm.val, _xlfn.XLOOKUP(B120, PlayerStatsSeason!$B$3:$B$996, PlayerStatsSeason!$T$3:$T$996, ""),
  IF(OR(_xlpm.val=0, _xlpm.val=""), "", VALUE(_xlpm.val))
)</f>
        <v>#NAME?</v>
      </c>
      <c r="P120" s="141"/>
      <c r="Q120" s="141" cm="1">
        <f t="array" aca="1" ref="Q120" ca="1">MIN(IF(ISNA(MATCH(PlayerWorking!$T$5:OFFSET(PlayerWorking!$T$5,PlayerWorking!$O$5-1,0),Results!$Q$42:Q119,0)),PlayerWorking!$T$5:OFFSET(PlayerWorking!$T$5,PlayerWorking!$O$5-1,1)))</f>
        <v>0</v>
      </c>
      <c r="R120" s="170" t="e">
        <f t="shared" ca="1" si="17"/>
        <v>#NAME?</v>
      </c>
      <c r="S120" s="141"/>
      <c r="T120" s="154" t="e">
        <f ca="1">IF(D120&gt;0,IFERROR(2*_xlfn.BINOM.INV(_xlfn.BINOM.INV(F120,G120,RAND()),H120,RAND())+ 3*_xlfn.BINOM.INV(_xlfn.BINOM.INV(F120,J120,RAND()),K120,RAND())+ _xlfn.BINOM.INV(_xlfn.BINOM.INV(F120,M120,RAND()),N120,RAND()),ROUND((F120/E120)*_xlfn.XLOOKUP(B120,PlayerStatsSeason!B111:B1104,PlayerStatsSeason!AD111:AD1104),0)),0)</f>
        <v>#NAME?</v>
      </c>
      <c r="U120" s="9">
        <v>6</v>
      </c>
      <c r="V120" t="e">
        <f t="shared" ca="1" si="18"/>
        <v>#NAME?</v>
      </c>
      <c r="W120" t="e">
        <f t="shared" ca="1" si="19"/>
        <v>#NAME?</v>
      </c>
    </row>
    <row r="121" spans="1:23" ht="15.75" x14ac:dyDescent="0.25">
      <c r="A121" s="146" t="s">
        <v>3147</v>
      </c>
      <c r="B121" s="141" t="str">
        <f ca="1">IFERROR(IF(_xlfn.XLOOKUP(Q121,PlayerWorking!$T$5:$T$31,PlayerWorking!$U$5:$U$31)=0, "", _xlfn.XLOOKUP(Q121,PlayerWorking!$T$5:$T$31,PlayerWorking!$U$5:$U$31)), "")</f>
        <v/>
      </c>
      <c r="C121" s="142" t="e">
        <f ca="1">_xlfn.XLOOKUP(B121,PlayerStatsSeason!$B$3:$B$996,PlayerStatsSeason!$H$3:$H$996)</f>
        <v>#NAME?</v>
      </c>
      <c r="D121" s="145" t="e">
        <f ca="1">IF(Q121&lt;=5,C121,C121/SUM(PlayerWorking!$J$10:$J$27)*(240-SUM(PlayerWorking!$J$5:$J$9)))</f>
        <v>#NAME?</v>
      </c>
      <c r="E121" s="145" t="e">
        <f ca="1">IF(D121&gt;0,_xlfn.XLOOKUP(B121,PlayerStatsSeason!$B$3:$B$996,PlayerStatsSeason!$J$3:$J$996)+_xlfn.XLOOKUP(B121,PlayerStatsSeason!$B$3:$B$996,PlayerStatsSeason!$T$3:$T$996))</f>
        <v>#NAME?</v>
      </c>
      <c r="F121" s="145" t="e">
        <f t="shared" ca="1" si="16"/>
        <v>#NAME?</v>
      </c>
      <c r="G121" s="143" t="e">
        <f ca="1">_xlfn.LET(
  _xlpm.twoPA, _xlfn.XLOOKUP($B121, PlayerStatsSeason!$B$3:$B$996, PlayerStatsSeason!$P$3:$P$996, 0),
  _xlpm.threePA, _xlfn.XLOOKUP($B121, PlayerStatsSeason!$B$3:$B$996, PlayerStatsSeason!$M$3:$M$996, 0),
  _xlpm.ftA, _xlfn.XLOOKUP($B121, PlayerStatsSeason!$B$3:$B$996, PlayerStatsSeason!$T$3:$T$996, 0),
  _xlpm.total, _xlpm.twoPA + _xlpm.threePA + _xlpm.ftA,
  _xlpm.val, IF(_xlpm.total = 0, "", _xlpm.twoPA / _xlpm.total),
  _xlpm.val
)</f>
        <v>#NAME?</v>
      </c>
      <c r="H121" s="143" t="e">
        <f ca="1">_xlfn.LET(
  _xlpm.val, _xlfn.XLOOKUP(B121, PlayerStatsSeason!$B$3:$B$996, PlayerStatsSeason!$Q$3:$Q$996, ""),
  IF(OR(_xlpm.val=0, _xlpm.val=""), "", VALUE(_xlpm.val))
)</f>
        <v>#NAME?</v>
      </c>
      <c r="I121" s="144" t="e">
        <f ca="1">_xlfn.LET(
  _xlpm.val, _xlfn.XLOOKUP(B121, PlayerStatsSeason!$B$3:$B$996, PlayerStatsSeason!$P$3:$P$996, ""),
  IF(OR(_xlpm.val=0, _xlpm.val=""), "", VALUE(_xlpm.val))
)</f>
        <v>#NAME?</v>
      </c>
      <c r="J121" s="143" t="e">
        <f ca="1">_xlfn.LET(
  _xlpm.twoPA, _xlfn.XLOOKUP($B121, PlayerStatsSeason!$B$3:$B$996, PlayerStatsSeason!$P$3:$P$996, 0),
  _xlpm.threePA, _xlfn.XLOOKUP($B121, PlayerStatsSeason!$B$3:$B$996, PlayerStatsSeason!$M$3:$M$996, 0),
  _xlpm.ftA, _xlfn.XLOOKUP($B121, PlayerStatsSeason!$B$3:$B$996, PlayerStatsSeason!$T$3:$T$996, 0),
  _xlpm.total, _xlpm.twoPA + _xlpm.threePA + _xlpm.ftA,
  _xlpm.val, IF(_xlpm.total = 0, "", _xlpm.threePA / _xlpm.total),
  _xlpm.val
)</f>
        <v>#NAME?</v>
      </c>
      <c r="K121" s="167" t="e">
        <f ca="1">_xlfn.LET(
  _xlpm.val, _xlfn.XLOOKUP(B121, PlayerStatsSeason!$B$3:$B$996, PlayerStatsSeason!$N$3:$N$996, ""),
  IF(OR(_xlpm.val=0, _xlpm.val=""), "", VALUE(_xlpm.val))
)</f>
        <v>#NAME?</v>
      </c>
      <c r="L121" s="166" t="e" cm="1">
        <f t="array" aca="1" ref="L121" ca="1">_xlfn.LET(
  _xlpm.val, _xlfn.XLOOKUP(B121, PlayerStatsSeason!$B$3:$B$996, PlayerStatsSeason!$M$3:$M$996, ""),
  IF(OR(_xlpm.val=0, _xlpm.val=""), "", VALUE(_xlpm.val))
)</f>
        <v>#NAME?</v>
      </c>
      <c r="M121" s="143" t="e">
        <f ca="1">_xlfn.LET(
  _xlpm.twoPA, _xlfn.XLOOKUP($B121, PlayerStatsSeason!$B$3:$B$996, PlayerStatsSeason!$P$3:$P$996, 0),
  _xlpm.threePA, _xlfn.XLOOKUP($B121, PlayerStatsSeason!$B$3:$B$996, PlayerStatsSeason!$M$3:$M$996, 0),
  _xlpm.ftA, _xlfn.XLOOKUP($B121, PlayerStatsSeason!$B$3:$B$996, PlayerStatsSeason!$T$3:$T$996, 0),
  _xlpm.total, _xlpm.twoPA + _xlpm.threePA + _xlpm.ftA,
  _xlpm.val, IF(_xlpm.total = 0, "", _xlpm.ftA / _xlpm.total),
  _xlpm.val
)</f>
        <v>#NAME?</v>
      </c>
      <c r="N121" s="143" t="e">
        <f ca="1">_xlfn.LET(
  _xlpm.val, _xlfn.XLOOKUP(B121, PlayerStatsSeason!$B$3:$B$996, PlayerStatsSeason!$U$3:$U$996, ""),
  IF(OR(_xlpm.val=0, _xlpm.val=""), "", VALUE(_xlpm.val))
)</f>
        <v>#NAME?</v>
      </c>
      <c r="O121" s="144" t="e">
        <f ca="1">_xlfn.LET(
  _xlpm.val, _xlfn.XLOOKUP(B121, PlayerStatsSeason!$B$3:$B$996, PlayerStatsSeason!$T$3:$T$996, ""),
  IF(OR(_xlpm.val=0, _xlpm.val=""), "", VALUE(_xlpm.val))
)</f>
        <v>#NAME?</v>
      </c>
      <c r="P121" s="141"/>
      <c r="Q121" s="141" cm="1">
        <f t="array" aca="1" ref="Q121" ca="1">MIN(IF(ISNA(MATCH(PlayerWorking!$T$5:OFFSET(PlayerWorking!$T$5,PlayerWorking!$O$5-1,0),Results!$Q$42:Q120,0)),PlayerWorking!$T$5:OFFSET(PlayerWorking!$T$5,PlayerWorking!$O$5-1,1)))</f>
        <v>0</v>
      </c>
      <c r="R121" s="170" t="e">
        <f t="shared" ca="1" si="17"/>
        <v>#NAME?</v>
      </c>
      <c r="S121" s="141"/>
      <c r="T121" s="154" t="e">
        <f ca="1">IF(D121&gt;0,IFERROR(2*_xlfn.BINOM.INV(_xlfn.BINOM.INV(F121,G121,RAND()),H121,RAND())+ 3*_xlfn.BINOM.INV(_xlfn.BINOM.INV(F121,J121,RAND()),K121,RAND())+ _xlfn.BINOM.INV(_xlfn.BINOM.INV(F121,M121,RAND()),N121,RAND()),ROUND((F121/E121)*_xlfn.XLOOKUP(B121,PlayerStatsSeason!B112:B1105,PlayerStatsSeason!AD112:AD1105),0)),0)</f>
        <v>#NAME?</v>
      </c>
      <c r="U121" s="9"/>
    </row>
    <row r="122" spans="1:23" ht="15.75" x14ac:dyDescent="0.25">
      <c r="A122" s="146" t="s">
        <v>3148</v>
      </c>
      <c r="B122" s="141" t="str">
        <f ca="1">IFERROR(IF(_xlfn.XLOOKUP(Q122,PlayerWorking!$T$5:$T$31,PlayerWorking!$U$5:$U$31)=0, "", _xlfn.XLOOKUP(Q122,PlayerWorking!$T$5:$T$31,PlayerWorking!$U$5:$U$31)), "")</f>
        <v/>
      </c>
      <c r="C122" s="142" t="e">
        <f ca="1">_xlfn.XLOOKUP(B122,PlayerStatsSeason!$B$3:$B$996,PlayerStatsSeason!$H$3:$H$996)</f>
        <v>#NAME?</v>
      </c>
      <c r="D122" s="145" t="e">
        <f ca="1">IF(Q122&lt;=5,C122,C122/SUM(PlayerWorking!$J$10:$J$27)*(240-SUM(PlayerWorking!$J$5:$J$9)))</f>
        <v>#NAME?</v>
      </c>
      <c r="E122" s="145" t="e">
        <f ca="1">IF(D122&gt;0,_xlfn.XLOOKUP(B122,PlayerStatsSeason!$B$3:$B$996,PlayerStatsSeason!$J$3:$J$996)+_xlfn.XLOOKUP(B122,PlayerStatsSeason!$B$3:$B$996,PlayerStatsSeason!$T$3:$T$996))</f>
        <v>#NAME?</v>
      </c>
      <c r="F122" s="145" t="e">
        <f t="shared" ca="1" si="16"/>
        <v>#NAME?</v>
      </c>
      <c r="G122" s="143" t="e">
        <f ca="1">_xlfn.LET(
  _xlpm.twoPA, _xlfn.XLOOKUP($B122, PlayerStatsSeason!$B$3:$B$996, PlayerStatsSeason!$P$3:$P$996, 0),
  _xlpm.threePA, _xlfn.XLOOKUP($B122, PlayerStatsSeason!$B$3:$B$996, PlayerStatsSeason!$M$3:$M$996, 0),
  _xlpm.ftA, _xlfn.XLOOKUP($B122, PlayerStatsSeason!$B$3:$B$996, PlayerStatsSeason!$T$3:$T$996, 0),
  _xlpm.total, _xlpm.twoPA + _xlpm.threePA + _xlpm.ftA,
  _xlpm.val, IF(_xlpm.total = 0, "", _xlpm.twoPA / _xlpm.total),
  _xlpm.val
)</f>
        <v>#NAME?</v>
      </c>
      <c r="H122" s="143" t="e">
        <f ca="1">_xlfn.LET(
  _xlpm.val, _xlfn.XLOOKUP(B122, PlayerStatsSeason!$B$3:$B$996, PlayerStatsSeason!$Q$3:$Q$996, ""),
  IF(OR(_xlpm.val=0, _xlpm.val=""), "", VALUE(_xlpm.val))
)</f>
        <v>#NAME?</v>
      </c>
      <c r="I122" s="144" t="e">
        <f ca="1">_xlfn.LET(
  _xlpm.val, _xlfn.XLOOKUP(B122, PlayerStatsSeason!$B$3:$B$996, PlayerStatsSeason!$P$3:$P$996, ""),
  IF(OR(_xlpm.val=0, _xlpm.val=""), "", VALUE(_xlpm.val))
)</f>
        <v>#NAME?</v>
      </c>
      <c r="J122" s="143" t="e">
        <f ca="1">_xlfn.LET(
  _xlpm.twoPA, _xlfn.XLOOKUP($B122, PlayerStatsSeason!$B$3:$B$996, PlayerStatsSeason!$P$3:$P$996, 0),
  _xlpm.threePA, _xlfn.XLOOKUP($B122, PlayerStatsSeason!$B$3:$B$996, PlayerStatsSeason!$M$3:$M$996, 0),
  _xlpm.ftA, _xlfn.XLOOKUP($B122, PlayerStatsSeason!$B$3:$B$996, PlayerStatsSeason!$T$3:$T$996, 0),
  _xlpm.total, _xlpm.twoPA + _xlpm.threePA + _xlpm.ftA,
  _xlpm.val, IF(_xlpm.total = 0, "", _xlpm.threePA / _xlpm.total),
  _xlpm.val
)</f>
        <v>#NAME?</v>
      </c>
      <c r="K122" s="167" t="e">
        <f ca="1">_xlfn.LET(
  _xlpm.val, _xlfn.XLOOKUP(B122, PlayerStatsSeason!$B$3:$B$996, PlayerStatsSeason!$N$3:$N$996, ""),
  IF(OR(_xlpm.val=0, _xlpm.val=""), "", VALUE(_xlpm.val))
)</f>
        <v>#NAME?</v>
      </c>
      <c r="L122" s="166" t="e" cm="1">
        <f t="array" aca="1" ref="L122" ca="1">_xlfn.LET(
  _xlpm.val, _xlfn.XLOOKUP(B122, PlayerStatsSeason!$B$3:$B$996, PlayerStatsSeason!$M$3:$M$996, ""),
  IF(OR(_xlpm.val=0, _xlpm.val=""), "", VALUE(_xlpm.val))
)</f>
        <v>#NAME?</v>
      </c>
      <c r="M122" s="143" t="e">
        <f ca="1">_xlfn.LET(
  _xlpm.twoPA, _xlfn.XLOOKUP($B122, PlayerStatsSeason!$B$3:$B$996, PlayerStatsSeason!$P$3:$P$996, 0),
  _xlpm.threePA, _xlfn.XLOOKUP($B122, PlayerStatsSeason!$B$3:$B$996, PlayerStatsSeason!$M$3:$M$996, 0),
  _xlpm.ftA, _xlfn.XLOOKUP($B122, PlayerStatsSeason!$B$3:$B$996, PlayerStatsSeason!$T$3:$T$996, 0),
  _xlpm.total, _xlpm.twoPA + _xlpm.threePA + _xlpm.ftA,
  _xlpm.val, IF(_xlpm.total = 0, "", _xlpm.ftA / _xlpm.total),
  _xlpm.val
)</f>
        <v>#NAME?</v>
      </c>
      <c r="N122" s="143" t="e">
        <f ca="1">_xlfn.LET(
  _xlpm.val, _xlfn.XLOOKUP(B122, PlayerStatsSeason!$B$3:$B$996, PlayerStatsSeason!$U$3:$U$996, ""),
  IF(OR(_xlpm.val=0, _xlpm.val=""), "", VALUE(_xlpm.val))
)</f>
        <v>#NAME?</v>
      </c>
      <c r="O122" s="144" t="e">
        <f ca="1">_xlfn.LET(
  _xlpm.val, _xlfn.XLOOKUP(B122, PlayerStatsSeason!$B$3:$B$996, PlayerStatsSeason!$T$3:$T$996, ""),
  IF(OR(_xlpm.val=0, _xlpm.val=""), "", VALUE(_xlpm.val))
)</f>
        <v>#NAME?</v>
      </c>
      <c r="P122" s="141"/>
      <c r="Q122" s="141" cm="1">
        <f t="array" aca="1" ref="Q122" ca="1">MIN(IF(ISNA(MATCH(PlayerWorking!$T$5:OFFSET(PlayerWorking!$T$5,PlayerWorking!$O$5-1,0),Results!$Q$42:Q121,0)),PlayerWorking!$T$5:OFFSET(PlayerWorking!$T$5,PlayerWorking!$O$5-1,1)))</f>
        <v>0</v>
      </c>
      <c r="R122" s="170" t="e">
        <f t="shared" ca="1" si="17"/>
        <v>#NAME?</v>
      </c>
      <c r="S122" s="141"/>
      <c r="T122" s="154" t="e">
        <f ca="1">IF(D122&gt;0,IFERROR(2*_xlfn.BINOM.INV(_xlfn.BINOM.INV(F122,G122,RAND()),H122,RAND())+ 3*_xlfn.BINOM.INV(_xlfn.BINOM.INV(F122,J122,RAND()),K122,RAND())+ _xlfn.BINOM.INV(_xlfn.BINOM.INV(F122,M122,RAND()),N122,RAND()),ROUND((F122/E122)*_xlfn.XLOOKUP(B122,PlayerStatsSeason!B113:B1106,PlayerStatsSeason!AD113:AD1106),0)),0)</f>
        <v>#NAME?</v>
      </c>
      <c r="U122" s="9">
        <v>6.5</v>
      </c>
      <c r="V122" t="e">
        <f t="shared" ref="V122" ca="1" si="20">R122-U122</f>
        <v>#NAME?</v>
      </c>
      <c r="W122" t="e">
        <f t="shared" ref="W122" ca="1" si="21">T122-U122</f>
        <v>#NAME?</v>
      </c>
    </row>
    <row r="123" spans="1:23" ht="15.75" x14ac:dyDescent="0.25">
      <c r="A123" s="146" t="s">
        <v>3149</v>
      </c>
      <c r="B123" s="141" t="str">
        <f ca="1">IFERROR(IF(_xlfn.XLOOKUP(Q123,PlayerWorking!$T$5:$T$31,PlayerWorking!$U$5:$U$31)=0, "", _xlfn.XLOOKUP(Q123,PlayerWorking!$T$5:$T$31,PlayerWorking!$U$5:$U$31)), "")</f>
        <v/>
      </c>
      <c r="C123" s="142" t="e">
        <f ca="1">_xlfn.XLOOKUP(B123,PlayerStatsSeason!$B$3:$B$996,PlayerStatsSeason!$H$3:$H$996)</f>
        <v>#NAME?</v>
      </c>
      <c r="D123" s="145" t="e">
        <f ca="1">IF(Q123&lt;=5,C123,C123/SUM(PlayerWorking!$J$10:$J$27)*(240-SUM(PlayerWorking!$J$5:$J$9)))</f>
        <v>#NAME?</v>
      </c>
      <c r="E123" s="145" t="e">
        <f ca="1">IF(D123&gt;0,_xlfn.XLOOKUP(B123,PlayerStatsSeason!$B$3:$B$996,PlayerStatsSeason!$J$3:$J$996)+_xlfn.XLOOKUP(B123,PlayerStatsSeason!$B$3:$B$996,PlayerStatsSeason!$T$3:$T$996))</f>
        <v>#NAME?</v>
      </c>
      <c r="F123" s="145" t="e">
        <f t="shared" ca="1" si="16"/>
        <v>#NAME?</v>
      </c>
      <c r="G123" s="143" t="e">
        <f ca="1">_xlfn.LET(
  _xlpm.twoPA, _xlfn.XLOOKUP($B123, PlayerStatsSeason!$B$3:$B$996, PlayerStatsSeason!$P$3:$P$996, 0),
  _xlpm.threePA, _xlfn.XLOOKUP($B123, PlayerStatsSeason!$B$3:$B$996, PlayerStatsSeason!$M$3:$M$996, 0),
  _xlpm.ftA, _xlfn.XLOOKUP($B123, PlayerStatsSeason!$B$3:$B$996, PlayerStatsSeason!$T$3:$T$996, 0),
  _xlpm.total, _xlpm.twoPA + _xlpm.threePA + _xlpm.ftA,
  _xlpm.val, IF(_xlpm.total = 0, "", _xlpm.twoPA / _xlpm.total),
  _xlpm.val
)</f>
        <v>#NAME?</v>
      </c>
      <c r="H123" s="143" t="e">
        <f ca="1">_xlfn.LET(
  _xlpm.val, _xlfn.XLOOKUP(B123, PlayerStatsSeason!$B$3:$B$996, PlayerStatsSeason!$Q$3:$Q$996, ""),
  IF(OR(_xlpm.val=0, _xlpm.val=""), "", VALUE(_xlpm.val))
)</f>
        <v>#NAME?</v>
      </c>
      <c r="I123" s="144" t="e">
        <f ca="1">_xlfn.LET(
  _xlpm.val, _xlfn.XLOOKUP(B123, PlayerStatsSeason!$B$3:$B$996, PlayerStatsSeason!$P$3:$P$996, ""),
  IF(OR(_xlpm.val=0, _xlpm.val=""), "", VALUE(_xlpm.val))
)</f>
        <v>#NAME?</v>
      </c>
      <c r="J123" s="143" t="e">
        <f ca="1">_xlfn.LET(
  _xlpm.twoPA, _xlfn.XLOOKUP($B123, PlayerStatsSeason!$B$3:$B$996, PlayerStatsSeason!$P$3:$P$996, 0),
  _xlpm.threePA, _xlfn.XLOOKUP($B123, PlayerStatsSeason!$B$3:$B$996, PlayerStatsSeason!$M$3:$M$996, 0),
  _xlpm.ftA, _xlfn.XLOOKUP($B123, PlayerStatsSeason!$B$3:$B$996, PlayerStatsSeason!$T$3:$T$996, 0),
  _xlpm.total, _xlpm.twoPA + _xlpm.threePA + _xlpm.ftA,
  _xlpm.val, IF(_xlpm.total = 0, "", _xlpm.threePA / _xlpm.total),
  _xlpm.val
)</f>
        <v>#NAME?</v>
      </c>
      <c r="K123" s="167" t="e">
        <f ca="1">_xlfn.LET(
  _xlpm.val, _xlfn.XLOOKUP(B123, PlayerStatsSeason!$B$3:$B$996, PlayerStatsSeason!$N$3:$N$996, ""),
  IF(OR(_xlpm.val=0, _xlpm.val=""), "", VALUE(_xlpm.val))
)</f>
        <v>#NAME?</v>
      </c>
      <c r="L123" s="166" t="e" cm="1">
        <f t="array" aca="1" ref="L123" ca="1">_xlfn.LET(
  _xlpm.val, _xlfn.XLOOKUP(B123, PlayerStatsSeason!$B$3:$B$996, PlayerStatsSeason!$M$3:$M$996, ""),
  IF(OR(_xlpm.val=0, _xlpm.val=""), "", VALUE(_xlpm.val))
)</f>
        <v>#NAME?</v>
      </c>
      <c r="M123" s="143" t="e">
        <f ca="1">_xlfn.LET(
  _xlpm.twoPA, _xlfn.XLOOKUP($B123, PlayerStatsSeason!$B$3:$B$996, PlayerStatsSeason!$P$3:$P$996, 0),
  _xlpm.threePA, _xlfn.XLOOKUP($B123, PlayerStatsSeason!$B$3:$B$996, PlayerStatsSeason!$M$3:$M$996, 0),
  _xlpm.ftA, _xlfn.XLOOKUP($B123, PlayerStatsSeason!$B$3:$B$996, PlayerStatsSeason!$T$3:$T$996, 0),
  _xlpm.total, _xlpm.twoPA + _xlpm.threePA + _xlpm.ftA,
  _xlpm.val, IF(_xlpm.total = 0, "", _xlpm.ftA / _xlpm.total),
  _xlpm.val
)</f>
        <v>#NAME?</v>
      </c>
      <c r="N123" s="143" t="e">
        <f ca="1">_xlfn.LET(
  _xlpm.val, _xlfn.XLOOKUP(B123, PlayerStatsSeason!$B$3:$B$996, PlayerStatsSeason!$U$3:$U$996, ""),
  IF(OR(_xlpm.val=0, _xlpm.val=""), "", VALUE(_xlpm.val))
)</f>
        <v>#NAME?</v>
      </c>
      <c r="O123" s="144" t="e">
        <f ca="1">_xlfn.LET(
  _xlpm.val, _xlfn.XLOOKUP(B123, PlayerStatsSeason!$B$3:$B$996, PlayerStatsSeason!$T$3:$T$996, ""),
  IF(OR(_xlpm.val=0, _xlpm.val=""), "", VALUE(_xlpm.val))
)</f>
        <v>#NAME?</v>
      </c>
      <c r="P123" s="141"/>
      <c r="Q123" s="141" cm="1">
        <f t="array" aca="1" ref="Q123" ca="1">MIN(IF(ISNA(MATCH(PlayerWorking!$T$5:OFFSET(PlayerWorking!$T$5,PlayerWorking!$O$5-1,0),Results!$Q$42:Q122,0)),PlayerWorking!$T$5:OFFSET(PlayerWorking!$T$5,PlayerWorking!$O$5-1,1)))</f>
        <v>0</v>
      </c>
      <c r="R123" s="170" t="e">
        <f t="shared" ca="1" si="17"/>
        <v>#NAME?</v>
      </c>
      <c r="S123" s="141"/>
      <c r="T123" s="154" t="e">
        <f ca="1">IF(D123&gt;0,IFERROR(2*_xlfn.BINOM.INV(_xlfn.BINOM.INV(F123,G123,RAND()),H123,RAND())+ 3*_xlfn.BINOM.INV(_xlfn.BINOM.INV(F123,J123,RAND()),K123,RAND())+ _xlfn.BINOM.INV(_xlfn.BINOM.INV(F123,M123,RAND()),N123,RAND()),ROUND((F123/E123)*_xlfn.XLOOKUP(B123,PlayerStatsSeason!B114:B1107,PlayerStatsSeason!AD114:AD1107),0)),0)</f>
        <v>#NAME?</v>
      </c>
      <c r="U123" s="9"/>
    </row>
    <row r="124" spans="1:23" ht="15.75" x14ac:dyDescent="0.25">
      <c r="A124" s="146" t="s">
        <v>3150</v>
      </c>
      <c r="B124" s="141" t="str">
        <f ca="1">IFERROR(IF(_xlfn.XLOOKUP(Q124,PlayerWorking!$T$5:$T$31,PlayerWorking!$U$5:$U$31)=0, "", _xlfn.XLOOKUP(Q124,PlayerWorking!$T$5:$T$31,PlayerWorking!$U$5:$U$31)), "")</f>
        <v/>
      </c>
      <c r="C124" s="142" t="e">
        <f ca="1">_xlfn.XLOOKUP(B124,PlayerStatsSeason!$B$3:$B$996,PlayerStatsSeason!$H$3:$H$996)</f>
        <v>#NAME?</v>
      </c>
      <c r="D124" s="145" t="e">
        <f ca="1">IF(Q124&lt;=5,C124,C124/SUM(PlayerWorking!$J$10:$J$27)*(240-SUM(PlayerWorking!$J$5:$J$9)))</f>
        <v>#NAME?</v>
      </c>
      <c r="E124" s="145" t="e">
        <f ca="1">IF(D124&gt;0,_xlfn.XLOOKUP(B124,PlayerStatsSeason!$B$3:$B$996,PlayerStatsSeason!$J$3:$J$996)+_xlfn.XLOOKUP(B124,PlayerStatsSeason!$B$3:$B$996,PlayerStatsSeason!$T$3:$T$996))</f>
        <v>#NAME?</v>
      </c>
      <c r="F124" s="145" t="e">
        <f t="shared" ca="1" si="16"/>
        <v>#NAME?</v>
      </c>
      <c r="G124" s="143" t="e">
        <f ca="1">_xlfn.LET(
  _xlpm.twoPA, _xlfn.XLOOKUP($B124, PlayerStatsSeason!$B$3:$B$996, PlayerStatsSeason!$P$3:$P$996, 0),
  _xlpm.threePA, _xlfn.XLOOKUP($B124, PlayerStatsSeason!$B$3:$B$996, PlayerStatsSeason!$M$3:$M$996, 0),
  _xlpm.ftA, _xlfn.XLOOKUP($B124, PlayerStatsSeason!$B$3:$B$996, PlayerStatsSeason!$T$3:$T$996, 0),
  _xlpm.total, _xlpm.twoPA + _xlpm.threePA + _xlpm.ftA,
  _xlpm.val, IF(_xlpm.total = 0, "", _xlpm.twoPA / _xlpm.total),
  _xlpm.val
)</f>
        <v>#NAME?</v>
      </c>
      <c r="H124" s="143" t="e">
        <f ca="1">_xlfn.LET(
  _xlpm.val, _xlfn.XLOOKUP(B124, PlayerStatsSeason!$B$3:$B$996, PlayerStatsSeason!$Q$3:$Q$996, ""),
  IF(OR(_xlpm.val=0, _xlpm.val=""), "", VALUE(_xlpm.val))
)</f>
        <v>#NAME?</v>
      </c>
      <c r="I124" s="144" t="e">
        <f ca="1">_xlfn.LET(
  _xlpm.val, _xlfn.XLOOKUP(B124, PlayerStatsSeason!$B$3:$B$996, PlayerStatsSeason!$P$3:$P$996, ""),
  IF(OR(_xlpm.val=0, _xlpm.val=""), "", VALUE(_xlpm.val))
)</f>
        <v>#NAME?</v>
      </c>
      <c r="J124" s="143" t="e">
        <f ca="1">_xlfn.LET(
  _xlpm.twoPA, _xlfn.XLOOKUP($B124, PlayerStatsSeason!$B$3:$B$996, PlayerStatsSeason!$P$3:$P$996, 0),
  _xlpm.threePA, _xlfn.XLOOKUP($B124, PlayerStatsSeason!$B$3:$B$996, PlayerStatsSeason!$M$3:$M$996, 0),
  _xlpm.ftA, _xlfn.XLOOKUP($B124, PlayerStatsSeason!$B$3:$B$996, PlayerStatsSeason!$T$3:$T$996, 0),
  _xlpm.total, _xlpm.twoPA + _xlpm.threePA + _xlpm.ftA,
  _xlpm.val, IF(_xlpm.total = 0, "", _xlpm.threePA / _xlpm.total),
  _xlpm.val
)</f>
        <v>#NAME?</v>
      </c>
      <c r="K124" s="167">
        <v>0</v>
      </c>
      <c r="L124" s="166" t="e" cm="1">
        <f t="array" aca="1" ref="L124" ca="1">_xlfn.LET(
  _xlpm.val, _xlfn.XLOOKUP(B124, PlayerStatsSeason!$B$3:$B$996, PlayerStatsSeason!$M$3:$M$996, ""),
  IF(OR(_xlpm.val=0, _xlpm.val=""), "", VALUE(_xlpm.val))
)</f>
        <v>#NAME?</v>
      </c>
      <c r="M124" s="143" t="e">
        <f ca="1">_xlfn.LET(
  _xlpm.twoPA, _xlfn.XLOOKUP($B124, PlayerStatsSeason!$B$3:$B$996, PlayerStatsSeason!$P$3:$P$996, 0),
  _xlpm.threePA, _xlfn.XLOOKUP($B124, PlayerStatsSeason!$B$3:$B$996, PlayerStatsSeason!$M$3:$M$996, 0),
  _xlpm.ftA, _xlfn.XLOOKUP($B124, PlayerStatsSeason!$B$3:$B$996, PlayerStatsSeason!$T$3:$T$996, 0),
  _xlpm.total, _xlpm.twoPA + _xlpm.threePA + _xlpm.ftA,
  _xlpm.val, IF(_xlpm.total = 0, "", _xlpm.ftA / _xlpm.total),
  _xlpm.val
)</f>
        <v>#NAME?</v>
      </c>
      <c r="N124" s="143" t="e">
        <f ca="1">_xlfn.LET(
  _xlpm.val, _xlfn.XLOOKUP(B124, PlayerStatsSeason!$B$3:$B$996, PlayerStatsSeason!$U$3:$U$996, ""),
  IF(OR(_xlpm.val=0, _xlpm.val=""), "", VALUE(_xlpm.val))
)</f>
        <v>#NAME?</v>
      </c>
      <c r="O124" s="144" t="e">
        <f ca="1">_xlfn.LET(
  _xlpm.val, _xlfn.XLOOKUP(B124, PlayerStatsSeason!$B$3:$B$996, PlayerStatsSeason!$T$3:$T$996, ""),
  IF(OR(_xlpm.val=0, _xlpm.val=""), "", VALUE(_xlpm.val))
)</f>
        <v>#NAME?</v>
      </c>
      <c r="P124" s="141"/>
      <c r="Q124" s="141" cm="1">
        <f t="array" aca="1" ref="Q124" ca="1">MIN(IF(ISNA(MATCH(PlayerWorking!$T$5:OFFSET(PlayerWorking!$T$5,PlayerWorking!$O$5-1,0),Results!$Q$42:Q123,0)),PlayerWorking!$T$5:OFFSET(PlayerWorking!$T$5,PlayerWorking!$O$5-1,1)))</f>
        <v>0</v>
      </c>
      <c r="R124" s="170" t="e">
        <f t="shared" ca="1" si="17"/>
        <v>#NAME?</v>
      </c>
      <c r="S124" s="141"/>
      <c r="T124" s="154" t="e">
        <f ca="1">IF(D124&gt;0,IFERROR(2*_xlfn.BINOM.INV(_xlfn.BINOM.INV(F124,G124,RAND()),H124,RAND())+ 3*_xlfn.BINOM.INV(_xlfn.BINOM.INV(F124,J124,RAND()),K124,RAND())+ _xlfn.BINOM.INV(_xlfn.BINOM.INV(F124,M124,RAND()),N124,RAND()),ROUND((F124/E124)*_xlfn.XLOOKUP(B124,PlayerStatsSeason!B115:B1108,PlayerStatsSeason!AD115:AD1108),0)),0)</f>
        <v>#NAME?</v>
      </c>
      <c r="U124" s="9">
        <v>2.5</v>
      </c>
      <c r="V124" t="e">
        <f t="shared" ref="V124" ca="1" si="22">R124-U124</f>
        <v>#NAME?</v>
      </c>
      <c r="W124" t="e">
        <f t="shared" ref="W124" ca="1" si="23">T124-U124</f>
        <v>#NAME?</v>
      </c>
    </row>
    <row r="125" spans="1:23" ht="15.75" x14ac:dyDescent="0.25">
      <c r="A125" s="146" t="s">
        <v>3151</v>
      </c>
      <c r="B125" s="141" t="str">
        <f ca="1">IFERROR(IF(_xlfn.XLOOKUP(Q125,PlayerWorking!$T$5:$T$31,PlayerWorking!$U$5:$U$31)=0, "", _xlfn.XLOOKUP(Q125,PlayerWorking!$T$5:$T$31,PlayerWorking!$U$5:$U$31)), "")</f>
        <v/>
      </c>
      <c r="C125" s="142" t="e">
        <f ca="1">_xlfn.XLOOKUP(B125,PlayerStatsSeason!$B$3:$B$996,PlayerStatsSeason!$H$3:$H$996)</f>
        <v>#NAME?</v>
      </c>
      <c r="D125" s="145" t="e">
        <f ca="1">IF(Q125&lt;=5,C125,C125/SUM(PlayerWorking!$J$10:$J$27)*(240-SUM(PlayerWorking!$J$5:$J$9)))</f>
        <v>#NAME?</v>
      </c>
      <c r="E125" s="145" t="e">
        <f ca="1">IF(D125&gt;0,_xlfn.XLOOKUP(B125,PlayerStatsSeason!$B$3:$B$996,PlayerStatsSeason!$J$3:$J$996)+_xlfn.XLOOKUP(B125,PlayerStatsSeason!$B$3:$B$996,PlayerStatsSeason!$T$3:$T$996))</f>
        <v>#NAME?</v>
      </c>
      <c r="F125" s="145" t="e">
        <f t="shared" ca="1" si="16"/>
        <v>#NAME?</v>
      </c>
      <c r="G125" s="143" t="e">
        <f ca="1">_xlfn.LET(
  _xlpm.twoPA, _xlfn.XLOOKUP($B125, PlayerStatsSeason!$B$3:$B$996, PlayerStatsSeason!$P$3:$P$996, 0),
  _xlpm.threePA, _xlfn.XLOOKUP($B125, PlayerStatsSeason!$B$3:$B$996, PlayerStatsSeason!$M$3:$M$996, 0),
  _xlpm.ftA, _xlfn.XLOOKUP($B125, PlayerStatsSeason!$B$3:$B$996, PlayerStatsSeason!$T$3:$T$996, 0),
  _xlpm.total, _xlpm.twoPA + _xlpm.threePA + _xlpm.ftA,
  _xlpm.val, IF(_xlpm.total = 0, "", _xlpm.twoPA / _xlpm.total),
  _xlpm.val
)</f>
        <v>#NAME?</v>
      </c>
      <c r="H125" s="143" t="e">
        <f ca="1">_xlfn.LET(
  _xlpm.val, _xlfn.XLOOKUP(B125, PlayerStatsSeason!$B$3:$B$996, PlayerStatsSeason!$Q$3:$Q$996, ""),
  IF(OR(_xlpm.val=0, _xlpm.val=""), "", VALUE(_xlpm.val))
)</f>
        <v>#NAME?</v>
      </c>
      <c r="I125" s="144" t="e">
        <f ca="1">_xlfn.LET(
  _xlpm.val, _xlfn.XLOOKUP(B125, PlayerStatsSeason!$B$3:$B$996, PlayerStatsSeason!$P$3:$P$996, ""),
  IF(OR(_xlpm.val=0, _xlpm.val=""), "", VALUE(_xlpm.val))
)</f>
        <v>#NAME?</v>
      </c>
      <c r="J125" s="143" t="e">
        <f ca="1">_xlfn.LET(
  _xlpm.twoPA, _xlfn.XLOOKUP($B125, PlayerStatsSeason!$B$3:$B$996, PlayerStatsSeason!$P$3:$P$996, 0),
  _xlpm.threePA, _xlfn.XLOOKUP($B125, PlayerStatsSeason!$B$3:$B$996, PlayerStatsSeason!$M$3:$M$996, 0),
  _xlpm.ftA, _xlfn.XLOOKUP($B125, PlayerStatsSeason!$B$3:$B$996, PlayerStatsSeason!$T$3:$T$996, 0),
  _xlpm.total, _xlpm.twoPA + _xlpm.threePA + _xlpm.ftA,
  _xlpm.val, IF(_xlpm.total = 0, "", _xlpm.threePA / _xlpm.total),
  _xlpm.val
)</f>
        <v>#NAME?</v>
      </c>
      <c r="K125" s="167" t="e">
        <f ca="1">_xlfn.LET(
  _xlpm.val, _xlfn.XLOOKUP(B125, PlayerStatsSeason!$B$3:$B$996, PlayerStatsSeason!$N$3:$N$996, ""),
  IF(OR(_xlpm.val=0, _xlpm.val=""), "", VALUE(_xlpm.val))
)</f>
        <v>#NAME?</v>
      </c>
      <c r="L125" s="166" t="e" cm="1">
        <f t="array" aca="1" ref="L125" ca="1">_xlfn.LET(
  _xlpm.val, _xlfn.XLOOKUP(B125, PlayerStatsSeason!$B$3:$B$996, PlayerStatsSeason!$M$3:$M$996, ""),
  IF(OR(_xlpm.val=0, _xlpm.val=""), "", VALUE(_xlpm.val))
)</f>
        <v>#NAME?</v>
      </c>
      <c r="M125" s="143" t="e">
        <f ca="1">_xlfn.LET(
  _xlpm.twoPA, _xlfn.XLOOKUP($B125, PlayerStatsSeason!$B$3:$B$996, PlayerStatsSeason!$P$3:$P$996, 0),
  _xlpm.threePA, _xlfn.XLOOKUP($B125, PlayerStatsSeason!$B$3:$B$996, PlayerStatsSeason!$M$3:$M$996, 0),
  _xlpm.ftA, _xlfn.XLOOKUP($B125, PlayerStatsSeason!$B$3:$B$996, PlayerStatsSeason!$T$3:$T$996, 0),
  _xlpm.total, _xlpm.twoPA + _xlpm.threePA + _xlpm.ftA,
  _xlpm.val, IF(_xlpm.total = 0, "", _xlpm.ftA / _xlpm.total),
  _xlpm.val
)</f>
        <v>#NAME?</v>
      </c>
      <c r="N125" s="143" t="e">
        <f ca="1">_xlfn.LET(
  _xlpm.val, _xlfn.XLOOKUP(B125, PlayerStatsSeason!$B$3:$B$996, PlayerStatsSeason!$U$3:$U$996, ""),
  IF(OR(_xlpm.val=0, _xlpm.val=""), "", VALUE(_xlpm.val))
)</f>
        <v>#NAME?</v>
      </c>
      <c r="O125" s="144" t="e">
        <f ca="1">_xlfn.LET(
  _xlpm.val, _xlfn.XLOOKUP(B125, PlayerStatsSeason!$B$3:$B$996, PlayerStatsSeason!$T$3:$T$996, ""),
  IF(OR(_xlpm.val=0, _xlpm.val=""), "", VALUE(_xlpm.val))
)</f>
        <v>#NAME?</v>
      </c>
      <c r="P125" s="141"/>
      <c r="Q125" s="141" cm="1">
        <f t="array" aca="1" ref="Q125" ca="1">MIN(IF(ISNA(MATCH(PlayerWorking!$T$5:OFFSET(PlayerWorking!$T$5,PlayerWorking!$O$5-1,0),Results!$Q$42:Q124,0)),PlayerWorking!$T$5:OFFSET(PlayerWorking!$T$5,PlayerWorking!$O$5-1,1)))</f>
        <v>0</v>
      </c>
      <c r="R125" s="170" t="e">
        <f t="shared" ca="1" si="17"/>
        <v>#NAME?</v>
      </c>
      <c r="S125" s="141"/>
      <c r="T125" s="154" t="e">
        <f ca="1">IF(D125&gt;0,IFERROR(2*_xlfn.BINOM.INV(_xlfn.BINOM.INV(F125,G125,RAND()),H125,RAND())+ 3*_xlfn.BINOM.INV(_xlfn.BINOM.INV(F125,J125,RAND()),K125,RAND())+ _xlfn.BINOM.INV(_xlfn.BINOM.INV(F125,M125,RAND()),N125,RAND()),ROUND((F125/E125)*_xlfn.XLOOKUP(B125,PlayerStatsSeason!B116:B1109,PlayerStatsSeason!AD116:AD1109),0)),0)</f>
        <v>#NAME?</v>
      </c>
      <c r="U125" s="9"/>
    </row>
    <row r="126" spans="1:23" ht="15.75" x14ac:dyDescent="0.25">
      <c r="A126" s="146" t="s">
        <v>3152</v>
      </c>
      <c r="B126" s="141" t="str">
        <f ca="1">IFERROR(IF(_xlfn.XLOOKUP(Q126,PlayerWorking!$T$5:$T$31,PlayerWorking!$U$5:$U$31)=0, "", _xlfn.XLOOKUP(Q126,PlayerWorking!$T$5:$T$31,PlayerWorking!$U$5:$U$31)), "")</f>
        <v/>
      </c>
      <c r="C126" s="142" t="e">
        <f ca="1">_xlfn.XLOOKUP(B126,PlayerStatsSeason!$B$3:$B$996,PlayerStatsSeason!$H$3:$H$996)</f>
        <v>#NAME?</v>
      </c>
      <c r="D126" s="145" t="e">
        <f ca="1">IF(Q126&lt;=5,C126,C126/SUM(PlayerWorking!$J$10:$J$27)*(240-SUM(PlayerWorking!$J$5:$J$9)))</f>
        <v>#NAME?</v>
      </c>
      <c r="E126" s="145" t="e">
        <f ca="1">IF(D126&gt;0,_xlfn.XLOOKUP(B126,PlayerStatsSeason!$B$3:$B$996,PlayerStatsSeason!$J$3:$J$996)+_xlfn.XLOOKUP(B126,PlayerStatsSeason!$B$3:$B$996,PlayerStatsSeason!$T$3:$T$996))</f>
        <v>#NAME?</v>
      </c>
      <c r="F126" s="145" t="e">
        <f t="shared" ca="1" si="16"/>
        <v>#NAME?</v>
      </c>
      <c r="G126" s="143" t="e">
        <f ca="1">_xlfn.LET(
  _xlpm.twoPA, _xlfn.XLOOKUP($B126, PlayerStatsSeason!$B$3:$B$996, PlayerStatsSeason!$P$3:$P$996, 0),
  _xlpm.threePA, _xlfn.XLOOKUP($B126, PlayerStatsSeason!$B$3:$B$996, PlayerStatsSeason!$M$3:$M$996, 0),
  _xlpm.ftA, _xlfn.XLOOKUP($B126, PlayerStatsSeason!$B$3:$B$996, PlayerStatsSeason!$T$3:$T$996, 0),
  _xlpm.total, _xlpm.twoPA + _xlpm.threePA + _xlpm.ftA,
  _xlpm.val, IF(_xlpm.total = 0, "", _xlpm.twoPA / _xlpm.total),
  _xlpm.val
)</f>
        <v>#NAME?</v>
      </c>
      <c r="H126" s="143" t="e">
        <f ca="1">_xlfn.LET(
  _xlpm.val, _xlfn.XLOOKUP(B126, PlayerStatsSeason!$B$3:$B$996, PlayerStatsSeason!$Q$3:$Q$996, ""),
  IF(OR(_xlpm.val=0, _xlpm.val=""), "", VALUE(_xlpm.val))
)</f>
        <v>#NAME?</v>
      </c>
      <c r="I126" s="144" t="e">
        <f ca="1">_xlfn.LET(
  _xlpm.val, _xlfn.XLOOKUP(B126, PlayerStatsSeason!$B$3:$B$996, PlayerStatsSeason!$P$3:$P$996, ""),
  IF(OR(_xlpm.val=0, _xlpm.val=""), "", VALUE(_xlpm.val))
)</f>
        <v>#NAME?</v>
      </c>
      <c r="J126" s="143" t="e">
        <f ca="1">_xlfn.LET(
  _xlpm.twoPA, _xlfn.XLOOKUP($B126, PlayerStatsSeason!$B$3:$B$996, PlayerStatsSeason!$P$3:$P$996, 0),
  _xlpm.threePA, _xlfn.XLOOKUP($B126, PlayerStatsSeason!$B$3:$B$996, PlayerStatsSeason!$M$3:$M$996, 0),
  _xlpm.ftA, _xlfn.XLOOKUP($B126, PlayerStatsSeason!$B$3:$B$996, PlayerStatsSeason!$T$3:$T$996, 0),
  _xlpm.total, _xlpm.twoPA + _xlpm.threePA + _xlpm.ftA,
  _xlpm.val, IF(_xlpm.total = 0, "", _xlpm.threePA / _xlpm.total),
  _xlpm.val
)</f>
        <v>#NAME?</v>
      </c>
      <c r="K126" s="167" t="e">
        <f ca="1">_xlfn.LET(
  _xlpm.val, _xlfn.XLOOKUP(B126, PlayerStatsSeason!$B$3:$B$996, PlayerStatsSeason!$N$3:$N$996, ""),
  IF(OR(_xlpm.val=0, _xlpm.val=""), "", VALUE(_xlpm.val))
)</f>
        <v>#NAME?</v>
      </c>
      <c r="L126" s="166" t="e" cm="1">
        <f t="array" aca="1" ref="L126" ca="1">_xlfn.LET(
  _xlpm.val, _xlfn.XLOOKUP(B126, PlayerStatsSeason!$B$3:$B$996, PlayerStatsSeason!$M$3:$M$996, ""),
  IF(OR(_xlpm.val=0, _xlpm.val=""), "", VALUE(_xlpm.val))
)</f>
        <v>#NAME?</v>
      </c>
      <c r="M126" s="143" t="e">
        <f ca="1">_xlfn.LET(
  _xlpm.twoPA, _xlfn.XLOOKUP($B126, PlayerStatsSeason!$B$3:$B$996, PlayerStatsSeason!$P$3:$P$996, 0),
  _xlpm.threePA, _xlfn.XLOOKUP($B126, PlayerStatsSeason!$B$3:$B$996, PlayerStatsSeason!$M$3:$M$996, 0),
  _xlpm.ftA, _xlfn.XLOOKUP($B126, PlayerStatsSeason!$B$3:$B$996, PlayerStatsSeason!$T$3:$T$996, 0),
  _xlpm.total, _xlpm.twoPA + _xlpm.threePA + _xlpm.ftA,
  _xlpm.val, IF(_xlpm.total = 0, "", _xlpm.ftA / _xlpm.total),
  _xlpm.val
)</f>
        <v>#NAME?</v>
      </c>
      <c r="N126" s="143">
        <v>0</v>
      </c>
      <c r="O126" s="144" t="e">
        <f ca="1">_xlfn.LET(
  _xlpm.val, _xlfn.XLOOKUP(B126, PlayerStatsSeason!$B$3:$B$996, PlayerStatsSeason!$T$3:$T$996, ""),
  IF(OR(_xlpm.val=0, _xlpm.val=""), "", VALUE(_xlpm.val))
)</f>
        <v>#NAME?</v>
      </c>
      <c r="P126" s="141"/>
      <c r="Q126" s="141" cm="1">
        <f t="array" aca="1" ref="Q126" ca="1">MIN(IF(ISNA(MATCH(PlayerWorking!$T$5:OFFSET(PlayerWorking!$T$5,PlayerWorking!$O$5-1,0),Results!$Q$42:Q125,0)),PlayerWorking!$T$5:OFFSET(PlayerWorking!$T$5,PlayerWorking!$O$5-1,1)))</f>
        <v>0</v>
      </c>
      <c r="R126" s="170" t="e">
        <f t="shared" ca="1" si="17"/>
        <v>#NAME?</v>
      </c>
      <c r="S126" s="141"/>
      <c r="T126" s="154" t="e">
        <f ca="1">IF(D126&gt;0,IFERROR(2*_xlfn.BINOM.INV(_xlfn.BINOM.INV(F126,G126,RAND()),H126,RAND())+ 3*_xlfn.BINOM.INV(_xlfn.BINOM.INV(F126,J126,RAND()),K126,RAND())+ _xlfn.BINOM.INV(_xlfn.BINOM.INV(F126,M126,RAND()),N126,RAND()),ROUND((F126/E126)*_xlfn.XLOOKUP(B126,PlayerStatsSeason!B117:B1110,PlayerStatsSeason!AD117:AD1110),0)),0)</f>
        <v>#NAME?</v>
      </c>
      <c r="U126" s="9"/>
    </row>
    <row r="127" spans="1:23" ht="15.75" x14ac:dyDescent="0.25">
      <c r="A127" s="146" t="s">
        <v>3153</v>
      </c>
      <c r="B127" s="141" t="str">
        <f ca="1">IFERROR(IF(_xlfn.XLOOKUP(Q127,PlayerWorking!$T$5:$T$31,PlayerWorking!$U$5:$U$31)=0, "", _xlfn.XLOOKUP(Q127,PlayerWorking!$T$5:$T$31,PlayerWorking!$U$5:$U$31)), "")</f>
        <v/>
      </c>
      <c r="C127" s="142" t="e">
        <f ca="1">_xlfn.XLOOKUP(B127,PlayerStatsSeason!$B$3:$B$996,PlayerStatsSeason!$H$3:$H$996)</f>
        <v>#NAME?</v>
      </c>
      <c r="D127" s="145" t="e">
        <f ca="1">IF(Q127&lt;=5,C127,C127/SUM(PlayerWorking!$J$10:$J$27)*(240-SUM(PlayerWorking!$J$5:$J$9)))</f>
        <v>#NAME?</v>
      </c>
      <c r="E127" s="145" t="e">
        <f ca="1">IF(D127&gt;0,_xlfn.XLOOKUP(B127,PlayerStatsSeason!$B$3:$B$996,PlayerStatsSeason!$J$3:$J$996)+_xlfn.XLOOKUP(B127,PlayerStatsSeason!$B$3:$B$996,PlayerStatsSeason!$T$3:$T$996))</f>
        <v>#NAME?</v>
      </c>
      <c r="F127" s="145" t="e">
        <f t="shared" ca="1" si="16"/>
        <v>#NAME?</v>
      </c>
      <c r="G127" s="143" t="e">
        <f ca="1">_xlfn.LET(
  _xlpm.twoPA, _xlfn.XLOOKUP($B127, PlayerStatsSeason!$B$3:$B$996, PlayerStatsSeason!$P$3:$P$996, 0),
  _xlpm.threePA, _xlfn.XLOOKUP($B127, PlayerStatsSeason!$B$3:$B$996, PlayerStatsSeason!$M$3:$M$996, 0),
  _xlpm.ftA, _xlfn.XLOOKUP($B127, PlayerStatsSeason!$B$3:$B$996, PlayerStatsSeason!$T$3:$T$996, 0),
  _xlpm.total, _xlpm.twoPA + _xlpm.threePA + _xlpm.ftA,
  _xlpm.val, IF(_xlpm.total = 0, "", _xlpm.twoPA / _xlpm.total),
  _xlpm.val
)</f>
        <v>#NAME?</v>
      </c>
      <c r="H127" s="143" t="e">
        <f ca="1">_xlfn.LET(
  _xlpm.val, _xlfn.XLOOKUP(B127, PlayerStatsSeason!$B$3:$B$996, PlayerStatsSeason!$Q$3:$Q$996, ""),
  IF(OR(_xlpm.val=0, _xlpm.val=""), "", VALUE(_xlpm.val))
)</f>
        <v>#NAME?</v>
      </c>
      <c r="I127" s="144" t="e">
        <f ca="1">_xlfn.LET(
  _xlpm.val, _xlfn.XLOOKUP(B127, PlayerStatsSeason!$B$3:$B$996, PlayerStatsSeason!$P$3:$P$996, ""),
  IF(OR(_xlpm.val=0, _xlpm.val=""), "", VALUE(_xlpm.val))
)</f>
        <v>#NAME?</v>
      </c>
      <c r="J127" s="143" t="e">
        <f ca="1">_xlfn.LET(
  _xlpm.twoPA, _xlfn.XLOOKUP($B127, PlayerStatsSeason!$B$3:$B$996, PlayerStatsSeason!$P$3:$P$996, 0),
  _xlpm.threePA, _xlfn.XLOOKUP($B127, PlayerStatsSeason!$B$3:$B$996, PlayerStatsSeason!$M$3:$M$996, 0),
  _xlpm.ftA, _xlfn.XLOOKUP($B127, PlayerStatsSeason!$B$3:$B$996, PlayerStatsSeason!$T$3:$T$996, 0),
  _xlpm.total, _xlpm.twoPA + _xlpm.threePA + _xlpm.ftA,
  _xlpm.val, IF(_xlpm.total = 0, "", _xlpm.threePA / _xlpm.total),
  _xlpm.val
)</f>
        <v>#NAME?</v>
      </c>
      <c r="K127" s="167" t="e">
        <f ca="1">_xlfn.LET(
  _xlpm.val, _xlfn.XLOOKUP(B127, PlayerStatsSeason!$B$3:$B$996, PlayerStatsSeason!$N$3:$N$996, ""),
  IF(OR(_xlpm.val=0, _xlpm.val=""), "", VALUE(_xlpm.val))
)</f>
        <v>#NAME?</v>
      </c>
      <c r="L127" s="166" t="e" cm="1">
        <f t="array" aca="1" ref="L127" ca="1">_xlfn.LET(
  _xlpm.val, _xlfn.XLOOKUP(B127, PlayerStatsSeason!$B$3:$B$996, PlayerStatsSeason!$M$3:$M$996, ""),
  IF(OR(_xlpm.val=0, _xlpm.val=""), "", VALUE(_xlpm.val))
)</f>
        <v>#NAME?</v>
      </c>
      <c r="M127" s="143" t="e">
        <f ca="1">_xlfn.LET(
  _xlpm.twoPA, _xlfn.XLOOKUP($B127, PlayerStatsSeason!$B$3:$B$996, PlayerStatsSeason!$P$3:$P$996, 0),
  _xlpm.threePA, _xlfn.XLOOKUP($B127, PlayerStatsSeason!$B$3:$B$996, PlayerStatsSeason!$M$3:$M$996, 0),
  _xlpm.ftA, _xlfn.XLOOKUP($B127, PlayerStatsSeason!$B$3:$B$996, PlayerStatsSeason!$T$3:$T$996, 0),
  _xlpm.total, _xlpm.twoPA + _xlpm.threePA + _xlpm.ftA,
  _xlpm.val, IF(_xlpm.total = 0, "", _xlpm.ftA / _xlpm.total),
  _xlpm.val
)</f>
        <v>#NAME?</v>
      </c>
      <c r="N127" s="143" t="e">
        <f ca="1">_xlfn.LET(
  _xlpm.val, _xlfn.XLOOKUP(B127, PlayerStatsSeason!$B$3:$B$996, PlayerStatsSeason!$U$3:$U$996, ""),
  IF(OR(_xlpm.val=0, _xlpm.val=""), "", VALUE(_xlpm.val))
)</f>
        <v>#NAME?</v>
      </c>
      <c r="O127" s="144" t="e">
        <f ca="1">_xlfn.LET(
  _xlpm.val, _xlfn.XLOOKUP(B127, PlayerStatsSeason!$B$3:$B$996, PlayerStatsSeason!$T$3:$T$996, ""),
  IF(OR(_xlpm.val=0, _xlpm.val=""), "", VALUE(_xlpm.val))
)</f>
        <v>#NAME?</v>
      </c>
      <c r="P127" s="141"/>
      <c r="Q127" s="141" cm="1">
        <f t="array" aca="1" ref="Q127" ca="1">MIN(IF(ISNA(MATCH(PlayerWorking!$T$5:OFFSET(PlayerWorking!$T$5,PlayerWorking!$O$5-1,0),Results!$Q$42:Q126,0)),PlayerWorking!$T$5:OFFSET(PlayerWorking!$T$5,PlayerWorking!$O$5-1,1)))</f>
        <v>0</v>
      </c>
      <c r="R127" s="170" t="e">
        <f t="shared" ca="1" si="17"/>
        <v>#NAME?</v>
      </c>
      <c r="S127" s="141"/>
      <c r="T127" s="154" t="e">
        <f ca="1">IF(D127&gt;0,IFERROR(2*_xlfn.BINOM.INV(_xlfn.BINOM.INV(F127,G127,RAND()),H127,RAND())+ 3*_xlfn.BINOM.INV(_xlfn.BINOM.INV(F127,J127,RAND()),K127,RAND())+ _xlfn.BINOM.INV(_xlfn.BINOM.INV(F127,M127,RAND()),N127,RAND()),ROUND((F127/E127)*_xlfn.XLOOKUP(B127,PlayerStatsSeason!B118:B1111,PlayerStatsSeason!AD118:AD1111),0)),0)</f>
        <v>#NAME?</v>
      </c>
      <c r="U127" s="9"/>
    </row>
    <row r="128" spans="1:23" ht="15.75" x14ac:dyDescent="0.25">
      <c r="A128" s="146" t="s">
        <v>3154</v>
      </c>
      <c r="B128" s="141" t="str">
        <f ca="1">IFERROR(IF(_xlfn.XLOOKUP(Q128,PlayerWorking!$T$5:$T$31,PlayerWorking!$U$5:$U$31)=0, "", _xlfn.XLOOKUP(Q128,PlayerWorking!$T$5:$T$31,PlayerWorking!$U$5:$U$31)), "")</f>
        <v/>
      </c>
      <c r="C128" s="142" t="e">
        <f ca="1">_xlfn.XLOOKUP(B128,PlayerStatsSeason!$B$3:$B$996,PlayerStatsSeason!$H$3:$H$996)</f>
        <v>#NAME?</v>
      </c>
      <c r="D128" s="145" t="e">
        <f ca="1">IF(Q128&lt;=5,C128,C128/SUM(PlayerWorking!$J$10:$J$27)*(240-SUM(PlayerWorking!$J$5:$J$9)))</f>
        <v>#NAME?</v>
      </c>
      <c r="E128" s="145" t="e">
        <f ca="1">IF(D128&gt;0,_xlfn.XLOOKUP(B128,PlayerStatsSeason!$B$3:$B$996,PlayerStatsSeason!$J$3:$J$996)+_xlfn.XLOOKUP(B128,PlayerStatsSeason!$B$3:$B$996,PlayerStatsSeason!$T$3:$T$996))</f>
        <v>#NAME?</v>
      </c>
      <c r="F128" s="145" t="e">
        <f t="shared" ca="1" si="16"/>
        <v>#NAME?</v>
      </c>
      <c r="G128" s="143" t="e">
        <f ca="1">_xlfn.LET(
  _xlpm.twoPA, _xlfn.XLOOKUP($B128, PlayerStatsSeason!$B$3:$B$996, PlayerStatsSeason!$P$3:$P$996, 0),
  _xlpm.threePA, _xlfn.XLOOKUP($B128, PlayerStatsSeason!$B$3:$B$996, PlayerStatsSeason!$M$3:$M$996, 0),
  _xlpm.ftA, _xlfn.XLOOKUP($B128, PlayerStatsSeason!$B$3:$B$996, PlayerStatsSeason!$T$3:$T$996, 0),
  _xlpm.total, _xlpm.twoPA + _xlpm.threePA + _xlpm.ftA,
  _xlpm.val, IF(_xlpm.total = 0, "", _xlpm.twoPA / _xlpm.total),
  _xlpm.val
)</f>
        <v>#NAME?</v>
      </c>
      <c r="H128" s="143" t="e">
        <f ca="1">_xlfn.LET(
  _xlpm.val, _xlfn.XLOOKUP(B128, PlayerStatsSeason!$B$3:$B$996, PlayerStatsSeason!$Q$3:$Q$996, ""),
  IF(OR(_xlpm.val=0, _xlpm.val=""), "", VALUE(_xlpm.val))
)</f>
        <v>#NAME?</v>
      </c>
      <c r="I128" s="144" t="e">
        <f ca="1">_xlfn.LET(
  _xlpm.val, _xlfn.XLOOKUP(B128, PlayerStatsSeason!$B$3:$B$996, PlayerStatsSeason!$P$3:$P$996, ""),
  IF(OR(_xlpm.val=0, _xlpm.val=""), "", VALUE(_xlpm.val))
)</f>
        <v>#NAME?</v>
      </c>
      <c r="J128" s="143" t="e">
        <f ca="1">_xlfn.LET(
  _xlpm.twoPA, _xlfn.XLOOKUP($B128, PlayerStatsSeason!$B$3:$B$996, PlayerStatsSeason!$P$3:$P$996, 0),
  _xlpm.threePA, _xlfn.XLOOKUP($B128, PlayerStatsSeason!$B$3:$B$996, PlayerStatsSeason!$M$3:$M$996, 0),
  _xlpm.ftA, _xlfn.XLOOKUP($B128, PlayerStatsSeason!$B$3:$B$996, PlayerStatsSeason!$T$3:$T$996, 0),
  _xlpm.total, _xlpm.twoPA + _xlpm.threePA + _xlpm.ftA,
  _xlpm.val, IF(_xlpm.total = 0, "", _xlpm.threePA / _xlpm.total),
  _xlpm.val
)</f>
        <v>#NAME?</v>
      </c>
      <c r="K128" s="167" t="e">
        <f ca="1">_xlfn.LET(
  _xlpm.val, _xlfn.XLOOKUP(B128, PlayerStatsSeason!$B$3:$B$996, PlayerStatsSeason!$N$3:$N$996, ""),
  IF(OR(_xlpm.val=0, _xlpm.val=""), "", VALUE(_xlpm.val))
)</f>
        <v>#NAME?</v>
      </c>
      <c r="L128" s="166" t="e" cm="1">
        <f t="array" aca="1" ref="L128" ca="1">_xlfn.LET(
  _xlpm.val, _xlfn.XLOOKUP(B128, PlayerStatsSeason!$B$3:$B$996, PlayerStatsSeason!$M$3:$M$996, ""),
  IF(OR(_xlpm.val=0, _xlpm.val=""), "", VALUE(_xlpm.val))
)</f>
        <v>#NAME?</v>
      </c>
      <c r="M128" s="143" t="e">
        <f ca="1">_xlfn.LET(
  _xlpm.twoPA, _xlfn.XLOOKUP($B128, PlayerStatsSeason!$B$3:$B$996, PlayerStatsSeason!$P$3:$P$996, 0),
  _xlpm.threePA, _xlfn.XLOOKUP($B128, PlayerStatsSeason!$B$3:$B$996, PlayerStatsSeason!$M$3:$M$996, 0),
  _xlpm.ftA, _xlfn.XLOOKUP($B128, PlayerStatsSeason!$B$3:$B$996, PlayerStatsSeason!$T$3:$T$996, 0),
  _xlpm.total, _xlpm.twoPA + _xlpm.threePA + _xlpm.ftA,
  _xlpm.val, IF(_xlpm.total = 0, "", _xlpm.ftA / _xlpm.total),
  _xlpm.val
)</f>
        <v>#NAME?</v>
      </c>
      <c r="N128" s="143" t="e">
        <f ca="1">_xlfn.LET(
  _xlpm.val, _xlfn.XLOOKUP(B128, PlayerStatsSeason!$B$3:$B$996, PlayerStatsSeason!$U$3:$U$996, ""),
  IF(OR(_xlpm.val=0, _xlpm.val=""), "", VALUE(_xlpm.val))
)</f>
        <v>#NAME?</v>
      </c>
      <c r="O128" s="144" t="e">
        <f ca="1">_xlfn.LET(
  _xlpm.val, _xlfn.XLOOKUP(B128, PlayerStatsSeason!$B$3:$B$996, PlayerStatsSeason!$T$3:$T$996, ""),
  IF(OR(_xlpm.val=0, _xlpm.val=""), "", VALUE(_xlpm.val))
)</f>
        <v>#NAME?</v>
      </c>
      <c r="P128" s="141"/>
      <c r="Q128" s="141" cm="1">
        <f t="array" aca="1" ref="Q128" ca="1">MIN(IF(ISNA(MATCH(PlayerWorking!$T$5:OFFSET(PlayerWorking!$T$5,PlayerWorking!$O$5-1,0),Results!$Q$42:Q127,0)),PlayerWorking!$T$5:OFFSET(PlayerWorking!$T$5,PlayerWorking!$O$5-1,1)))</f>
        <v>0</v>
      </c>
      <c r="R128" s="170" t="e">
        <f t="shared" ca="1" si="17"/>
        <v>#NAME?</v>
      </c>
      <c r="S128" s="141"/>
      <c r="T128" s="154" t="e">
        <f ca="1">IF(D128&gt;0,IFERROR(2*_xlfn.BINOM.INV(_xlfn.BINOM.INV(F128,G128,RAND()),H128,RAND())+ 3*_xlfn.BINOM.INV(_xlfn.BINOM.INV(F128,J128,RAND()),K128,RAND())+ _xlfn.BINOM.INV(_xlfn.BINOM.INV(F128,M128,RAND()),N128,RAND()),ROUND((F128/E128)*_xlfn.XLOOKUP(B128,PlayerStatsSeason!B119:B1112,PlayerStatsSeason!AD119:AD1112),0)),0)</f>
        <v>#NAME?</v>
      </c>
      <c r="U128" s="9"/>
    </row>
    <row r="129" spans="1:21" ht="15.75" x14ac:dyDescent="0.25">
      <c r="A129" s="146" t="s">
        <v>3155</v>
      </c>
      <c r="B129" s="141" t="str">
        <f ca="1">IFERROR(IF(_xlfn.XLOOKUP(Q129,PlayerWorking!$T$5:$T$31,PlayerWorking!$U$5:$U$31)=0, "", _xlfn.XLOOKUP(Q129,PlayerWorking!$T$5:$T$31,PlayerWorking!$U$5:$U$31)), "")</f>
        <v/>
      </c>
      <c r="C129" s="142" t="e">
        <f ca="1">_xlfn.XLOOKUP(B129,PlayerStatsSeason!$B$3:$B$996,PlayerStatsSeason!$H$3:$H$996)</f>
        <v>#NAME?</v>
      </c>
      <c r="D129" s="145" t="e">
        <f ca="1">IF(Q129&lt;=5,C129,C129/SUM(PlayerWorking!$J$10:$J$27)*(240-SUM(PlayerWorking!$J$5:$J$9)))</f>
        <v>#NAME?</v>
      </c>
      <c r="E129" s="145" t="e">
        <f ca="1">IF(D129&gt;0,_xlfn.XLOOKUP(B129,PlayerStatsSeason!$B$3:$B$996,PlayerStatsSeason!$J$3:$J$996)+_xlfn.XLOOKUP(B129,PlayerStatsSeason!$B$3:$B$996,PlayerStatsSeason!$T$3:$T$996))</f>
        <v>#NAME?</v>
      </c>
      <c r="F129" s="145" t="e">
        <f t="shared" ca="1" si="16"/>
        <v>#NAME?</v>
      </c>
      <c r="G129" s="143" t="e">
        <f ca="1">_xlfn.LET(
  _xlpm.twoPA, _xlfn.XLOOKUP($B129, PlayerStatsSeason!$B$3:$B$996, PlayerStatsSeason!$P$3:$P$996, 0),
  _xlpm.threePA, _xlfn.XLOOKUP($B129, PlayerStatsSeason!$B$3:$B$996, PlayerStatsSeason!$M$3:$M$996, 0),
  _xlpm.ftA, _xlfn.XLOOKUP($B129, PlayerStatsSeason!$B$3:$B$996, PlayerStatsSeason!$T$3:$T$996, 0),
  _xlpm.total, _xlpm.twoPA + _xlpm.threePA + _xlpm.ftA,
  _xlpm.val, IF(_xlpm.total = 0, "", _xlpm.twoPA / _xlpm.total),
  _xlpm.val
)</f>
        <v>#NAME?</v>
      </c>
      <c r="H129" s="143" t="e">
        <f ca="1">_xlfn.LET(
  _xlpm.val, _xlfn.XLOOKUP(B129, PlayerStatsSeason!$B$3:$B$996, PlayerStatsSeason!$Q$3:$Q$996, ""),
  IF(OR(_xlpm.val=0, _xlpm.val=""), "", VALUE(_xlpm.val))
)</f>
        <v>#NAME?</v>
      </c>
      <c r="I129" s="144" t="e">
        <f ca="1">_xlfn.LET(
  _xlpm.val, _xlfn.XLOOKUP(B129, PlayerStatsSeason!$B$3:$B$996, PlayerStatsSeason!$P$3:$P$996, ""),
  IF(OR(_xlpm.val=0, _xlpm.val=""), "", VALUE(_xlpm.val))
)</f>
        <v>#NAME?</v>
      </c>
      <c r="J129" s="143" t="e">
        <f ca="1">_xlfn.LET(
  _xlpm.twoPA, _xlfn.XLOOKUP($B129, PlayerStatsSeason!$B$3:$B$996, PlayerStatsSeason!$P$3:$P$996, 0),
  _xlpm.threePA, _xlfn.XLOOKUP($B129, PlayerStatsSeason!$B$3:$B$996, PlayerStatsSeason!$M$3:$M$996, 0),
  _xlpm.ftA, _xlfn.XLOOKUP($B129, PlayerStatsSeason!$B$3:$B$996, PlayerStatsSeason!$T$3:$T$996, 0),
  _xlpm.total, _xlpm.twoPA + _xlpm.threePA + _xlpm.ftA,
  _xlpm.val, IF(_xlpm.total = 0, "", _xlpm.threePA / _xlpm.total),
  _xlpm.val
)</f>
        <v>#NAME?</v>
      </c>
      <c r="K129" s="167" t="e">
        <f ca="1">_xlfn.LET(
  _xlpm.val, _xlfn.XLOOKUP(B129, PlayerStatsSeason!$B$3:$B$996, PlayerStatsSeason!$N$3:$N$996, ""),
  IF(OR(_xlpm.val=0, _xlpm.val=""), "", VALUE(_xlpm.val))
)</f>
        <v>#NAME?</v>
      </c>
      <c r="L129" s="166" t="e" cm="1">
        <f t="array" aca="1" ref="L129" ca="1">_xlfn.LET(
  _xlpm.val, _xlfn.XLOOKUP(B129, PlayerStatsSeason!$B$3:$B$996, PlayerStatsSeason!$M$3:$M$996, ""),
  IF(OR(_xlpm.val=0, _xlpm.val=""), "", VALUE(_xlpm.val))
)</f>
        <v>#NAME?</v>
      </c>
      <c r="M129" s="143" t="e">
        <f ca="1">_xlfn.LET(
  _xlpm.twoPA, _xlfn.XLOOKUP($B129, PlayerStatsSeason!$B$3:$B$996, PlayerStatsSeason!$P$3:$P$996, 0),
  _xlpm.threePA, _xlfn.XLOOKUP($B129, PlayerStatsSeason!$B$3:$B$996, PlayerStatsSeason!$M$3:$M$996, 0),
  _xlpm.ftA, _xlfn.XLOOKUP($B129, PlayerStatsSeason!$B$3:$B$996, PlayerStatsSeason!$T$3:$T$996, 0),
  _xlpm.total, _xlpm.twoPA + _xlpm.threePA + _xlpm.ftA,
  _xlpm.val, IF(_xlpm.total = 0, "", _xlpm.ftA / _xlpm.total),
  _xlpm.val
)</f>
        <v>#NAME?</v>
      </c>
      <c r="N129" s="143" t="e">
        <f ca="1">_xlfn.LET(
  _xlpm.val, _xlfn.XLOOKUP(B129, PlayerStatsSeason!$B$3:$B$996, PlayerStatsSeason!$U$3:$U$996, ""),
  IF(OR(_xlpm.val=0, _xlpm.val=""), "", VALUE(_xlpm.val))
)</f>
        <v>#NAME?</v>
      </c>
      <c r="O129" s="144" t="e">
        <f ca="1">_xlfn.LET(
  _xlpm.val, _xlfn.XLOOKUP(B129, PlayerStatsSeason!$B$3:$B$996, PlayerStatsSeason!$T$3:$T$996, ""),
  IF(OR(_xlpm.val=0, _xlpm.val=""), "", VALUE(_xlpm.val))
)</f>
        <v>#NAME?</v>
      </c>
      <c r="P129" s="141"/>
      <c r="Q129" s="141" cm="1">
        <f t="array" aca="1" ref="Q129" ca="1">MIN(IF(ISNA(MATCH(PlayerWorking!$T$5:OFFSET(PlayerWorking!$T$5,PlayerWorking!$O$5-1,0),Results!$Q$42:Q128,0)),PlayerWorking!$T$5:OFFSET(PlayerWorking!$T$5,PlayerWorking!$O$5-1,1)))</f>
        <v>0</v>
      </c>
      <c r="R129" s="170" t="e">
        <f t="shared" ca="1" si="17"/>
        <v>#NAME?</v>
      </c>
      <c r="S129" s="141"/>
      <c r="T129" s="154" t="e">
        <f ca="1">IF(D129&gt;0,IFERROR(2*_xlfn.BINOM.INV(_xlfn.BINOM.INV(F129,G129,RAND()),H129,RAND())+ 3*_xlfn.BINOM.INV(_xlfn.BINOM.INV(F129,J129,RAND()),K129,RAND())+ _xlfn.BINOM.INV(_xlfn.BINOM.INV(F129,M129,RAND()),N129,RAND()),ROUND((F129/E129)*_xlfn.XLOOKUP(B129,PlayerStatsSeason!B120:B1113,PlayerStatsSeason!AD120:AD1113),0)),0)</f>
        <v>#NAME?</v>
      </c>
      <c r="U129" s="9"/>
    </row>
    <row r="130" spans="1:21" ht="15.75" x14ac:dyDescent="0.25">
      <c r="A130" s="146" t="s">
        <v>3156</v>
      </c>
      <c r="B130" s="141" t="str">
        <f ca="1">IFERROR(IF(_xlfn.XLOOKUP(Q130,PlayerWorking!$T$5:$T$31,PlayerWorking!$U$5:$U$31)=0, "", _xlfn.XLOOKUP(Q130,PlayerWorking!$T$5:$T$31,PlayerWorking!$U$5:$U$31)), "")</f>
        <v/>
      </c>
      <c r="C130" s="142" t="e">
        <f ca="1">_xlfn.XLOOKUP(B130,PlayerStatsSeason!$B$3:$B$996,PlayerStatsSeason!$H$3:$H$996)</f>
        <v>#NAME?</v>
      </c>
      <c r="D130" s="145" t="e">
        <f ca="1">IF(Q130&lt;=5,C130,C130/SUM(PlayerWorking!$J$10:$J$27)*(240-SUM(PlayerWorking!$J$5:$J$9)))</f>
        <v>#NAME?</v>
      </c>
      <c r="E130" s="145" t="e">
        <f ca="1">IF(D130&gt;0,_xlfn.XLOOKUP(B130,PlayerStatsSeason!$B$3:$B$996,PlayerStatsSeason!$J$3:$J$996)+_xlfn.XLOOKUP(B130,PlayerStatsSeason!$B$3:$B$996,PlayerStatsSeason!$T$3:$T$996))</f>
        <v>#NAME?</v>
      </c>
      <c r="F130" s="145" t="e">
        <f t="shared" ca="1" si="16"/>
        <v>#NAME?</v>
      </c>
      <c r="G130" s="143" t="e">
        <f ca="1">_xlfn.LET(
  _xlpm.twoPA, _xlfn.XLOOKUP($B130, PlayerStatsSeason!$B$3:$B$996, PlayerStatsSeason!$P$3:$P$996, 0),
  _xlpm.threePA, _xlfn.XLOOKUP($B130, PlayerStatsSeason!$B$3:$B$996, PlayerStatsSeason!$M$3:$M$996, 0),
  _xlpm.ftA, _xlfn.XLOOKUP($B130, PlayerStatsSeason!$B$3:$B$996, PlayerStatsSeason!$T$3:$T$996, 0),
  _xlpm.total, _xlpm.twoPA + _xlpm.threePA + _xlpm.ftA,
  _xlpm.val, IF(_xlpm.total = 0, "", _xlpm.twoPA / _xlpm.total),
  _xlpm.val
)</f>
        <v>#NAME?</v>
      </c>
      <c r="H130" s="143" t="e">
        <f ca="1">_xlfn.LET(
  _xlpm.val, _xlfn.XLOOKUP(B130, PlayerStatsSeason!$B$3:$B$996, PlayerStatsSeason!$Q$3:$Q$996, ""),
  IF(OR(_xlpm.val=0, _xlpm.val=""), "", VALUE(_xlpm.val))
)</f>
        <v>#NAME?</v>
      </c>
      <c r="I130" s="144" t="e">
        <f ca="1">_xlfn.LET(
  _xlpm.val, _xlfn.XLOOKUP(B130, PlayerStatsSeason!$B$3:$B$996, PlayerStatsSeason!$P$3:$P$996, ""),
  IF(OR(_xlpm.val=0, _xlpm.val=""), "", VALUE(_xlpm.val))
)</f>
        <v>#NAME?</v>
      </c>
      <c r="J130" s="143" t="e">
        <f ca="1">_xlfn.LET(
  _xlpm.twoPA, _xlfn.XLOOKUP($B130, PlayerStatsSeason!$B$3:$B$996, PlayerStatsSeason!$P$3:$P$996, 0),
  _xlpm.threePA, _xlfn.XLOOKUP($B130, PlayerStatsSeason!$B$3:$B$996, PlayerStatsSeason!$M$3:$M$996, 0),
  _xlpm.ftA, _xlfn.XLOOKUP($B130, PlayerStatsSeason!$B$3:$B$996, PlayerStatsSeason!$T$3:$T$996, 0),
  _xlpm.total, _xlpm.twoPA + _xlpm.threePA + _xlpm.ftA,
  _xlpm.val, IF(_xlpm.total = 0, "", _xlpm.threePA / _xlpm.total),
  _xlpm.val
)</f>
        <v>#NAME?</v>
      </c>
      <c r="K130" s="167" t="e">
        <f ca="1">_xlfn.LET(
  _xlpm.val, _xlfn.XLOOKUP(B130, PlayerStatsSeason!$B$3:$B$996, PlayerStatsSeason!$N$3:$N$996, ""),
  IF(OR(_xlpm.val=0, _xlpm.val=""), "", VALUE(_xlpm.val))
)</f>
        <v>#NAME?</v>
      </c>
      <c r="L130" s="166" t="e" cm="1">
        <f t="array" aca="1" ref="L130" ca="1">_xlfn.LET(
  _xlpm.val, _xlfn.XLOOKUP(B130, PlayerStatsSeason!$B$3:$B$996, PlayerStatsSeason!$M$3:$M$996, ""),
  IF(OR(_xlpm.val=0, _xlpm.val=""), "", VALUE(_xlpm.val))
)</f>
        <v>#NAME?</v>
      </c>
      <c r="M130" s="143" t="e">
        <f ca="1">_xlfn.LET(
  _xlpm.twoPA, _xlfn.XLOOKUP($B130, PlayerStatsSeason!$B$3:$B$996, PlayerStatsSeason!$P$3:$P$996, 0),
  _xlpm.threePA, _xlfn.XLOOKUP($B130, PlayerStatsSeason!$B$3:$B$996, PlayerStatsSeason!$M$3:$M$996, 0),
  _xlpm.ftA, _xlfn.XLOOKUP($B130, PlayerStatsSeason!$B$3:$B$996, PlayerStatsSeason!$T$3:$T$996, 0),
  _xlpm.total, _xlpm.twoPA + _xlpm.threePA + _xlpm.ftA,
  _xlpm.val, IF(_xlpm.total = 0, "", _xlpm.ftA / _xlpm.total),
  _xlpm.val
)</f>
        <v>#NAME?</v>
      </c>
      <c r="N130" s="143" t="e">
        <f ca="1">_xlfn.LET(
  _xlpm.val, _xlfn.XLOOKUP(B130, PlayerStatsSeason!$B$3:$B$996, PlayerStatsSeason!$U$3:$U$996, ""),
  IF(OR(_xlpm.val=0, _xlpm.val=""), "", VALUE(_xlpm.val))
)</f>
        <v>#NAME?</v>
      </c>
      <c r="O130" s="144" t="e">
        <f ca="1">_xlfn.LET(
  _xlpm.val, _xlfn.XLOOKUP(B130, PlayerStatsSeason!$B$3:$B$996, PlayerStatsSeason!$T$3:$T$996, ""),
  IF(OR(_xlpm.val=0, _xlpm.val=""), "", VALUE(_xlpm.val))
)</f>
        <v>#NAME?</v>
      </c>
      <c r="P130" s="141"/>
      <c r="Q130" s="141" cm="1">
        <f t="array" aca="1" ref="Q130" ca="1">MIN(IF(ISNA(MATCH(PlayerWorking!$T$5:OFFSET(PlayerWorking!$T$5,PlayerWorking!$O$5-1,0),Results!$Q$42:Q129,0)),PlayerWorking!$T$5:OFFSET(PlayerWorking!$T$5,PlayerWorking!$O$5-1,1)))</f>
        <v>0</v>
      </c>
      <c r="R130" s="170" t="e">
        <f t="shared" ca="1" si="17"/>
        <v>#NAME?</v>
      </c>
      <c r="S130" s="141"/>
      <c r="T130" s="154" t="e">
        <f ca="1">IF(D130&gt;0,IFERROR(2*_xlfn.BINOM.INV(_xlfn.BINOM.INV(F130,G130,RAND()),H130,RAND())+ 3*_xlfn.BINOM.INV(_xlfn.BINOM.INV(F130,J130,RAND()),K130,RAND())+ _xlfn.BINOM.INV(_xlfn.BINOM.INV(F130,M130,RAND()),N130,RAND()),ROUND((F130/E130)*_xlfn.XLOOKUP(B130,PlayerStatsSeason!B121:B1114,PlayerStatsSeason!AD121:AD1114),0)),0)</f>
        <v>#NAME?</v>
      </c>
      <c r="U130" s="9"/>
    </row>
    <row r="131" spans="1:21" ht="15.75" x14ac:dyDescent="0.25">
      <c r="A131" s="146" t="s">
        <v>3157</v>
      </c>
      <c r="B131" s="141" t="str">
        <f ca="1">IFERROR(IF(_xlfn.XLOOKUP(Q131,PlayerWorking!$T$5:$T$31,PlayerWorking!$U$5:$U$31)=0, "", _xlfn.XLOOKUP(Q131,PlayerWorking!$T$5:$T$31,PlayerWorking!$U$5:$U$31)), "")</f>
        <v/>
      </c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 cm="1">
        <f t="array" aca="1" ref="Q131" ca="1">MIN(IF(ISNA(MATCH(PlayerWorking!$T$5:OFFSET(PlayerWorking!$T$5,PlayerWorking!$O$5-1,0),Results!$Q$42:Q130,0)),PlayerWorking!$T$5:OFFSET(PlayerWorking!$T$5,PlayerWorking!$O$5-1,1)))</f>
        <v>0</v>
      </c>
      <c r="R131" s="170">
        <f t="shared" si="17"/>
        <v>0</v>
      </c>
      <c r="S131" s="141"/>
      <c r="T131" s="154">
        <f ca="1">IF(D131&gt;0,IFERROR(2*_xlfn.BINOM.INV(_xlfn.BINOM.INV(F131,G131,RAND()),H131,RAND())+ 3*_xlfn.BINOM.INV(_xlfn.BINOM.INV(F131,J131,RAND()),K131,RAND())+ _xlfn.BINOM.INV(_xlfn.BINOM.INV(F131,M131,RAND()),N131,RAND()),ROUND((F131/E131)*_xlfn.XLOOKUP(B131,PlayerStatsSeason!B122:B1115,PlayerStatsSeason!AD122:AD1115),0)),0)</f>
        <v>0</v>
      </c>
      <c r="U131" s="9"/>
    </row>
    <row r="132" spans="1:21" ht="15.75" x14ac:dyDescent="0.25">
      <c r="A132" s="146" t="s">
        <v>3158</v>
      </c>
      <c r="B132" s="141" t="str">
        <f ca="1">IFERROR(IF(_xlfn.XLOOKUP(Q132,PlayerWorking!$T$5:$T$31,PlayerWorking!$U$5:$U$31)=0, "", _xlfn.XLOOKUP(Q132,PlayerWorking!$T$5:$T$31,PlayerWorking!$U$5:$U$31)), "")</f>
        <v/>
      </c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 cm="1">
        <f t="array" aca="1" ref="Q132" ca="1">MIN(IF(ISNA(MATCH(PlayerWorking!$T$5:OFFSET(PlayerWorking!$T$5,PlayerWorking!$O$5-1,0),Results!$Q$42:Q131,0)),PlayerWorking!$T$5:OFFSET(PlayerWorking!$T$5,PlayerWorking!$O$5-1,1)))</f>
        <v>0</v>
      </c>
      <c r="R132" s="170">
        <f t="shared" si="17"/>
        <v>0</v>
      </c>
      <c r="S132" s="141"/>
      <c r="T132" s="154">
        <f ca="1">IF(D132&gt;0,IFERROR(2*_xlfn.BINOM.INV(_xlfn.BINOM.INV(F132,G132,RAND()),H132,RAND())+ 3*_xlfn.BINOM.INV(_xlfn.BINOM.INV(F132,J132,RAND()),K132,RAND())+ _xlfn.BINOM.INV(_xlfn.BINOM.INV(F132,M132,RAND()),N132,RAND()),ROUND((F132/E132)*_xlfn.XLOOKUP(B132,PlayerStatsSeason!B123:B1116,PlayerStatsSeason!AD123:AD1116),0)),0)</f>
        <v>0</v>
      </c>
      <c r="U132" s="9"/>
    </row>
    <row r="133" spans="1:21" ht="15.75" x14ac:dyDescent="0.25">
      <c r="A133" s="146" t="s">
        <v>3159</v>
      </c>
      <c r="B133" s="141" t="str">
        <f ca="1">IFERROR(IF(_xlfn.XLOOKUP(Q133,PlayerWorking!$T$5:$T$31,PlayerWorking!$U$5:$U$31)=0, "", _xlfn.XLOOKUP(Q133,PlayerWorking!$T$5:$T$31,PlayerWorking!$U$5:$U$31)), "")</f>
        <v/>
      </c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 cm="1">
        <f t="array" aca="1" ref="Q133" ca="1">MIN(IF(ISNA(MATCH(PlayerWorking!$T$5:OFFSET(PlayerWorking!$T$5,PlayerWorking!$O$5-1,0),Results!$Q$42:Q132,0)),PlayerWorking!$T$5:OFFSET(PlayerWorking!$T$5,PlayerWorking!$O$5-1,1)))</f>
        <v>0</v>
      </c>
      <c r="R133" s="170">
        <f t="shared" si="17"/>
        <v>0</v>
      </c>
      <c r="S133" s="141"/>
      <c r="T133" s="154">
        <f ca="1">IF(D133&gt;0,IFERROR(2*_xlfn.BINOM.INV(_xlfn.BINOM.INV(F133,G133,RAND()),H133,RAND())+ 3*_xlfn.BINOM.INV(_xlfn.BINOM.INV(F133,J133,RAND()),K133,RAND())+ _xlfn.BINOM.INV(_xlfn.BINOM.INV(F133,M133,RAND()),N133,RAND()),ROUND((F133/E133)*_xlfn.XLOOKUP(B133,PlayerStatsSeason!B124:B1117,PlayerStatsSeason!AD124:AD1117),0)),0)</f>
        <v>0</v>
      </c>
      <c r="U133" s="9"/>
    </row>
    <row r="134" spans="1:21" ht="15.75" x14ac:dyDescent="0.25">
      <c r="A134" s="146" t="s">
        <v>3160</v>
      </c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 cm="1">
        <f t="array" aca="1" ref="Q134" ca="1">MIN(IF(ISNA(MATCH(PlayerWorking!$T$5:OFFSET(PlayerWorking!$T$5,PlayerWorking!$O$5-1,0),Results!$Q$42:Q133,0)),PlayerWorking!$T$5:OFFSET(PlayerWorking!$T$5,PlayerWorking!$O$5-1,1)))</f>
        <v>0</v>
      </c>
      <c r="R134" s="170">
        <f t="shared" si="17"/>
        <v>0</v>
      </c>
      <c r="S134" s="141"/>
      <c r="T134" s="154">
        <f ca="1">IF(D134&gt;0,IFERROR(2*_xlfn.BINOM.INV(_xlfn.BINOM.INV(F134,G134,RAND()),H134,RAND())+ 3*_xlfn.BINOM.INV(_xlfn.BINOM.INV(F134,J134,RAND()),K134,RAND())+ _xlfn.BINOM.INV(_xlfn.BINOM.INV(F134,M134,RAND()),N134,RAND()),ROUND((F134/E134)*_xlfn.XLOOKUP(B134,PlayerStatsSeason!B125:B1118,PlayerStatsSeason!AD125:AD1118),0)),0)</f>
        <v>0</v>
      </c>
      <c r="U134" s="9"/>
    </row>
    <row r="135" spans="1:21" ht="15.75" x14ac:dyDescent="0.25">
      <c r="A135" s="146" t="s">
        <v>3161</v>
      </c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 cm="1">
        <f t="array" aca="1" ref="Q135" ca="1">MIN(IF(ISNA(MATCH(PlayerWorking!$T$5:OFFSET(PlayerWorking!$T$5,PlayerWorking!$O$5-1,0),Results!$Q$42:Q134,0)),PlayerWorking!$T$5:OFFSET(PlayerWorking!$T$5,PlayerWorking!$O$5-1,1)))</f>
        <v>0</v>
      </c>
      <c r="R135" s="170">
        <f t="shared" si="17"/>
        <v>0</v>
      </c>
      <c r="S135" s="141"/>
      <c r="T135" s="154">
        <f ca="1">IF(D135&gt;0,IFERROR(2*_xlfn.BINOM.INV(_xlfn.BINOM.INV(F135,G135,RAND()),H135,RAND())+ 3*_xlfn.BINOM.INV(_xlfn.BINOM.INV(F135,J135,RAND()),K135,RAND())+ _xlfn.BINOM.INV(_xlfn.BINOM.INV(F135,M135,RAND()),N135,RAND()),ROUND((F135/E135)*_xlfn.XLOOKUP(B135,PlayerStatsSeason!B126:B1119,PlayerStatsSeason!AD126:AD1119),0)),0)</f>
        <v>0</v>
      </c>
      <c r="U135" s="9"/>
    </row>
    <row r="136" spans="1:21" ht="15.75" x14ac:dyDescent="0.25">
      <c r="A136" s="146" t="s">
        <v>3162</v>
      </c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 cm="1">
        <f t="array" aca="1" ref="Q136" ca="1">MIN(IF(ISNA(MATCH(PlayerWorking!$T$5:OFFSET(PlayerWorking!$T$5,PlayerWorking!$O$5-1,0),Results!$Q$42:Q135,0)),PlayerWorking!$T$5:OFFSET(PlayerWorking!$T$5,PlayerWorking!$O$5-1,1)))</f>
        <v>0</v>
      </c>
      <c r="R136" s="170">
        <f t="shared" si="17"/>
        <v>0</v>
      </c>
      <c r="S136" s="141"/>
      <c r="T136" s="154">
        <f ca="1">IF(D136&gt;0,IFERROR(2*_xlfn.BINOM.INV(_xlfn.BINOM.INV(F136,G136,RAND()),H136,RAND())+ 3*_xlfn.BINOM.INV(_xlfn.BINOM.INV(F136,J136,RAND()),K136,RAND())+ _xlfn.BINOM.INV(_xlfn.BINOM.INV(F136,M136,RAND()),N136,RAND()),ROUND((F136/E136)*_xlfn.XLOOKUP(B136,PlayerStatsSeason!B127:B1120,PlayerStatsSeason!AD127:AD1120),0)),0)</f>
        <v>0</v>
      </c>
      <c r="U136" s="9"/>
    </row>
    <row r="137" spans="1:21" ht="15.75" x14ac:dyDescent="0.25">
      <c r="A137" s="146" t="s">
        <v>3163</v>
      </c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 cm="1">
        <f t="array" aca="1" ref="Q137" ca="1">MIN(IF(ISNA(MATCH(PlayerWorking!$T$5:OFFSET(PlayerWorking!$T$5,PlayerWorking!$O$5-1,0),Results!$Q$42:Q136,0)),PlayerWorking!$T$5:OFFSET(PlayerWorking!$T$5,PlayerWorking!$O$5-1,1)))</f>
        <v>0</v>
      </c>
      <c r="R137" s="170">
        <f t="shared" si="17"/>
        <v>0</v>
      </c>
      <c r="S137" s="141"/>
      <c r="T137" s="154">
        <f ca="1">IF(D137&gt;0,IFERROR(2*_xlfn.BINOM.INV(_xlfn.BINOM.INV(F137,G137,RAND()),H137,RAND())+ 3*_xlfn.BINOM.INV(_xlfn.BINOM.INV(F137,J137,RAND()),K137,RAND())+ _xlfn.BINOM.INV(_xlfn.BINOM.INV(F137,M137,RAND()),N137,RAND()),ROUND((F137/E137)*_xlfn.XLOOKUP(B137,PlayerStatsSeason!B128:B1121,PlayerStatsSeason!AD128:AD1121),0)),0)</f>
        <v>0</v>
      </c>
      <c r="U137" s="9"/>
    </row>
    <row r="138" spans="1:21" ht="15.75" x14ac:dyDescent="0.25">
      <c r="A138" s="147" t="s">
        <v>3164</v>
      </c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 cm="1">
        <f t="array" aca="1" ref="Q138" ca="1">MIN(IF(ISNA(MATCH(PlayerWorking!$T$5:OFFSET(PlayerWorking!$T$5,PlayerWorking!$O$5-1,0),Results!$Q$42:Q137,0)),PlayerWorking!$T$5:OFFSET(PlayerWorking!$T$5,PlayerWorking!$O$5-1,1)))</f>
        <v>0</v>
      </c>
      <c r="R138" s="170">
        <f t="shared" si="17"/>
        <v>0</v>
      </c>
      <c r="S138" s="148"/>
      <c r="T138" s="155">
        <f ca="1">IF(D138&gt;0,IFERROR(2*_xlfn.BINOM.INV(_xlfn.BINOM.INV(F138,G138,RAND()),H138,RAND())+ 3*_xlfn.BINOM.INV(_xlfn.BINOM.INV(F138,J138,RAND()),K138,RAND())+ _xlfn.BINOM.INV(_xlfn.BINOM.INV(F138,M138,RAND()),N138,RAND()),ROUND((F138/E138)*_xlfn.XLOOKUP(B138,PlayerStatsSeason!B129:B1122,PlayerStatsSeason!AD129:AD1122),0)),0)</f>
        <v>0</v>
      </c>
      <c r="U138" s="9"/>
    </row>
    <row r="139" spans="1:21" x14ac:dyDescent="0.25">
      <c r="T139" s="9" t="e">
        <f ca="1">SUM(T114:T138)</f>
        <v>#NAME?</v>
      </c>
      <c r="U139" s="9"/>
    </row>
  </sheetData>
  <mergeCells count="16">
    <mergeCell ref="B81:T81"/>
    <mergeCell ref="B111:T111"/>
    <mergeCell ref="B74:D75"/>
    <mergeCell ref="E74:Q75"/>
    <mergeCell ref="R74:T75"/>
    <mergeCell ref="B77:D78"/>
    <mergeCell ref="E77:Q78"/>
    <mergeCell ref="R77:T78"/>
    <mergeCell ref="B2:D3"/>
    <mergeCell ref="B5:D6"/>
    <mergeCell ref="B9:T9"/>
    <mergeCell ref="B39:T39"/>
    <mergeCell ref="R5:T6"/>
    <mergeCell ref="E5:Q6"/>
    <mergeCell ref="R2:T3"/>
    <mergeCell ref="E2:Q3"/>
  </mergeCells>
  <phoneticPr fontId="13" type="noConversion"/>
  <conditionalFormatting sqref="V12:W36">
    <cfRule type="cellIs" dxfId="43" priority="7" operator="lessThan">
      <formula>0</formula>
    </cfRule>
    <cfRule type="cellIs" dxfId="42" priority="8" operator="greaterThan">
      <formula>0</formula>
    </cfRule>
  </conditionalFormatting>
  <conditionalFormatting sqref="V42:W52">
    <cfRule type="cellIs" dxfId="41" priority="5" operator="lessThan">
      <formula>0</formula>
    </cfRule>
    <cfRule type="cellIs" dxfId="40" priority="6" operator="greaterThan">
      <formula>0</formula>
    </cfRule>
  </conditionalFormatting>
  <conditionalFormatting sqref="V84:W108">
    <cfRule type="cellIs" dxfId="39" priority="3" operator="lessThan">
      <formula>0</formula>
    </cfRule>
    <cfRule type="cellIs" dxfId="38" priority="4" operator="greaterThan">
      <formula>0</formula>
    </cfRule>
  </conditionalFormatting>
  <conditionalFormatting sqref="V114:W124">
    <cfRule type="cellIs" dxfId="37" priority="1" operator="lessThan">
      <formula>0</formula>
    </cfRule>
    <cfRule type="cellIs" dxfId="36" priority="2" operator="greaterThan">
      <formula>0</formula>
    </cfRule>
  </conditionalFormatting>
  <dataValidations count="1">
    <dataValidation type="list" allowBlank="1" showInputMessage="1" showErrorMessage="1" sqref="E5 E2 E77 E74" xr:uid="{56CE6220-14CF-4C2F-83E8-50F81E2A178B}">
      <formula1>teams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6724-B039-4F0A-9CF1-FED52E3BBC5F}">
  <dimension ref="A1:W60"/>
  <sheetViews>
    <sheetView workbookViewId="0">
      <selection activeCell="A5" sqref="A5"/>
    </sheetView>
  </sheetViews>
  <sheetFormatPr defaultRowHeight="15" x14ac:dyDescent="0.25"/>
  <cols>
    <col min="1" max="1" width="23.140625" bestFit="1" customWidth="1"/>
    <col min="2" max="2" width="5.5703125" bestFit="1" customWidth="1"/>
    <col min="3" max="3" width="14.42578125" bestFit="1" customWidth="1"/>
    <col min="4" max="4" width="10.5703125" bestFit="1" customWidth="1"/>
    <col min="8" max="8" width="8.42578125" bestFit="1" customWidth="1"/>
    <col min="9" max="9" width="23.140625" bestFit="1" customWidth="1"/>
    <col min="10" max="10" width="5.140625" bestFit="1" customWidth="1"/>
    <col min="11" max="11" width="10.5703125" bestFit="1" customWidth="1"/>
    <col min="12" max="12" width="4.28515625" bestFit="1" customWidth="1"/>
    <col min="13" max="13" width="16.5703125" bestFit="1" customWidth="1"/>
    <col min="14" max="14" width="5.140625" bestFit="1" customWidth="1"/>
    <col min="15" max="15" width="14.42578125" bestFit="1" customWidth="1"/>
    <col min="17" max="17" width="5.42578125" bestFit="1" customWidth="1"/>
    <col min="19" max="19" width="13.42578125" bestFit="1" customWidth="1"/>
    <col min="20" max="20" width="6.85546875" bestFit="1" customWidth="1"/>
    <col min="21" max="21" width="24.140625" bestFit="1" customWidth="1"/>
    <col min="22" max="22" width="5.140625" bestFit="1" customWidth="1"/>
    <col min="23" max="23" width="10.5703125" bestFit="1" customWidth="1"/>
  </cols>
  <sheetData>
    <row r="1" spans="1:23" ht="15.75" thickBot="1" x14ac:dyDescent="0.3"/>
    <row r="2" spans="1:23" ht="45" customHeight="1" thickBot="1" x14ac:dyDescent="0.3">
      <c r="A2" s="218" t="str">
        <f>Results!E2</f>
        <v>New York Knicks</v>
      </c>
      <c r="B2" s="219"/>
      <c r="C2" s="219"/>
      <c r="D2" s="219"/>
      <c r="E2" s="219"/>
      <c r="F2" s="219"/>
      <c r="G2" s="219"/>
      <c r="H2" s="219"/>
      <c r="I2" s="219"/>
      <c r="J2" s="219"/>
      <c r="K2" s="220"/>
      <c r="M2" s="218" t="str">
        <f>Results!E5</f>
        <v>Boston Celtics</v>
      </c>
      <c r="N2" s="219"/>
      <c r="O2" s="219"/>
      <c r="P2" s="219"/>
      <c r="Q2" s="219"/>
      <c r="R2" s="219"/>
      <c r="S2" s="219"/>
      <c r="T2" s="219"/>
      <c r="U2" s="219"/>
      <c r="V2" s="219"/>
      <c r="W2" s="220"/>
    </row>
    <row r="4" spans="1:23" s="5" customFormat="1" ht="18.75" x14ac:dyDescent="0.3">
      <c r="A4" s="127" t="s">
        <v>171</v>
      </c>
      <c r="B4" s="127" t="s">
        <v>878</v>
      </c>
      <c r="C4" s="127" t="s">
        <v>3165</v>
      </c>
      <c r="D4" s="127" t="s">
        <v>400</v>
      </c>
      <c r="H4" s="127" t="s">
        <v>3142</v>
      </c>
      <c r="I4" s="127" t="s">
        <v>171</v>
      </c>
      <c r="J4" s="127" t="s">
        <v>878</v>
      </c>
      <c r="K4" s="127" t="s">
        <v>400</v>
      </c>
      <c r="M4" s="127" t="s">
        <v>171</v>
      </c>
      <c r="N4" s="127" t="s">
        <v>878</v>
      </c>
      <c r="O4" s="127" t="s">
        <v>3165</v>
      </c>
      <c r="P4" s="127" t="s">
        <v>400</v>
      </c>
      <c r="T4" s="127" t="s">
        <v>3142</v>
      </c>
      <c r="U4" s="127" t="s">
        <v>171</v>
      </c>
      <c r="V4" s="127" t="s">
        <v>878</v>
      </c>
      <c r="W4" s="127" t="s">
        <v>400</v>
      </c>
    </row>
    <row r="5" spans="1:23" x14ac:dyDescent="0.25">
      <c r="A5" t="str" cm="1">
        <f t="array" ref="A5">IFERROR(INDEX(PlayerStatsSeason!$B$3:$B$996,SMALL(IF(TRIM(TEXT(PlayerStatsSeason!$D$3:$D$996, "@")) = TRIM(TEXT(_xlfn.XLOOKUP(Results!$E$2, teams, TeamID), "@")),ROW(PlayerStatsSeason!$B$3:$B$996) - ROW(PlayerStatsSeason!$B$3) + 1),ROWS($A$1:A1))),"")</f>
        <v>Jalen Brunson</v>
      </c>
      <c r="B5" s="139">
        <f>IFERROR(VALUE(_xlfn.XLOOKUP(A5, PlayerStatsSeason!$B$3:$B$996, PlayerStatsSeason!$H$3:$H$996)), "")</f>
        <v>35.4</v>
      </c>
      <c r="C5">
        <f ca="1">COUNTIF(B5:B30, "&gt;=0")</f>
        <v>1</v>
      </c>
      <c r="D5" t="str">
        <f>IFERROR(_xlfn.XLOOKUP(A5,PlayerStatsSeason!$B$3:$B$996,PlayerStatsSeason!$E$3:$E$996),"")</f>
        <v>PG</v>
      </c>
      <c r="H5" t="e" cm="1">
        <f t="array" aca="1" ref="H5:H25" ca="1">_xlfn.SEQUENCE(C5)</f>
        <v>#NAME?</v>
      </c>
      <c r="I5" t="e" cm="1">
        <f t="array" aca="1" ref="I5:J25" ca="1">_xlfn._xlws.SORT(A5:OFFSET(A5,$C$5-1,1),{2},-1)</f>
        <v>#NAME?</v>
      </c>
      <c r="J5" t="e">
        <f ca="1"/>
        <v>#NAME?</v>
      </c>
      <c r="K5" t="e">
        <f ca="1">IF(_xlfn.XLOOKUP(I5, PlayerStatsSeason!$B$3:$B$996, PlayerStatsSeason!$E$3:$E$996)=0,"",_xlfn.XLOOKUP(I5, PlayerStatsSeason!$B$3:$B$996, PlayerStatsSeason!$E$3:$E$996))</f>
        <v>#NAME?</v>
      </c>
      <c r="M5" t="str" cm="1">
        <f t="array" aca="1" ref="M5" ca="1">IFERROR(INDEX(PlayerStatsSeason!$B$3:$B$996,SMALL(IF(TRIM(TEXT(PlayerStatsSeason!$D$3:$D$996, "@")) = TRIM(TEXT(_xlfn.XLOOKUP(Results!$E$5, teams, TeamID), "@")),ROW(PlayerStatsSeason!$B$3:$B$996) - ROW(PlayerStatsSeason!$B$3) + 1),ROWS($A$1:M1))),"")</f>
        <v/>
      </c>
      <c r="N5" s="139" t="str">
        <f ca="1">IFERROR(VALUE(_xlfn.XLOOKUP(M5, PlayerStatsSeason!$B$3:$B$996, PlayerStatsSeason!$H$3:$H$996)), "")</f>
        <v/>
      </c>
      <c r="O5">
        <f ca="1">COUNTIF(N5:N30, "&gt;=0")</f>
        <v>0</v>
      </c>
      <c r="P5" t="str">
        <f ca="1">IFERROR(_xlfn.XLOOKUP(M5,PlayerStatsSeason!$B$3:$B$996,PlayerStatsSeason!$E$3:$E$996),"")</f>
        <v/>
      </c>
      <c r="T5" t="e" cm="1">
        <f t="array" aca="1" ref="T5:T22" ca="1">_xlfn.SEQUENCE(O5)</f>
        <v>#NAME?</v>
      </c>
      <c r="U5" t="e" cm="1">
        <f t="array" aca="1" ref="U5:V22" ca="1">_xlfn._xlws.SORT(M5:OFFSET(M5,$O$5-1,1),{2},-1)</f>
        <v>#NAME?</v>
      </c>
      <c r="V5" t="e">
        <f ca="1"/>
        <v>#NAME?</v>
      </c>
      <c r="W5" t="e">
        <f ca="1">IF(_xlfn.XLOOKUP(U5, PlayerStatsSeason!$B$3:$B$996, PlayerStatsSeason!$E$3:$E$996)=0,"",_xlfn.XLOOKUP(U5, PlayerStatsSeason!$B$3:$B$996, PlayerStatsSeason!$E$3:$E$996))</f>
        <v>#NAME?</v>
      </c>
    </row>
    <row r="6" spans="1:23" x14ac:dyDescent="0.25">
      <c r="A6" t="str" cm="1">
        <f t="array" aca="1" ref="A6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ROWS($A$1:A2)
    )
  ),
  ""
)</f>
        <v/>
      </c>
      <c r="B6" s="139" t="str">
        <f ca="1">IFERROR(VALUE(_xlfn.XLOOKUP(A6, PlayerStatsSeason!$B$3:$B$996, PlayerStatsSeason!$H$3:$H$996)), "")</f>
        <v/>
      </c>
      <c r="D6" t="str">
        <f ca="1">IFERROR(_xlfn.XLOOKUP(A6,PlayerStatsSeason!$B$3:$B$996,PlayerStatsSeason!$E$3:$E$996),"")</f>
        <v/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>IF(_xlfn.XLOOKUP(I6, PlayerStatsSeason!$B$3:$B$996, PlayerStatsSeason!$E$3:$E$996)=0,"",_xlfn.XLOOKUP(I6, PlayerStatsSeason!$B$3:$B$996, PlayerStatsSeason!$E$3:$E$996))</f>
        <v>#NAME?</v>
      </c>
      <c r="M6" t="str" cm="1">
        <f t="array" aca="1" ref="M6" ca="1">IFERROR(INDEX(PlayerStatsSeason!$B$3:$B$996,SMALL(IF(TRIM(TEXT(PlayerStatsSeason!$D$3:$D$996, "@")) = TRIM(TEXT(_xlfn.XLOOKUP(Results!$E$5, teams, TeamID), "@")),ROW(PlayerStatsSeason!$B$3:$B$996) - ROW(PlayerStatsSeason!$B$3) + 1),ROWS($A$1:M2))),"")</f>
        <v/>
      </c>
      <c r="N6" s="139" t="str">
        <f ca="1">IFERROR(VALUE(_xlfn.XLOOKUP(M6, PlayerStatsSeason!$B$3:$B$996, PlayerStatsSeason!$H$3:$H$996)), "")</f>
        <v/>
      </c>
      <c r="P6" t="str">
        <f ca="1">IFERROR(_xlfn.XLOOKUP(M6,PlayerStatsSeason!$B$3:$B$996,PlayerStatsSeason!$E$3:$E$996),"")</f>
        <v/>
      </c>
      <c r="T6" t="e">
        <f ca="1"/>
        <v>#NAME?</v>
      </c>
      <c r="U6" t="e">
        <f ca="1"/>
        <v>#NAME?</v>
      </c>
      <c r="V6" t="e">
        <f ca="1"/>
        <v>#NAME?</v>
      </c>
      <c r="W6" t="e">
        <f ca="1">IF(_xlfn.XLOOKUP(U6, PlayerStatsSeason!$B$3:$B$996, PlayerStatsSeason!$E$3:$E$996)=0,"",_xlfn.XLOOKUP(U6, PlayerStatsSeason!$B$3:$B$996, PlayerStatsSeason!$E$3:$E$996))</f>
        <v>#NAME?</v>
      </c>
    </row>
    <row r="7" spans="1:23" x14ac:dyDescent="0.25">
      <c r="A7" t="str" cm="1">
        <f t="array" aca="1" ref="A7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ROWS($A$1:A3)
    )
  ),
  ""
)</f>
        <v/>
      </c>
      <c r="B7" s="139" t="str">
        <f ca="1">IFERROR(VALUE(_xlfn.XLOOKUP(A7, PlayerStatsSeason!$B$3:$B$996, PlayerStatsSeason!$H$3:$H$996)), "")</f>
        <v/>
      </c>
      <c r="D7" t="str">
        <f ca="1">IFERROR(_xlfn.XLOOKUP(A7,PlayerStatsSeason!$B$3:$B$996,PlayerStatsSeason!$E$3:$E$996),"")</f>
        <v/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>IF(_xlfn.XLOOKUP(I7, PlayerStatsSeason!$B$3:$B$996, PlayerStatsSeason!$E$3:$E$996)=0,"",_xlfn.XLOOKUP(I7, PlayerStatsSeason!$B$3:$B$996, PlayerStatsSeason!$E$3:$E$996))</f>
        <v>#NAME?</v>
      </c>
      <c r="M7" t="str" cm="1">
        <f t="array" aca="1" ref="M7" ca="1">IFERROR(INDEX(PlayerStatsSeason!$B$3:$B$996,SMALL(IF(TRIM(TEXT(PlayerStatsSeason!$D$3:$D$996, "@")) = TRIM(TEXT(_xlfn.XLOOKUP(Results!$E$5, teams, TeamID), "@")),ROW(PlayerStatsSeason!$B$3:$B$996) - ROW(PlayerStatsSeason!$B$3) + 1),ROWS($A$1:M3))),"")</f>
        <v/>
      </c>
      <c r="N7" s="139" t="str">
        <f ca="1">IFERROR(VALUE(_xlfn.XLOOKUP(M7, PlayerStatsSeason!$B$3:$B$996, PlayerStatsSeason!$H$3:$H$996)), "")</f>
        <v/>
      </c>
      <c r="P7" t="str">
        <f ca="1">IFERROR(_xlfn.XLOOKUP(M7,PlayerStatsSeason!$B$3:$B$996,PlayerStatsSeason!$E$3:$E$996),"")</f>
        <v/>
      </c>
      <c r="T7" t="e">
        <f ca="1"/>
        <v>#NAME?</v>
      </c>
      <c r="U7" t="e">
        <f ca="1"/>
        <v>#NAME?</v>
      </c>
      <c r="V7" t="e">
        <f ca="1"/>
        <v>#NAME?</v>
      </c>
      <c r="W7" t="e">
        <f ca="1">IF(_xlfn.XLOOKUP(U7, PlayerStatsSeason!$B$3:$B$996, PlayerStatsSeason!$E$3:$E$996)=0,"",_xlfn.XLOOKUP(U7, PlayerStatsSeason!$B$3:$B$996, PlayerStatsSeason!$E$3:$E$996))</f>
        <v>#NAME?</v>
      </c>
    </row>
    <row r="8" spans="1:23" x14ac:dyDescent="0.25">
      <c r="A8" t="str" cm="1">
        <f t="array" aca="1" ref="A8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ROWS($A$1:A4)
    )
  ),
  ""
)</f>
        <v/>
      </c>
      <c r="B8" s="139" t="str">
        <f ca="1">IFERROR(VALUE(_xlfn.XLOOKUP(A8, PlayerStatsSeason!$B$3:$B$996, PlayerStatsSeason!$H$3:$H$996)), "")</f>
        <v/>
      </c>
      <c r="C8" t="s">
        <v>3166</v>
      </c>
      <c r="D8" t="str">
        <f ca="1">IFERROR(_xlfn.XLOOKUP(A8,PlayerStatsSeason!$B$3:$B$996,PlayerStatsSeason!$E$3:$E$996),"")</f>
        <v/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>IF(_xlfn.XLOOKUP(I8, PlayerStatsSeason!$B$3:$B$996, PlayerStatsSeason!$E$3:$E$996)=0,"",_xlfn.XLOOKUP(I8, PlayerStatsSeason!$B$3:$B$996, PlayerStatsSeason!$E$3:$E$996))</f>
        <v>#NAME?</v>
      </c>
      <c r="M8" t="str" cm="1">
        <f t="array" aca="1" ref="M8" ca="1">IFERROR(INDEX(PlayerStatsSeason!$B$3:$B$996,SMALL(IF(TRIM(TEXT(PlayerStatsSeason!$D$3:$D$996, "@")) = TRIM(TEXT(_xlfn.XLOOKUP(Results!$E$5, teams, TeamID), "@")),ROW(PlayerStatsSeason!$B$3:$B$996) - ROW(PlayerStatsSeason!$B$3) + 1),ROWS($A$1:M4))),"")</f>
        <v/>
      </c>
      <c r="N8" s="139" t="str">
        <f ca="1">IFERROR(VALUE(_xlfn.XLOOKUP(M8, PlayerStatsSeason!$B$3:$B$996, PlayerStatsSeason!$H$3:$H$996)), "")</f>
        <v/>
      </c>
      <c r="O8" t="s">
        <v>3166</v>
      </c>
      <c r="P8" t="str">
        <f ca="1">IFERROR(_xlfn.XLOOKUP(M8,PlayerStatsSeason!$B$3:$B$996,PlayerStatsSeason!$E$3:$E$996),"")</f>
        <v/>
      </c>
      <c r="T8" t="e">
        <f ca="1"/>
        <v>#NAME?</v>
      </c>
      <c r="U8" t="e">
        <f ca="1"/>
        <v>#NAME?</v>
      </c>
      <c r="V8" t="e">
        <f ca="1"/>
        <v>#NAME?</v>
      </c>
      <c r="W8" t="e">
        <f ca="1">IF(_xlfn.XLOOKUP(U8, PlayerStatsSeason!$B$3:$B$996, PlayerStatsSeason!$E$3:$E$996)=0,"",_xlfn.XLOOKUP(U8, PlayerStatsSeason!$B$3:$B$996, PlayerStatsSeason!$E$3:$E$996))</f>
        <v>#NAME?</v>
      </c>
    </row>
    <row r="9" spans="1:23" x14ac:dyDescent="0.25">
      <c r="A9" t="str" cm="1">
        <f t="array" aca="1" ref="A9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ROWS($A$1:A5)
    )
  ),
  ""
)</f>
        <v/>
      </c>
      <c r="B9" s="139" t="str">
        <f ca="1">IFERROR(VALUE(_xlfn.XLOOKUP(A9, PlayerStatsSeason!$B$3:$B$996, PlayerStatsSeason!$H$3:$H$996)), "")</f>
        <v/>
      </c>
      <c r="D9" t="str">
        <f ca="1">IFERROR(_xlfn.XLOOKUP(A9,PlayerStatsSeason!$B$3:$B$996,PlayerStatsSeason!$E$3:$E$996),"")</f>
        <v/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>IF(_xlfn.XLOOKUP(I9, PlayerStatsSeason!$B$3:$B$996, PlayerStatsSeason!$E$3:$E$996)=0,"",_xlfn.XLOOKUP(I9, PlayerStatsSeason!$B$3:$B$996, PlayerStatsSeason!$E$3:$E$996))</f>
        <v>#NAME?</v>
      </c>
      <c r="M9" t="str" cm="1">
        <f t="array" aca="1" ref="M9" ca="1">IFERROR(INDEX(PlayerStatsSeason!$B$3:$B$996,SMALL(IF(TRIM(TEXT(PlayerStatsSeason!$D$3:$D$996, "@")) = TRIM(TEXT(_xlfn.XLOOKUP(Results!$E$5, teams, TeamID), "@")),ROW(PlayerStatsSeason!$B$3:$B$996) - ROW(PlayerStatsSeason!$B$3) + 1),ROWS($A$1:M5))),"")</f>
        <v/>
      </c>
      <c r="N9" s="139" t="str">
        <f ca="1">IFERROR(VALUE(_xlfn.XLOOKUP(M9, PlayerStatsSeason!$B$3:$B$996, PlayerStatsSeason!$H$3:$H$996)), "")</f>
        <v/>
      </c>
      <c r="P9" t="str">
        <f ca="1">IFERROR(_xlfn.XLOOKUP(M9,PlayerStatsSeason!$B$3:$B$996,PlayerStatsSeason!$E$3:$E$996),"")</f>
        <v/>
      </c>
      <c r="T9" t="e">
        <f ca="1"/>
        <v>#NAME?</v>
      </c>
      <c r="U9" t="e">
        <f ca="1"/>
        <v>#NAME?</v>
      </c>
      <c r="V9" t="e">
        <f ca="1"/>
        <v>#NAME?</v>
      </c>
      <c r="W9" t="e">
        <f ca="1">IF(_xlfn.XLOOKUP(U9, PlayerStatsSeason!$B$3:$B$996, PlayerStatsSeason!$E$3:$E$996)=0,"",_xlfn.XLOOKUP(U9, PlayerStatsSeason!$B$3:$B$996, PlayerStatsSeason!$E$3:$E$996))</f>
        <v>#NAME?</v>
      </c>
    </row>
    <row r="10" spans="1:23" x14ac:dyDescent="0.25">
      <c r="A10" t="str" cm="1">
        <f t="array" aca="1" ref="A10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ROWS($A$1:A6)
    )
  ),
  ""
)</f>
        <v/>
      </c>
      <c r="B10" s="139" t="str">
        <f ca="1">IFERROR(VALUE(_xlfn.XLOOKUP(A10, PlayerStatsSeason!$B$3:$B$996, PlayerStatsSeason!$H$3:$H$996)), "")</f>
        <v/>
      </c>
      <c r="D10" t="str">
        <f ca="1">IFERROR(_xlfn.XLOOKUP(A10,PlayerStatsSeason!$B$3:$B$996,PlayerStatsSeason!$E$3:$E$996),"")</f>
        <v/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>IF(_xlfn.XLOOKUP(I10, PlayerStatsSeason!$B$3:$B$996, PlayerStatsSeason!$E$3:$E$996)=0,"",_xlfn.XLOOKUP(I10, PlayerStatsSeason!$B$3:$B$996, PlayerStatsSeason!$E$3:$E$996))</f>
        <v>#NAME?</v>
      </c>
      <c r="M10" t="str" cm="1">
        <f t="array" aca="1" ref="M10" ca="1">IFERROR(INDEX(PlayerStatsSeason!$B$3:$B$996,SMALL(IF(TRIM(TEXT(PlayerStatsSeason!$D$3:$D$996, "@")) = TRIM(TEXT(_xlfn.XLOOKUP(Results!$E$5, teams, TeamID), "@")),ROW(PlayerStatsSeason!$B$3:$B$996) - ROW(PlayerStatsSeason!$B$3) + 1),ROWS($A$1:M6))),"")</f>
        <v/>
      </c>
      <c r="N10" s="139" t="str">
        <f ca="1">IFERROR(VALUE(_xlfn.XLOOKUP(M10, PlayerStatsSeason!$B$3:$B$996, PlayerStatsSeason!$H$3:$H$996)), "")</f>
        <v/>
      </c>
      <c r="P10" t="str">
        <f ca="1">IFERROR(_xlfn.XLOOKUP(M10,PlayerStatsSeason!$B$3:$B$996,PlayerStatsSeason!$E$3:$E$996),"")</f>
        <v/>
      </c>
      <c r="T10" t="e">
        <f ca="1"/>
        <v>#NAME?</v>
      </c>
      <c r="U10" t="e">
        <f ca="1"/>
        <v>#NAME?</v>
      </c>
      <c r="V10" t="e">
        <f ca="1"/>
        <v>#NAME?</v>
      </c>
      <c r="W10" t="e">
        <f ca="1">IF(_xlfn.XLOOKUP(U10, PlayerStatsSeason!$B$3:$B$996, PlayerStatsSeason!$E$3:$E$996)=0,"",_xlfn.XLOOKUP(U10, PlayerStatsSeason!$B$3:$B$996, PlayerStatsSeason!$E$3:$E$996))</f>
        <v>#NAME?</v>
      </c>
    </row>
    <row r="11" spans="1:23" x14ac:dyDescent="0.25">
      <c r="A11" t="str" cm="1">
        <f t="array" aca="1" ref="A11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ROWS($A$1:A7)
    )
  ),
  ""
)</f>
        <v/>
      </c>
      <c r="B11" s="139" t="str">
        <f ca="1">IFERROR(VALUE(_xlfn.XLOOKUP(A11, PlayerStatsSeason!$B$3:$B$996, PlayerStatsSeason!$H$3:$H$996)), "")</f>
        <v/>
      </c>
      <c r="D11" t="str">
        <f ca="1">IFERROR(_xlfn.XLOOKUP(A11,PlayerStatsSeason!$B$3:$B$996,PlayerStatsSeason!$E$3:$E$996),"")</f>
        <v/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>IF(_xlfn.XLOOKUP(I11, PlayerStatsSeason!$B$3:$B$996, PlayerStatsSeason!$E$3:$E$996)=0,"",_xlfn.XLOOKUP(I11, PlayerStatsSeason!$B$3:$B$996, PlayerStatsSeason!$E$3:$E$996))</f>
        <v>#NAME?</v>
      </c>
      <c r="M11" t="str" cm="1">
        <f t="array" aca="1" ref="M11" ca="1">IFERROR(INDEX(PlayerStatsSeason!$B$3:$B$996,SMALL(IF(TRIM(TEXT(PlayerStatsSeason!$D$3:$D$996, "@")) = TRIM(TEXT(_xlfn.XLOOKUP(Results!$E$5, teams, TeamID), "@")),ROW(PlayerStatsSeason!$B$3:$B$996) - ROW(PlayerStatsSeason!$B$3) + 1),ROWS($A$1:M7))),"")</f>
        <v/>
      </c>
      <c r="N11" s="139" t="str">
        <f ca="1">IFERROR(VALUE(_xlfn.XLOOKUP(M11, PlayerStatsSeason!$B$3:$B$996, PlayerStatsSeason!$H$3:$H$996)), "")</f>
        <v/>
      </c>
      <c r="P11" t="str">
        <f ca="1">IFERROR(_xlfn.XLOOKUP(M11,PlayerStatsSeason!$B$3:$B$996,PlayerStatsSeason!$E$3:$E$996),"")</f>
        <v/>
      </c>
      <c r="T11" t="e">
        <f ca="1"/>
        <v>#NAME?</v>
      </c>
      <c r="U11" t="e">
        <f ca="1"/>
        <v>#NAME?</v>
      </c>
      <c r="V11" t="e">
        <f ca="1"/>
        <v>#NAME?</v>
      </c>
      <c r="W11" t="e">
        <f ca="1">IF(_xlfn.XLOOKUP(U11, PlayerStatsSeason!$B$3:$B$996, PlayerStatsSeason!$E$3:$E$996)=0,"",_xlfn.XLOOKUP(U11, PlayerStatsSeason!$B$3:$B$996, PlayerStatsSeason!$E$3:$E$996))</f>
        <v>#NAME?</v>
      </c>
    </row>
    <row r="12" spans="1:23" x14ac:dyDescent="0.25">
      <c r="A12" t="str" cm="1">
        <f t="array" aca="1" ref="A12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ROWS($A$1:A8)
    )
  ),
  ""
)</f>
        <v/>
      </c>
      <c r="B12" s="139" t="str">
        <f ca="1">IFERROR(VALUE(_xlfn.XLOOKUP(A12, PlayerStatsSeason!$B$3:$B$996, PlayerStatsSeason!$H$3:$H$996)), "")</f>
        <v/>
      </c>
      <c r="D12" t="str">
        <f ca="1">IFERROR(_xlfn.XLOOKUP(A12,PlayerStatsSeason!$B$3:$B$996,PlayerStatsSeason!$E$3:$E$996),"")</f>
        <v/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>IF(_xlfn.XLOOKUP(I12, PlayerStatsSeason!$B$3:$B$996, PlayerStatsSeason!$E$3:$E$996)=0,"",_xlfn.XLOOKUP(I12, PlayerStatsSeason!$B$3:$B$996, PlayerStatsSeason!$E$3:$E$996))</f>
        <v>#NAME?</v>
      </c>
      <c r="M12" t="str" cm="1">
        <f t="array" aca="1" ref="M12" ca="1">IFERROR(INDEX(PlayerStatsSeason!$B$3:$B$996,SMALL(IF(TRIM(TEXT(PlayerStatsSeason!$D$3:$D$996, "@")) = TRIM(TEXT(_xlfn.XLOOKUP(Results!$E$5, teams, TeamID), "@")),ROW(PlayerStatsSeason!$B$3:$B$996) - ROW(PlayerStatsSeason!$B$3) + 1),ROWS($A$1:M8))),"")</f>
        <v/>
      </c>
      <c r="N12" s="139" t="str">
        <f ca="1">IFERROR(VALUE(_xlfn.XLOOKUP(M12, PlayerStatsSeason!$B$3:$B$996, PlayerStatsSeason!$H$3:$H$996)), "")</f>
        <v/>
      </c>
      <c r="P12" t="str">
        <f ca="1">IFERROR(_xlfn.XLOOKUP(M12,PlayerStatsSeason!$B$3:$B$996,PlayerStatsSeason!$E$3:$E$996),"")</f>
        <v/>
      </c>
      <c r="T12" t="e">
        <f ca="1"/>
        <v>#NAME?</v>
      </c>
      <c r="U12" t="e">
        <f ca="1"/>
        <v>#NAME?</v>
      </c>
      <c r="V12" t="e">
        <f ca="1"/>
        <v>#NAME?</v>
      </c>
      <c r="W12" t="e">
        <f ca="1">IF(_xlfn.XLOOKUP(U12, PlayerStatsSeason!$B$3:$B$996, PlayerStatsSeason!$E$3:$E$996)=0,"",_xlfn.XLOOKUP(U12, PlayerStatsSeason!$B$3:$B$996, PlayerStatsSeason!$E$3:$E$996))</f>
        <v>#NAME?</v>
      </c>
    </row>
    <row r="13" spans="1:23" x14ac:dyDescent="0.25">
      <c r="A13" t="str" cm="1">
        <f t="array" aca="1" ref="A13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ROWS($A$1:A9)
    )
  ),
  ""
)</f>
        <v/>
      </c>
      <c r="B13" s="139" t="str">
        <f ca="1">IFERROR(VALUE(_xlfn.XLOOKUP(A13, PlayerStatsSeason!$B$3:$B$996, PlayerStatsSeason!$H$3:$H$996)), "")</f>
        <v/>
      </c>
      <c r="D13" t="str">
        <f ca="1">IFERROR(_xlfn.XLOOKUP(A13,PlayerStatsSeason!$B$3:$B$996,PlayerStatsSeason!$E$3:$E$996),"")</f>
        <v/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>IF(_xlfn.XLOOKUP(I13, PlayerStatsSeason!$B$3:$B$996, PlayerStatsSeason!$E$3:$E$996)=0,"",_xlfn.XLOOKUP(I13, PlayerStatsSeason!$B$3:$B$996, PlayerStatsSeason!$E$3:$E$996))</f>
        <v>#NAME?</v>
      </c>
      <c r="M13" t="str" cm="1">
        <f t="array" aca="1" ref="M13" ca="1">IFERROR(INDEX(PlayerStatsSeason!$B$3:$B$996,SMALL(IF(TRIM(TEXT(PlayerStatsSeason!$D$3:$D$996, "@")) = TRIM(TEXT(_xlfn.XLOOKUP(Results!$E$5, teams, TeamID), "@")),ROW(PlayerStatsSeason!$B$3:$B$996) - ROW(PlayerStatsSeason!$B$3) + 1),ROWS($A$1:M9))),"")</f>
        <v/>
      </c>
      <c r="N13" s="139" t="str">
        <f ca="1">IFERROR(VALUE(_xlfn.XLOOKUP(M13, PlayerStatsSeason!$B$3:$B$996, PlayerStatsSeason!$H$3:$H$996)), "")</f>
        <v/>
      </c>
      <c r="P13" t="str">
        <f ca="1">IFERROR(_xlfn.XLOOKUP(M13,PlayerStatsSeason!$B$3:$B$996,PlayerStatsSeason!$E$3:$E$996),"")</f>
        <v/>
      </c>
      <c r="T13" t="e">
        <f ca="1"/>
        <v>#NAME?</v>
      </c>
      <c r="U13" t="e">
        <f ca="1"/>
        <v>#NAME?</v>
      </c>
      <c r="V13" t="e">
        <f ca="1"/>
        <v>#NAME?</v>
      </c>
      <c r="W13" t="e">
        <f ca="1">IF(_xlfn.XLOOKUP(U13, PlayerStatsSeason!$B$3:$B$996, PlayerStatsSeason!$E$3:$E$996)=0,"",_xlfn.XLOOKUP(U13, PlayerStatsSeason!$B$3:$B$996, PlayerStatsSeason!$E$3:$E$996))</f>
        <v>#NAME?</v>
      </c>
    </row>
    <row r="14" spans="1:23" x14ac:dyDescent="0.25">
      <c r="A14" t="str" cm="1">
        <f t="array" aca="1" ref="A14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ROWS($A$1:A10)
    )
  ),
  ""
)</f>
        <v/>
      </c>
      <c r="B14" s="139" t="str">
        <f ca="1">IFERROR(VALUE(_xlfn.XLOOKUP(A14, PlayerStatsSeason!$B$3:$B$996, PlayerStatsSeason!$H$3:$H$996)), "")</f>
        <v/>
      </c>
      <c r="D14" t="str">
        <f ca="1">IFERROR(_xlfn.XLOOKUP(A14,PlayerStatsSeason!$B$3:$B$996,PlayerStatsSeason!$E$3:$E$996),"")</f>
        <v/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>IF(_xlfn.XLOOKUP(I14, PlayerStatsSeason!$B$3:$B$996, PlayerStatsSeason!$E$3:$E$996)=0,"",_xlfn.XLOOKUP(I14, PlayerStatsSeason!$B$3:$B$996, PlayerStatsSeason!$E$3:$E$996))</f>
        <v>#NAME?</v>
      </c>
      <c r="M14" t="str" cm="1">
        <f t="array" aca="1" ref="M14" ca="1">IFERROR(INDEX(PlayerStatsSeason!$B$3:$B$996,SMALL(IF(TRIM(TEXT(PlayerStatsSeason!$D$3:$D$996, "@")) = TRIM(TEXT(_xlfn.XLOOKUP(Results!$E$5, teams, TeamID), "@")),ROW(PlayerStatsSeason!$B$3:$B$996) - ROW(PlayerStatsSeason!$B$3) + 1),ROWS($A$1:M10))),"")</f>
        <v/>
      </c>
      <c r="N14" s="139" t="str">
        <f ca="1">IFERROR(VALUE(_xlfn.XLOOKUP(M14, PlayerStatsSeason!$B$3:$B$996, PlayerStatsSeason!$H$3:$H$996)), "")</f>
        <v/>
      </c>
      <c r="P14" t="str">
        <f ca="1">IFERROR(_xlfn.XLOOKUP(M14,PlayerStatsSeason!$B$3:$B$996,PlayerStatsSeason!$E$3:$E$996),"")</f>
        <v/>
      </c>
      <c r="T14" t="e">
        <f ca="1"/>
        <v>#NAME?</v>
      </c>
      <c r="U14" t="e">
        <f ca="1"/>
        <v>#NAME?</v>
      </c>
      <c r="V14" t="e">
        <f ca="1"/>
        <v>#NAME?</v>
      </c>
      <c r="W14" t="e">
        <f ca="1">IF(_xlfn.XLOOKUP(U14, PlayerStatsSeason!$B$3:$B$996, PlayerStatsSeason!$E$3:$E$996)=0,"",_xlfn.XLOOKUP(U14, PlayerStatsSeason!$B$3:$B$996, PlayerStatsSeason!$E$3:$E$996))</f>
        <v>#NAME?</v>
      </c>
    </row>
    <row r="15" spans="1:23" x14ac:dyDescent="0.25">
      <c r="A15" t="str" cm="1">
        <f t="array" aca="1" ref="A15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ROWS($A$1:A11)
    )
  ),
  ""
)</f>
        <v/>
      </c>
      <c r="B15" s="139" t="str">
        <f ca="1">IFERROR(VALUE(_xlfn.XLOOKUP(A15, PlayerStatsSeason!$B$3:$B$996, PlayerStatsSeason!$H$3:$H$996)), "")</f>
        <v/>
      </c>
      <c r="D15" t="str">
        <f ca="1">IFERROR(_xlfn.XLOOKUP(A15,PlayerStatsSeason!$B$3:$B$996,PlayerStatsSeason!$E$3:$E$996),"")</f>
        <v/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>IF(_xlfn.XLOOKUP(I15, PlayerStatsSeason!$B$3:$B$996, PlayerStatsSeason!$E$3:$E$996)=0,"",_xlfn.XLOOKUP(I15, PlayerStatsSeason!$B$3:$B$996, PlayerStatsSeason!$E$3:$E$996))</f>
        <v>#NAME?</v>
      </c>
      <c r="M15" t="str" cm="1">
        <f t="array" aca="1" ref="M15" ca="1">IFERROR(INDEX(PlayerStatsSeason!$B$3:$B$996,SMALL(IF(TRIM(TEXT(PlayerStatsSeason!$D$3:$D$996, "@")) = TRIM(TEXT(_xlfn.XLOOKUP(Results!$E$5, teams, TeamID), "@")),ROW(PlayerStatsSeason!$B$3:$B$996) - ROW(PlayerStatsSeason!$B$3) + 1),ROWS($A$1:M11))),"")</f>
        <v/>
      </c>
      <c r="N15" s="139" t="str">
        <f ca="1">IFERROR(VALUE(_xlfn.XLOOKUP(M15, PlayerStatsSeason!$B$3:$B$996, PlayerStatsSeason!$H$3:$H$996)), "")</f>
        <v/>
      </c>
      <c r="P15" t="str">
        <f ca="1">IFERROR(_xlfn.XLOOKUP(M15,PlayerStatsSeason!$B$3:$B$996,PlayerStatsSeason!$E$3:$E$996),"")</f>
        <v/>
      </c>
      <c r="T15" t="e">
        <f ca="1"/>
        <v>#NAME?</v>
      </c>
      <c r="U15" t="e">
        <f ca="1"/>
        <v>#NAME?</v>
      </c>
      <c r="V15" t="e">
        <f ca="1"/>
        <v>#NAME?</v>
      </c>
      <c r="W15" t="e">
        <f ca="1">IF(_xlfn.XLOOKUP(U15, PlayerStatsSeason!$B$3:$B$996, PlayerStatsSeason!$E$3:$E$996)=0,"",_xlfn.XLOOKUP(U15, PlayerStatsSeason!$B$3:$B$996, PlayerStatsSeason!$E$3:$E$996))</f>
        <v>#NAME?</v>
      </c>
    </row>
    <row r="16" spans="1:23" x14ac:dyDescent="0.25">
      <c r="A16" t="str" cm="1">
        <f t="array" aca="1" ref="A16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ROWS($A$1:A12)
    )
  ),
  ""
)</f>
        <v/>
      </c>
      <c r="B16" s="139" t="str">
        <f ca="1">IFERROR(VALUE(_xlfn.XLOOKUP(A16, PlayerStatsSeason!$B$3:$B$996, PlayerStatsSeason!$H$3:$H$996)), "")</f>
        <v/>
      </c>
      <c r="D16" t="str">
        <f ca="1">IFERROR(_xlfn.XLOOKUP(A16,PlayerStatsSeason!$B$3:$B$996,PlayerStatsSeason!$E$3:$E$996),"")</f>
        <v/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>IF(_xlfn.XLOOKUP(I16, PlayerStatsSeason!$B$3:$B$996, PlayerStatsSeason!$E$3:$E$996)=0,"",_xlfn.XLOOKUP(I16, PlayerStatsSeason!$B$3:$B$996, PlayerStatsSeason!$E$3:$E$996))</f>
        <v>#NAME?</v>
      </c>
      <c r="M16" t="str" cm="1">
        <f t="array" aca="1" ref="M16" ca="1">IFERROR(INDEX(PlayerStatsSeason!$B$3:$B$996,SMALL(IF(TRIM(TEXT(PlayerStatsSeason!$D$3:$D$996, "@")) = TRIM(TEXT(_xlfn.XLOOKUP(Results!$E$5, teams, TeamID), "@")),ROW(PlayerStatsSeason!$B$3:$B$996) - ROW(PlayerStatsSeason!$B$3) + 1),ROWS($A$1:M12))),"")</f>
        <v/>
      </c>
      <c r="N16" s="139" t="str">
        <f ca="1">IFERROR(VALUE(_xlfn.XLOOKUP(M16, PlayerStatsSeason!$B$3:$B$996, PlayerStatsSeason!$H$3:$H$996)), "")</f>
        <v/>
      </c>
      <c r="P16" t="str">
        <f ca="1">IFERROR(_xlfn.XLOOKUP(M16,PlayerStatsSeason!$B$3:$B$996,PlayerStatsSeason!$E$3:$E$996),"")</f>
        <v/>
      </c>
      <c r="T16" t="e">
        <f ca="1"/>
        <v>#NAME?</v>
      </c>
      <c r="U16" t="e">
        <f ca="1"/>
        <v>#NAME?</v>
      </c>
      <c r="V16" t="e">
        <f ca="1"/>
        <v>#NAME?</v>
      </c>
      <c r="W16" t="e">
        <f ca="1">IF(_xlfn.XLOOKUP(U16, PlayerStatsSeason!$B$3:$B$996, PlayerStatsSeason!$E$3:$E$996)=0,"",_xlfn.XLOOKUP(U16, PlayerStatsSeason!$B$3:$B$996, PlayerStatsSeason!$E$3:$E$996))</f>
        <v>#NAME?</v>
      </c>
    </row>
    <row r="17" spans="1:23" x14ac:dyDescent="0.25">
      <c r="A17" t="str" cm="1">
        <f t="array" aca="1" ref="A17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ROWS($A$1:A13)
    )
  ),
  ""
)</f>
        <v/>
      </c>
      <c r="B17" s="139" t="str">
        <f ca="1">IFERROR(VALUE(_xlfn.XLOOKUP(A17, PlayerStatsSeason!$B$3:$B$996, PlayerStatsSeason!$H$3:$H$996)), "")</f>
        <v/>
      </c>
      <c r="D17" t="str">
        <f ca="1">IFERROR(_xlfn.XLOOKUP(A17,PlayerStatsSeason!$B$3:$B$996,PlayerStatsSeason!$E$3:$E$996),"")</f>
        <v/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>IF(_xlfn.XLOOKUP(I17, PlayerStatsSeason!$B$3:$B$996, PlayerStatsSeason!$E$3:$E$996)=0,"",_xlfn.XLOOKUP(I17, PlayerStatsSeason!$B$3:$B$996, PlayerStatsSeason!$E$3:$E$996))</f>
        <v>#NAME?</v>
      </c>
      <c r="M17" t="str" cm="1">
        <f t="array" aca="1" ref="M17" ca="1">IFERROR(INDEX(PlayerStatsSeason!$B$3:$B$996,SMALL(IF(TRIM(TEXT(PlayerStatsSeason!$D$3:$D$996, "@")) = TRIM(TEXT(_xlfn.XLOOKUP(Results!$E$5, teams, TeamID), "@")),ROW(PlayerStatsSeason!$B$3:$B$996) - ROW(PlayerStatsSeason!$B$3) + 1),ROWS($A$1:M13))),"")</f>
        <v/>
      </c>
      <c r="N17" s="139" t="str">
        <f ca="1">IFERROR(VALUE(_xlfn.XLOOKUP(M17, PlayerStatsSeason!$B$3:$B$996, PlayerStatsSeason!$H$3:$H$996)), "")</f>
        <v/>
      </c>
      <c r="P17" t="str">
        <f ca="1">IFERROR(_xlfn.XLOOKUP(M17,PlayerStatsSeason!$B$3:$B$996,PlayerStatsSeason!$E$3:$E$996),"")</f>
        <v/>
      </c>
      <c r="T17" t="e">
        <f ca="1"/>
        <v>#NAME?</v>
      </c>
      <c r="U17" t="e">
        <f ca="1"/>
        <v>#NAME?</v>
      </c>
      <c r="V17" t="e">
        <f ca="1"/>
        <v>#NAME?</v>
      </c>
      <c r="W17" t="e">
        <f ca="1">IF(_xlfn.XLOOKUP(U17, PlayerStatsSeason!$B$3:$B$996, PlayerStatsSeason!$E$3:$E$996)=0,"",_xlfn.XLOOKUP(U17, PlayerStatsSeason!$B$3:$B$996, PlayerStatsSeason!$E$3:$E$996))</f>
        <v>#NAME?</v>
      </c>
    </row>
    <row r="18" spans="1:23" x14ac:dyDescent="0.25">
      <c r="A18" t="str" cm="1">
        <f t="array" aca="1" ref="A18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ROWS($A$1:A14)
    )
  ),
  ""
)</f>
        <v/>
      </c>
      <c r="B18" s="139" t="str">
        <f ca="1">IFERROR(VALUE(_xlfn.XLOOKUP(A18, PlayerStatsSeason!$B$3:$B$996, PlayerStatsSeason!$H$3:$H$996)), "")</f>
        <v/>
      </c>
      <c r="D18" t="str">
        <f ca="1">IFERROR(_xlfn.XLOOKUP(A18,PlayerStatsSeason!$B$3:$B$996,PlayerStatsSeason!$E$3:$E$996),"")</f>
        <v/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>IF(_xlfn.XLOOKUP(I18, PlayerStatsSeason!$B$3:$B$996, PlayerStatsSeason!$E$3:$E$996)=0,"",_xlfn.XLOOKUP(I18, PlayerStatsSeason!$B$3:$B$996, PlayerStatsSeason!$E$3:$E$996))</f>
        <v>#NAME?</v>
      </c>
      <c r="M18" t="str" cm="1">
        <f t="array" aca="1" ref="M18" ca="1">IFERROR(INDEX(PlayerStatsSeason!$B$3:$B$996,SMALL(IF(TRIM(TEXT(PlayerStatsSeason!$D$3:$D$996, "@")) = TRIM(TEXT(_xlfn.XLOOKUP(Results!$E$5, teams, TeamID), "@")),ROW(PlayerStatsSeason!$B$3:$B$996) - ROW(PlayerStatsSeason!$B$3) + 1),ROWS($A$1:M14))),"")</f>
        <v/>
      </c>
      <c r="N18" s="139" t="str">
        <f ca="1">IFERROR(VALUE(_xlfn.XLOOKUP(M18, PlayerStatsSeason!$B$3:$B$996, PlayerStatsSeason!$H$3:$H$996)), "")</f>
        <v/>
      </c>
      <c r="P18" t="str">
        <f ca="1">IFERROR(_xlfn.XLOOKUP(M18,PlayerStatsSeason!$B$3:$B$996,PlayerStatsSeason!$E$3:$E$996),"")</f>
        <v/>
      </c>
      <c r="T18" t="e">
        <f ca="1"/>
        <v>#NAME?</v>
      </c>
      <c r="U18" t="e">
        <f ca="1"/>
        <v>#NAME?</v>
      </c>
      <c r="V18" t="e">
        <f ca="1"/>
        <v>#NAME?</v>
      </c>
      <c r="W18" t="e">
        <f ca="1">IF(_xlfn.XLOOKUP(U18, PlayerStatsSeason!$B$3:$B$996, PlayerStatsSeason!$E$3:$E$996)=0,"",_xlfn.XLOOKUP(U18, PlayerStatsSeason!$B$3:$B$996, PlayerStatsSeason!$E$3:$E$996))</f>
        <v>#NAME?</v>
      </c>
    </row>
    <row r="19" spans="1:23" x14ac:dyDescent="0.25">
      <c r="A19" t="str" cm="1">
        <f t="array" aca="1" ref="A19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ROWS($A$1:A15)
    )
  ),
  ""
)</f>
        <v/>
      </c>
      <c r="B19" s="139" t="str">
        <f ca="1">IFERROR(VALUE(_xlfn.XLOOKUP(A19, PlayerStatsSeason!$B$3:$B$996, PlayerStatsSeason!$H$3:$H$996)), "")</f>
        <v/>
      </c>
      <c r="D19" t="str">
        <f ca="1">IFERROR(_xlfn.XLOOKUP(A19,PlayerStatsSeason!$B$3:$B$996,PlayerStatsSeason!$E$3:$E$996),"")</f>
        <v/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>IF(_xlfn.XLOOKUP(I19, PlayerStatsSeason!$B$3:$B$996, PlayerStatsSeason!$E$3:$E$996)=0,"",_xlfn.XLOOKUP(I19, PlayerStatsSeason!$B$3:$B$996, PlayerStatsSeason!$E$3:$E$996))</f>
        <v>#NAME?</v>
      </c>
      <c r="M19" t="str" cm="1">
        <f t="array" aca="1" ref="M19" ca="1">IFERROR(INDEX(PlayerStatsSeason!$B$3:$B$996,SMALL(IF(TRIM(TEXT(PlayerStatsSeason!$D$3:$D$996, "@")) = TRIM(TEXT(_xlfn.XLOOKUP(Results!$E$5, teams, TeamID), "@")),ROW(PlayerStatsSeason!$B$3:$B$996) - ROW(PlayerStatsSeason!$B$3) + 1),ROWS($A$1:M15))),"")</f>
        <v/>
      </c>
      <c r="N19" s="139" t="str">
        <f ca="1">IFERROR(VALUE(_xlfn.XLOOKUP(M19, PlayerStatsSeason!$B$3:$B$996, PlayerStatsSeason!$H$3:$H$996)), "")</f>
        <v/>
      </c>
      <c r="P19" t="str">
        <f ca="1">IFERROR(_xlfn.XLOOKUP(M19,PlayerStatsSeason!$B$3:$B$996,PlayerStatsSeason!$E$3:$E$996),"")</f>
        <v/>
      </c>
      <c r="T19" t="e">
        <f ca="1"/>
        <v>#NAME?</v>
      </c>
      <c r="U19" t="e">
        <f ca="1"/>
        <v>#NAME?</v>
      </c>
      <c r="V19" t="e">
        <f ca="1"/>
        <v>#NAME?</v>
      </c>
      <c r="W19" t="e">
        <f ca="1">IF(_xlfn.XLOOKUP(U19, PlayerStatsSeason!$B$3:$B$996, PlayerStatsSeason!$E$3:$E$996)=0,"",_xlfn.XLOOKUP(U19, PlayerStatsSeason!$B$3:$B$996, PlayerStatsSeason!$E$3:$E$996))</f>
        <v>#NAME?</v>
      </c>
    </row>
    <row r="20" spans="1:23" x14ac:dyDescent="0.25">
      <c r="A20" t="str" cm="1">
        <f t="array" aca="1" ref="A20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ROWS($A$1:A16)
    )
  ),
  ""
)</f>
        <v/>
      </c>
      <c r="B20" s="139" t="str">
        <f ca="1">IFERROR(VALUE(_xlfn.XLOOKUP(A20, PlayerStatsSeason!$B$3:$B$996, PlayerStatsSeason!$H$3:$H$996)), "")</f>
        <v/>
      </c>
      <c r="D20" t="str">
        <f ca="1">IFERROR(_xlfn.XLOOKUP(A20,PlayerStatsSeason!$B$3:$B$996,PlayerStatsSeason!$E$3:$E$996),"")</f>
        <v/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>IF(_xlfn.XLOOKUP(I20, PlayerStatsSeason!$B$3:$B$996, PlayerStatsSeason!$E$3:$E$996)=0,"",_xlfn.XLOOKUP(I20, PlayerStatsSeason!$B$3:$B$996, PlayerStatsSeason!$E$3:$E$996))</f>
        <v>#NAME?</v>
      </c>
      <c r="M20" t="str" cm="1">
        <f t="array" aca="1" ref="M20" ca="1">IFERROR(INDEX(PlayerStatsSeason!$B$3:$B$996,SMALL(IF(TRIM(TEXT(PlayerStatsSeason!$D$3:$D$996, "@")) = TRIM(TEXT(_xlfn.XLOOKUP(Results!$E$5, teams, TeamID), "@")),ROW(PlayerStatsSeason!$B$3:$B$996) - ROW(PlayerStatsSeason!$B$3) + 1),ROWS($A$1:M16))),"")</f>
        <v/>
      </c>
      <c r="N20" s="139" t="str">
        <f ca="1">IFERROR(VALUE(_xlfn.XLOOKUP(M20, PlayerStatsSeason!$B$3:$B$996, PlayerStatsSeason!$H$3:$H$996)), "")</f>
        <v/>
      </c>
      <c r="P20" t="str">
        <f ca="1">IFERROR(_xlfn.XLOOKUP(M20,PlayerStatsSeason!$B$3:$B$996,PlayerStatsSeason!$E$3:$E$996),"")</f>
        <v/>
      </c>
      <c r="T20" t="e">
        <f ca="1"/>
        <v>#NAME?</v>
      </c>
      <c r="U20" t="e">
        <f ca="1"/>
        <v>#NAME?</v>
      </c>
      <c r="V20" t="e">
        <f ca="1"/>
        <v>#NAME?</v>
      </c>
      <c r="W20" t="e">
        <f ca="1">IF(_xlfn.XLOOKUP(U20, PlayerStatsSeason!$B$3:$B$996, PlayerStatsSeason!$E$3:$E$996)=0,"",_xlfn.XLOOKUP(U20, PlayerStatsSeason!$B$3:$B$996, PlayerStatsSeason!$E$3:$E$996))</f>
        <v>#NAME?</v>
      </c>
    </row>
    <row r="21" spans="1:23" x14ac:dyDescent="0.25">
      <c r="A21" t="str" cm="1">
        <f t="array" aca="1" ref="A21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ROWS($A$1:A17)
    )
  ),
  ""
)</f>
        <v/>
      </c>
      <c r="B21" s="139" t="str">
        <f ca="1">IFERROR(VALUE(_xlfn.XLOOKUP(A21, PlayerStatsSeason!$B$3:$B$996, PlayerStatsSeason!$H$3:$H$996)), "")</f>
        <v/>
      </c>
      <c r="D21" t="str">
        <f ca="1">IFERROR(_xlfn.XLOOKUP(A21,PlayerStatsSeason!$B$3:$B$996,PlayerStatsSeason!$E$3:$E$996),"")</f>
        <v/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>IF(_xlfn.XLOOKUP(I21, PlayerStatsSeason!$B$3:$B$996, PlayerStatsSeason!$E$3:$E$996)=0,"",_xlfn.XLOOKUP(I21, PlayerStatsSeason!$B$3:$B$996, PlayerStatsSeason!$E$3:$E$996))</f>
        <v>#NAME?</v>
      </c>
      <c r="M21" t="str" cm="1">
        <f t="array" aca="1" ref="M21" ca="1">IFERROR(INDEX(PlayerStatsSeason!$B$3:$B$996,SMALL(IF(TRIM(TEXT(PlayerStatsSeason!$D$3:$D$996, "@")) = TRIM(TEXT(_xlfn.XLOOKUP(Results!$E$5, teams, TeamID), "@")),ROW(PlayerStatsSeason!$B$3:$B$996) - ROW(PlayerStatsSeason!$B$3) + 1),ROWS($A$1:M17))),"")</f>
        <v/>
      </c>
      <c r="N21" s="139" t="str">
        <f ca="1">IFERROR(VALUE(_xlfn.XLOOKUP(M21, PlayerStatsSeason!$B$3:$B$996, PlayerStatsSeason!$H$3:$H$996)), "")</f>
        <v/>
      </c>
      <c r="P21" t="str">
        <f ca="1">IFERROR(_xlfn.XLOOKUP(M21,PlayerStatsSeason!$B$3:$B$996,PlayerStatsSeason!$E$3:$E$996),"")</f>
        <v/>
      </c>
      <c r="T21" t="e">
        <f ca="1"/>
        <v>#NAME?</v>
      </c>
      <c r="U21" t="e">
        <f ca="1"/>
        <v>#NAME?</v>
      </c>
      <c r="V21" t="e">
        <f ca="1"/>
        <v>#NAME?</v>
      </c>
      <c r="W21" t="e">
        <f ca="1">IF(_xlfn.XLOOKUP(U21, PlayerStatsSeason!$B$3:$B$996, PlayerStatsSeason!$E$3:$E$996)=0,"",_xlfn.XLOOKUP(U21, PlayerStatsSeason!$B$3:$B$996, PlayerStatsSeason!$E$3:$E$996))</f>
        <v>#NAME?</v>
      </c>
    </row>
    <row r="22" spans="1:23" x14ac:dyDescent="0.25">
      <c r="A22" t="str" cm="1">
        <f t="array" aca="1" ref="A22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ROWS($A$1:A18)
    )
  ),
  ""
)</f>
        <v/>
      </c>
      <c r="B22" s="139" t="str">
        <f ca="1">IFERROR(VALUE(_xlfn.XLOOKUP(A22, PlayerStatsSeason!$B$3:$B$996, PlayerStatsSeason!$H$3:$H$996)), "")</f>
        <v/>
      </c>
      <c r="D22" t="str">
        <f ca="1">IFERROR(_xlfn.XLOOKUP(A22,PlayerStatsSeason!$B$3:$B$996,PlayerStatsSeason!$E$3:$E$996),"")</f>
        <v/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>IF(_xlfn.XLOOKUP(I22, PlayerStatsSeason!$B$3:$B$996, PlayerStatsSeason!$E$3:$E$996)=0,"",_xlfn.XLOOKUP(I22, PlayerStatsSeason!$B$3:$B$996, PlayerStatsSeason!$E$3:$E$996))</f>
        <v>#NAME?</v>
      </c>
      <c r="M22" t="str" cm="1">
        <f t="array" aca="1" ref="M22" ca="1">IFERROR(INDEX(PlayerStatsSeason!$B$3:$B$996,SMALL(IF(TRIM(TEXT(PlayerStatsSeason!$D$3:$D$996, "@")) = TRIM(TEXT(_xlfn.XLOOKUP(Results!$E$5, teams, TeamID), "@")),ROW(PlayerStatsSeason!$B$3:$B$996) - ROW(PlayerStatsSeason!$B$3) + 1),ROWS($A$1:M18))),"")</f>
        <v/>
      </c>
      <c r="N22" s="139" t="str">
        <f ca="1">IFERROR(VALUE(_xlfn.XLOOKUP(M22, PlayerStatsSeason!$B$3:$B$996, PlayerStatsSeason!$H$3:$H$996)), "")</f>
        <v/>
      </c>
      <c r="P22" t="str">
        <f ca="1">IFERROR(_xlfn.XLOOKUP(M22,PlayerStatsSeason!$B$3:$B$996,PlayerStatsSeason!$E$3:$E$996),"")</f>
        <v/>
      </c>
      <c r="T22" t="e">
        <f ca="1"/>
        <v>#NAME?</v>
      </c>
      <c r="U22" t="e">
        <f ca="1"/>
        <v>#NAME?</v>
      </c>
      <c r="V22" t="e">
        <f ca="1"/>
        <v>#NAME?</v>
      </c>
      <c r="W22" t="e">
        <f ca="1">IF(_xlfn.XLOOKUP(U22, PlayerStatsSeason!$B$3:$B$996, PlayerStatsSeason!$E$3:$E$996)=0,"",_xlfn.XLOOKUP(U22, PlayerStatsSeason!$B$3:$B$996, PlayerStatsSeason!$E$3:$E$996))</f>
        <v>#NAME?</v>
      </c>
    </row>
    <row r="23" spans="1:23" x14ac:dyDescent="0.25">
      <c r="A23" t="str" cm="1">
        <f t="array" aca="1" ref="A23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ROWS($A$1:A19)
    )
  ),
  ""
)</f>
        <v/>
      </c>
      <c r="B23" s="139" t="str">
        <f ca="1">IFERROR(VALUE(_xlfn.XLOOKUP(A23, PlayerStatsSeason!$B$3:$B$996, PlayerStatsSeason!$H$3:$H$996)), "")</f>
        <v/>
      </c>
      <c r="D23" t="str">
        <f ca="1">IFERROR(_xlfn.XLOOKUP(A23,PlayerStatsSeason!$B$3:$B$996,PlayerStatsSeason!$E$3:$E$996),"")</f>
        <v/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>IF(_xlfn.XLOOKUP(I23, PlayerStatsSeason!$B$3:$B$996, PlayerStatsSeason!$E$3:$E$996)=0,"",_xlfn.XLOOKUP(I23, PlayerStatsSeason!$B$3:$B$996, PlayerStatsSeason!$E$3:$E$996))</f>
        <v>#NAME?</v>
      </c>
      <c r="M23" t="str" cm="1">
        <f t="array" aca="1" ref="M23" ca="1">IFERROR(INDEX(PlayerStatsSeason!$B$3:$B$996,SMALL(IF(TRIM(TEXT(PlayerStatsSeason!$D$3:$D$996, "@")) = TRIM(TEXT(_xlfn.XLOOKUP(Results!$E$5, teams, TeamID), "@")),ROW(PlayerStatsSeason!$B$3:$B$996) - ROW(PlayerStatsSeason!$B$3) + 1),ROWS($A$1:M19))),"")</f>
        <v/>
      </c>
      <c r="N23" s="139" t="str">
        <f ca="1">IFERROR(VALUE(_xlfn.XLOOKUP(M23, PlayerStatsSeason!$B$3:$B$996, PlayerStatsSeason!$H$3:$H$996)), "")</f>
        <v/>
      </c>
      <c r="P23" t="str">
        <f ca="1">IFERROR(_xlfn.XLOOKUP(M23,PlayerStatsSeason!$B$3:$B$996,PlayerStatsSeason!$E$3:$E$996),"")</f>
        <v/>
      </c>
      <c r="W23" t="str">
        <f>IF(_xlfn.XLOOKUP(U23, PlayerStatsSeason!$B$3:$B$996, PlayerStatsSeason!$E$3:$E$996)=0,"",_xlfn.XLOOKUP(U23, PlayerStatsSeason!$B$3:$B$996, PlayerStatsSeason!$E$3:$E$996))</f>
        <v/>
      </c>
    </row>
    <row r="24" spans="1:23" x14ac:dyDescent="0.25">
      <c r="A24" t="str" cm="1">
        <f t="array" aca="1" ref="A24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ROWS($A$1:A20)
    )
  ),
  ""
)</f>
        <v/>
      </c>
      <c r="B24" s="139" t="str">
        <f ca="1">IFERROR(VALUE(_xlfn.XLOOKUP(A24, PlayerStatsSeason!$B$3:$B$996, PlayerStatsSeason!$H$3:$H$996)), "")</f>
        <v/>
      </c>
      <c r="D24" t="str">
        <f ca="1">IFERROR(_xlfn.XLOOKUP(A24,PlayerStatsSeason!$B$3:$B$996,PlayerStatsSeason!$E$3:$E$996),"")</f>
        <v/>
      </c>
      <c r="H24" t="e">
        <f ca="1"/>
        <v>#NAME?</v>
      </c>
      <c r="I24" t="e">
        <f ca="1"/>
        <v>#NAME?</v>
      </c>
      <c r="J24" t="e">
        <f ca="1"/>
        <v>#NAME?</v>
      </c>
      <c r="K24" t="e">
        <f ca="1">IF(_xlfn.XLOOKUP(I24, PlayerStatsSeason!$B$3:$B$996, PlayerStatsSeason!$E$3:$E$996)=0,"",_xlfn.XLOOKUP(I24, PlayerStatsSeason!$B$3:$B$996, PlayerStatsSeason!$E$3:$E$996))</f>
        <v>#NAME?</v>
      </c>
      <c r="M24" t="str" cm="1">
        <f t="array" aca="1" ref="M24" ca="1">IFERROR(INDEX(PlayerStatsSeason!$B$3:$B$996,SMALL(IF(TRIM(TEXT(PlayerStatsSeason!$D$3:$D$996, "@")) = TRIM(TEXT(_xlfn.XLOOKUP(Results!$E$5, teams, TeamID), "@")),ROW(PlayerStatsSeason!$B$3:$B$996) - ROW(PlayerStatsSeason!$B$3) + 1),ROWS($A$1:M20))),"")</f>
        <v/>
      </c>
      <c r="N24" s="139" t="str">
        <f ca="1">IFERROR(VALUE(_xlfn.XLOOKUP(M24, PlayerStatsSeason!$B$3:$B$996, PlayerStatsSeason!$H$3:$H$996)), "")</f>
        <v/>
      </c>
      <c r="P24" t="str">
        <f ca="1">IFERROR(_xlfn.XLOOKUP(M24,PlayerStatsSeason!$B$3:$B$996,PlayerStatsSeason!$E$3:$E$996),"")</f>
        <v/>
      </c>
      <c r="W24" t="str">
        <f>IF(_xlfn.XLOOKUP(U24, PlayerStatsSeason!$B$3:$B$996, PlayerStatsSeason!$E$3:$E$996)=0,"",_xlfn.XLOOKUP(U24, PlayerStatsSeason!$B$3:$B$996, PlayerStatsSeason!$E$3:$E$996))</f>
        <v/>
      </c>
    </row>
    <row r="25" spans="1:23" x14ac:dyDescent="0.25">
      <c r="A25" t="str" cm="1">
        <f t="array" aca="1" ref="A25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ROWS($A$1:A21)
    )
  ),
  ""
)</f>
        <v/>
      </c>
      <c r="B25" s="139" t="str">
        <f ca="1">IFERROR(VALUE(_xlfn.XLOOKUP(A25, PlayerStatsSeason!$B$3:$B$996, PlayerStatsSeason!$H$3:$H$996)), "")</f>
        <v/>
      </c>
      <c r="D25" t="str">
        <f ca="1">IFERROR(_xlfn.XLOOKUP(A25,PlayerStatsSeason!$B$3:$B$996,PlayerStatsSeason!$E$3:$E$996),"")</f>
        <v/>
      </c>
      <c r="H25" t="e">
        <f ca="1"/>
        <v>#NAME?</v>
      </c>
      <c r="I25" t="e">
        <f ca="1"/>
        <v>#NAME?</v>
      </c>
      <c r="J25" t="e">
        <f ca="1"/>
        <v>#NAME?</v>
      </c>
      <c r="K25" t="e">
        <f ca="1">IF(_xlfn.XLOOKUP(I25, PlayerStatsSeason!$B$3:$B$996, PlayerStatsSeason!$E$3:$E$996)=0,"",_xlfn.XLOOKUP(I25, PlayerStatsSeason!$B$3:$B$996, PlayerStatsSeason!$E$3:$E$996))</f>
        <v>#NAME?</v>
      </c>
      <c r="M25" t="str" cm="1">
        <f t="array" aca="1" ref="M25" ca="1">IFERROR(INDEX(PlayerStatsSeason!$B$3:$B$996,SMALL(IF(TRIM(TEXT(PlayerStatsSeason!$D$3:$D$996, "@")) = TRIM(TEXT(_xlfn.XLOOKUP(Results!$E$5, teams, TeamID), "@")),ROW(PlayerStatsSeason!$B$3:$B$996) - ROW(PlayerStatsSeason!$B$3) + 1),ROWS($A$1:M21))),"")</f>
        <v/>
      </c>
      <c r="N25" s="139" t="str">
        <f ca="1">IFERROR(VALUE(_xlfn.XLOOKUP(M25, PlayerStatsSeason!$B$3:$B$996, PlayerStatsSeason!$H$3:$H$996)), "")</f>
        <v/>
      </c>
      <c r="P25" t="str">
        <f ca="1">IFERROR(_xlfn.XLOOKUP(M25,PlayerStatsSeason!$B$3:$B$996,PlayerStatsSeason!$E$3:$E$996),"")</f>
        <v/>
      </c>
      <c r="W25" t="str">
        <f>IF(_xlfn.XLOOKUP(U25, PlayerStatsSeason!$B$3:$B$996, PlayerStatsSeason!$E$3:$E$996)=0,"",_xlfn.XLOOKUP(U25, PlayerStatsSeason!$B$3:$B$996, PlayerStatsSeason!$E$3:$E$996))</f>
        <v/>
      </c>
    </row>
    <row r="26" spans="1:23" x14ac:dyDescent="0.25">
      <c r="A26" t="str" cm="1">
        <f t="array" aca="1" ref="A26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ROWS($A$1:A22)
    )
  ),
  ""
)</f>
        <v/>
      </c>
      <c r="B26" s="139" t="str">
        <f ca="1">IFERROR(VALUE(_xlfn.XLOOKUP(A26, PlayerStatsSeason!$B$3:$B$996, PlayerStatsSeason!$H$3:$H$996)), "")</f>
        <v/>
      </c>
      <c r="D26" t="str">
        <f ca="1">IFERROR(_xlfn.XLOOKUP(A26,PlayerStatsSeason!$B$3:$B$996,PlayerStatsSeason!$E$3:$E$996),"")</f>
        <v/>
      </c>
      <c r="K26" t="str">
        <f>IF(_xlfn.XLOOKUP(I26, PlayerStatsSeason!$B$3:$B$996, PlayerStatsSeason!$E$3:$E$996)=0,"",_xlfn.XLOOKUP(I26, PlayerStatsSeason!$B$3:$B$996, PlayerStatsSeason!$E$3:$E$996))</f>
        <v/>
      </c>
      <c r="M26" t="str" cm="1">
        <f t="array" aca="1" ref="M26" ca="1">IFERROR(INDEX(PlayerStatsSeason!$B$3:$B$996,SMALL(IF(TRIM(TEXT(PlayerStatsSeason!$D$3:$D$996, "@")) = TRIM(TEXT(_xlfn.XLOOKUP(Results!$E$5, teams, TeamID), "@")),ROW(PlayerStatsSeason!$B$3:$B$996) - ROW(PlayerStatsSeason!$B$3) + 1),ROWS($A$1:M22))),"")</f>
        <v/>
      </c>
      <c r="N26" s="139" t="str">
        <f ca="1">IFERROR(VALUE(_xlfn.XLOOKUP(M26, PlayerStatsSeason!$B$3:$B$996, PlayerStatsSeason!$H$3:$H$996)), "")</f>
        <v/>
      </c>
      <c r="P26" t="str">
        <f ca="1">IFERROR(_xlfn.XLOOKUP(M26,PlayerStatsSeason!$B$3:$B$996,PlayerStatsSeason!$E$3:$E$996),"")</f>
        <v/>
      </c>
      <c r="W26" t="str">
        <f>IF(_xlfn.XLOOKUP(U26, PlayerStatsSeason!$B$3:$B$996, PlayerStatsSeason!$E$3:$E$996)=0,"",_xlfn.XLOOKUP(U26, PlayerStatsSeason!$B$3:$B$996, PlayerStatsSeason!$E$3:$E$996))</f>
        <v/>
      </c>
    </row>
    <row r="27" spans="1:23" x14ac:dyDescent="0.25">
      <c r="A27" t="str" cm="1">
        <f t="array" aca="1" ref="A27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ROWS($A$1:A23)
    )
  ),
  ""
)</f>
        <v/>
      </c>
      <c r="B27" s="139" t="str">
        <f ca="1">IFERROR(VALUE(_xlfn.XLOOKUP(A27, PlayerStatsSeason!$B$3:$B$996, PlayerStatsSeason!$H$3:$H$996)), "")</f>
        <v/>
      </c>
      <c r="D27" t="str">
        <f ca="1">IFERROR(_xlfn.XLOOKUP(A27,PlayerStatsSeason!$B$3:$B$996,PlayerStatsSeason!$E$3:$E$996),"")</f>
        <v/>
      </c>
      <c r="K27" t="str">
        <f>IF(_xlfn.XLOOKUP(I27, PlayerStatsSeason!$B$3:$B$996, PlayerStatsSeason!$E$3:$E$996)=0,"",_xlfn.XLOOKUP(I27, PlayerStatsSeason!$B$3:$B$996, PlayerStatsSeason!$E$3:$E$996))</f>
        <v/>
      </c>
      <c r="M27" t="str" cm="1">
        <f t="array" aca="1" ref="M27" ca="1">IFERROR(INDEX(PlayerStatsSeason!$B$3:$B$996,SMALL(IF(TRIM(TEXT(PlayerStatsSeason!$D$3:$D$996, "@")) = TRIM(TEXT(_xlfn.XLOOKUP(Results!$E$5, teams, TeamID), "@")),ROW(PlayerStatsSeason!$B$3:$B$996) - ROW(PlayerStatsSeason!$B$3) + 1),ROWS($A$1:M23))),"")</f>
        <v/>
      </c>
      <c r="N27" s="139" t="str">
        <f ca="1">IFERROR(VALUE(_xlfn.XLOOKUP(M27, PlayerStatsSeason!$B$3:$B$996, PlayerStatsSeason!$H$3:$H$996)), "")</f>
        <v/>
      </c>
      <c r="P27" t="str">
        <f ca="1">IFERROR(_xlfn.XLOOKUP(M27,PlayerStatsSeason!$B$3:$B$996,PlayerStatsSeason!$E$3:$E$996),"")</f>
        <v/>
      </c>
      <c r="W27" t="str">
        <f>IF(_xlfn.XLOOKUP(U27, PlayerStatsSeason!$B$3:$B$996, PlayerStatsSeason!$E$3:$E$996)=0,"",_xlfn.XLOOKUP(U27, PlayerStatsSeason!$B$3:$B$996, PlayerStatsSeason!$E$3:$E$996))</f>
        <v/>
      </c>
    </row>
    <row r="28" spans="1:23" x14ac:dyDescent="0.25">
      <c r="A28" t="str" cm="1">
        <f t="array" aca="1" ref="A28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ROWS($A$1:A24)
    )
  ),
  ""
)</f>
        <v/>
      </c>
      <c r="B28" t="str">
        <f ca="1">IFERROR(_xlfn.XLOOKUP(A28,PlayerStatsSeason!$B$3:$B$996,PlayerStatsSeason!$H$3:$H$996),"")</f>
        <v/>
      </c>
      <c r="D28" t="str">
        <f ca="1">IFERROR(_xlfn.XLOOKUP(A28,PlayerStatsSeason!$B$3:$B$996,PlayerStatsSeason!$E$3:$E$996),"")</f>
        <v/>
      </c>
      <c r="K28" t="str">
        <f>IF(_xlfn.XLOOKUP(I28, PlayerStatsSeason!$B$3:$B$996, PlayerStatsSeason!$E$3:$E$996)=0,"",_xlfn.XLOOKUP(I28, PlayerStatsSeason!$B$3:$B$996, PlayerStatsSeason!$E$3:$E$996))</f>
        <v/>
      </c>
      <c r="M28" t="str" cm="1">
        <f t="array" aca="1" ref="M28" ca="1">IFERROR(INDEX(PlayerStatsSeason!$B$3:$B$996,SMALL(IF(TRIM(TEXT(PlayerStatsSeason!$D$3:$D$996, "@")) = TRIM(TEXT(_xlfn.XLOOKUP(Results!$E$5, teams, TeamID), "@")),ROW(PlayerStatsSeason!$B$3:$B$996) - ROW(PlayerStatsSeason!$B$3) + 1),ROWS($A$1:M24))),"")</f>
        <v/>
      </c>
      <c r="N28" s="139" t="str">
        <f ca="1">IFERROR(VALUE(_xlfn.XLOOKUP(M28, PlayerStatsSeason!$B$3:$B$996, PlayerStatsSeason!$H$3:$H$996)), "")</f>
        <v/>
      </c>
      <c r="P28" t="str">
        <f ca="1">IFERROR(_xlfn.XLOOKUP(M28,PlayerStatsSeason!$B$3:$B$996,PlayerStatsSeason!$E$3:$E$996),"")</f>
        <v/>
      </c>
      <c r="W28" t="str">
        <f>IF(_xlfn.XLOOKUP(U28, PlayerStatsSeason!$B$3:$B$996, PlayerStatsSeason!$E$3:$E$996)=0,"",_xlfn.XLOOKUP(U28, PlayerStatsSeason!$B$3:$B$996, PlayerStatsSeason!$E$3:$E$996))</f>
        <v/>
      </c>
    </row>
    <row r="29" spans="1:23" x14ac:dyDescent="0.25">
      <c r="A29" t="str" cm="1">
        <f t="array" aca="1" ref="A29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ROWS($A$1:A25)
    )
  ),
  ""
)</f>
        <v/>
      </c>
      <c r="B29" t="str">
        <f ca="1">IFERROR(_xlfn.XLOOKUP(A29,PlayerStatsSeason!$B$3:$B$996,PlayerStatsSeason!$H$3:$H$996),"")</f>
        <v/>
      </c>
      <c r="D29" t="str">
        <f ca="1">IFERROR(_xlfn.XLOOKUP(A29,PlayerStatsSeason!$B$3:$B$996,PlayerStatsSeason!$E$3:$E$996),"")</f>
        <v/>
      </c>
      <c r="K29" t="str">
        <f>IF(_xlfn.XLOOKUP(I29, PlayerStatsSeason!$B$3:$B$996, PlayerStatsSeason!$E$3:$E$996)=0,"",_xlfn.XLOOKUP(I29, PlayerStatsSeason!$B$3:$B$996, PlayerStatsSeason!$E$3:$E$996))</f>
        <v/>
      </c>
      <c r="M29" t="str" cm="1">
        <f t="array" aca="1" ref="M29" ca="1">IFERROR(INDEX(PlayerStatsSeason!$B$3:$B$996,SMALL(IF(TRIM(TEXT(PlayerStatsSeason!$D$3:$D$996, "@")) = TRIM(TEXT(_xlfn.XLOOKUP(Results!$E$5, teams, TeamID), "@")),ROW(PlayerStatsSeason!$B$3:$B$996) - ROW(PlayerStatsSeason!$B$3) + 1),ROWS($A$1:M25))),"")</f>
        <v/>
      </c>
      <c r="N29" s="139" t="str">
        <f ca="1">IFERROR(VALUE(_xlfn.XLOOKUP(M29, PlayerStatsSeason!$B$3:$B$996, PlayerStatsSeason!$H$3:$H$996)), "")</f>
        <v/>
      </c>
      <c r="P29" t="str">
        <f ca="1">IFERROR(_xlfn.XLOOKUP(M29,PlayerStatsSeason!$B$3:$B$996,PlayerStatsSeason!$E$3:$E$996),"")</f>
        <v/>
      </c>
      <c r="W29" t="str">
        <f>IF(_xlfn.XLOOKUP(U29, PlayerStatsSeason!$B$3:$B$996, PlayerStatsSeason!$E$3:$E$996)=0,"",_xlfn.XLOOKUP(U29, PlayerStatsSeason!$B$3:$B$996, PlayerStatsSeason!$E$3:$E$996))</f>
        <v/>
      </c>
    </row>
    <row r="30" spans="1:23" x14ac:dyDescent="0.25">
      <c r="A30" t="str" cm="1">
        <f t="array" aca="1" ref="A30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ROWS($A$1:A26)
    )
  ),
  ""
)</f>
        <v/>
      </c>
      <c r="B30" t="str">
        <f ca="1">IFERROR(_xlfn.XLOOKUP(A30,PlayerStatsSeason!$B$3:$B$996,PlayerStatsSeason!$H$3:$H$996),"")</f>
        <v/>
      </c>
      <c r="D30" t="str">
        <f ca="1">IFERROR(_xlfn.XLOOKUP(A30,PlayerStatsSeason!$B$3:$B$996,PlayerStatsSeason!$E$3:$E$996),"")</f>
        <v/>
      </c>
      <c r="K30" t="str">
        <f>IF(_xlfn.XLOOKUP(I30, PlayerStatsSeason!$B$3:$B$996, PlayerStatsSeason!$E$3:$E$996)=0,"",_xlfn.XLOOKUP(I30, PlayerStatsSeason!$B$3:$B$996, PlayerStatsSeason!$E$3:$E$996))</f>
        <v/>
      </c>
      <c r="M30" t="str" cm="1">
        <f t="array" aca="1" ref="M30" ca="1">IFERROR(INDEX(PlayerStatsSeason!$B$3:$B$996,SMALL(IF(TRIM(TEXT(PlayerStatsSeason!$D$3:$D$996, "@")) = TRIM(TEXT(_xlfn.XLOOKUP(Results!$E$5, teams, TeamID), "@")),ROW(PlayerStatsSeason!$B$3:$B$996) - ROW(PlayerStatsSeason!$B$3) + 1),ROWS($A$1:M26))),"")</f>
        <v/>
      </c>
      <c r="N30" s="139" t="str">
        <f ca="1">IFERROR(VALUE(_xlfn.XLOOKUP(M30, PlayerStatsSeason!$B$3:$B$996, PlayerStatsSeason!$H$3:$H$996)), "")</f>
        <v/>
      </c>
      <c r="P30" t="str">
        <f ca="1">IFERROR(_xlfn.XLOOKUP(M30,PlayerStatsSeason!$B$3:$B$996,PlayerStatsSeason!$E$3:$E$996),"")</f>
        <v/>
      </c>
      <c r="W30" t="str">
        <f>IF(_xlfn.XLOOKUP(U30, PlayerStatsSeason!$B$3:$B$996, PlayerStatsSeason!$E$3:$E$996)=0,"",_xlfn.XLOOKUP(U30, PlayerStatsSeason!$B$3:$B$996, PlayerStatsSeason!$E$3:$E$996))</f>
        <v/>
      </c>
    </row>
    <row r="31" spans="1:23" x14ac:dyDescent="0.25">
      <c r="A31" t="str" cm="1">
        <f t="array" aca="1" ref="A31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ROWS($A$1:A27)
    )
  ),
  ""
)</f>
        <v/>
      </c>
      <c r="B31" t="str">
        <f ca="1">IFERROR(_xlfn.XLOOKUP(A31,PlayerStatsSeason!$B$3:$B$996,PlayerStatsSeason!$H$3:$H$996),"")</f>
        <v/>
      </c>
      <c r="D31" t="str">
        <f ca="1">IFERROR(_xlfn.XLOOKUP(A31,PlayerStatsSeason!$B$3:$B$996,PlayerStatsSeason!$E$3:$E$996),"")</f>
        <v/>
      </c>
      <c r="M31" t="str" cm="1">
        <f t="array" aca="1" ref="M31" ca="1">IFERROR(INDEX(PlayerStatsSeason!$B$3:$B$996,SMALL(IF(TRIM(TEXT(PlayerStatsSeason!$D$3:$D$996, "@")) = TRIM(TEXT(_xlfn.XLOOKUP(Results!$E$5, teams, TeamID), "@")),ROW(PlayerStatsSeason!$B$3:$B$996) - ROW(PlayerStatsSeason!$B$3) + 1),ROWS($A$1:M27))),"")</f>
        <v/>
      </c>
      <c r="N31" s="139" t="str">
        <f ca="1">IFERROR(VALUE(_xlfn.XLOOKUP(M31, PlayerStatsSeason!$B$3:$B$996, PlayerStatsSeason!$H$3:$H$996)), "")</f>
        <v/>
      </c>
      <c r="W31" s="5"/>
    </row>
    <row r="32" spans="1:23" x14ac:dyDescent="0.25">
      <c r="W32" s="5"/>
    </row>
    <row r="33" spans="1:23" ht="18.75" x14ac:dyDescent="0.3">
      <c r="A33" s="127"/>
      <c r="B33" s="127"/>
      <c r="C33" s="127"/>
      <c r="D33" s="127"/>
      <c r="E33" s="5"/>
      <c r="F33" s="5"/>
      <c r="G33" s="5"/>
      <c r="H33" s="127"/>
      <c r="I33" s="127"/>
      <c r="J33" s="127"/>
      <c r="K33" s="127"/>
      <c r="W33" s="5"/>
    </row>
    <row r="34" spans="1:23" x14ac:dyDescent="0.25">
      <c r="B34" s="139"/>
    </row>
    <row r="35" spans="1:23" x14ac:dyDescent="0.25">
      <c r="B35" s="139"/>
    </row>
    <row r="36" spans="1:23" x14ac:dyDescent="0.25">
      <c r="B36" s="139"/>
    </row>
    <row r="37" spans="1:23" x14ac:dyDescent="0.25">
      <c r="B37" s="139"/>
    </row>
    <row r="38" spans="1:23" x14ac:dyDescent="0.25">
      <c r="B38" s="139"/>
    </row>
    <row r="39" spans="1:23" x14ac:dyDescent="0.25">
      <c r="B39" s="139"/>
    </row>
    <row r="40" spans="1:23" x14ac:dyDescent="0.25">
      <c r="B40" s="139"/>
    </row>
    <row r="41" spans="1:23" x14ac:dyDescent="0.25">
      <c r="B41" s="139"/>
    </row>
    <row r="42" spans="1:23" x14ac:dyDescent="0.25">
      <c r="B42" s="139"/>
    </row>
    <row r="43" spans="1:23" x14ac:dyDescent="0.25">
      <c r="B43" s="139"/>
    </row>
    <row r="44" spans="1:23" x14ac:dyDescent="0.25">
      <c r="B44" s="139"/>
    </row>
    <row r="45" spans="1:23" x14ac:dyDescent="0.25">
      <c r="B45" s="139"/>
    </row>
    <row r="46" spans="1:23" x14ac:dyDescent="0.25">
      <c r="B46" s="139"/>
    </row>
    <row r="47" spans="1:23" x14ac:dyDescent="0.25">
      <c r="B47" s="139"/>
    </row>
    <row r="48" spans="1:23" x14ac:dyDescent="0.25">
      <c r="B48" s="139"/>
    </row>
    <row r="49" spans="1:11" x14ac:dyDescent="0.25">
      <c r="B49" s="139"/>
    </row>
    <row r="50" spans="1:11" x14ac:dyDescent="0.25">
      <c r="B50" s="139"/>
    </row>
    <row r="51" spans="1:11" x14ac:dyDescent="0.25">
      <c r="B51" s="139"/>
    </row>
    <row r="52" spans="1:11" x14ac:dyDescent="0.25">
      <c r="B52" s="139"/>
    </row>
    <row r="53" spans="1:11" x14ac:dyDescent="0.25">
      <c r="B53" s="139"/>
    </row>
    <row r="54" spans="1:11" x14ac:dyDescent="0.25">
      <c r="B54" s="139"/>
    </row>
    <row r="55" spans="1:11" x14ac:dyDescent="0.25">
      <c r="A55" t="str" cm="1">
        <f t="array" aca="1" ref="A55" ca="1">IFERROR(INDEX(PlayerStatsSeason!$B$3:$B$996,SMALL(IF(TRIM(TEXT(PlayerStatsSeason!$D$3:$D$996, "@")) = TRIM(TEXT(_xlfn.XLOOKUP(Results!$E$5, teams, TeamID), "@")),ROW(PlayerStatsSeason!$D$3:$D$996) - ROW(PlayerStatsSeason!$D$3) + 1),ROWS($A$1:A22))),"")</f>
        <v/>
      </c>
      <c r="B55" s="139" t="str">
        <f ca="1">IFERROR(VALUE(_xlfn.XLOOKUP(A55, PlayerStatsSeason!$B$3:$B$996, PlayerStatsSeason!$H$3:$H$996)), "")</f>
        <v/>
      </c>
      <c r="D55" t="str">
        <f ca="1">IFERROR(_xlfn.XLOOKUP(A55,PlayerStatsSeason!$B$3:$B$996,PlayerStatsSeason!$E$3:$E$996),"")</f>
        <v/>
      </c>
      <c r="K55" t="str">
        <f>IF(_xlfn.XLOOKUP(I55, PlayerStatsSeason!$B$3:$B$996, PlayerStatsSeason!$E$3:$E$996)=0,"",_xlfn.XLOOKUP(I55, PlayerStatsSeason!$B$3:$B$996, PlayerStatsSeason!$E$3:$E$996))</f>
        <v/>
      </c>
    </row>
    <row r="56" spans="1:11" x14ac:dyDescent="0.25">
      <c r="A56" t="str" cm="1">
        <f t="array" aca="1" ref="A56" ca="1">IFERROR(INDEX(PlayerStatsSeason!$B$3:$B$996,SMALL(IF(TRIM(TEXT(PlayerStatsSeason!$D$3:$D$996, "@")) = TRIM(TEXT(_xlfn.XLOOKUP(Results!$E$5, teams, TeamID), "@")),ROW(PlayerStatsSeason!$D$3:$D$996) - ROW(PlayerStatsSeason!$D$3) + 1),ROWS($A$1:A23))),"")</f>
        <v/>
      </c>
      <c r="B56" s="139" t="str">
        <f ca="1">IFERROR(VALUE(_xlfn.XLOOKUP(A56, PlayerStatsSeason!$B$3:$B$996, PlayerStatsSeason!$H$3:$H$996)), "")</f>
        <v/>
      </c>
      <c r="D56" t="str">
        <f ca="1">IFERROR(_xlfn.XLOOKUP(A56,PlayerStatsSeason!$B$3:$B$996,PlayerStatsSeason!$E$3:$E$996),"")</f>
        <v/>
      </c>
      <c r="K56" t="str">
        <f>IF(_xlfn.XLOOKUP(I56, PlayerStatsSeason!$B$3:$B$996, PlayerStatsSeason!$E$3:$E$996)=0,"",_xlfn.XLOOKUP(I56, PlayerStatsSeason!$B$3:$B$996, PlayerStatsSeason!$E$3:$E$996))</f>
        <v/>
      </c>
    </row>
    <row r="57" spans="1:11" x14ac:dyDescent="0.25">
      <c r="A57" t="str" cm="1">
        <f t="array" aca="1" ref="A57" ca="1">IFERROR(INDEX(PlayerStatsSeason!$B$3:$B$996,SMALL(IF(TRIM(TEXT(PlayerStatsSeason!$D$3:$D$996, "@")) = TRIM(TEXT(_xlfn.XLOOKUP(Results!$E$5, teams, TeamID), "@")),ROW(PlayerStatsSeason!$D$3:$D$996) - ROW(PlayerStatsSeason!$D$3) + 1),ROWS($A$1:A24))),"")</f>
        <v/>
      </c>
      <c r="B57" t="str">
        <f ca="1">IFERROR(_xlfn.XLOOKUP(A57,PlayerStatsSeason!$B$3:$B$996,PlayerStatsSeason!$H$3:$H$996),"")</f>
        <v/>
      </c>
      <c r="D57" t="str">
        <f ca="1">IFERROR(_xlfn.XLOOKUP(A57,PlayerStatsSeason!$B$3:$B$996,PlayerStatsSeason!$E$3:$E$996),"")</f>
        <v/>
      </c>
      <c r="K57" t="str">
        <f>IF(_xlfn.XLOOKUP(I57, PlayerStatsSeason!$B$3:$B$996, PlayerStatsSeason!$E$3:$E$996)=0,"",_xlfn.XLOOKUP(I57, PlayerStatsSeason!$B$3:$B$996, PlayerStatsSeason!$E$3:$E$996))</f>
        <v/>
      </c>
    </row>
    <row r="58" spans="1:11" x14ac:dyDescent="0.25">
      <c r="A58" t="str" cm="1">
        <f t="array" aca="1" ref="A58" ca="1">IFERROR(INDEX(PlayerStatsSeason!$B$3:$B$996,SMALL(IF(TRIM(TEXT(PlayerStatsSeason!$D$3:$D$996, "@")) = TRIM(TEXT(_xlfn.XLOOKUP(Results!$E$5, teams, TeamID), "@")),ROW(PlayerStatsSeason!$D$3:$D$996) - ROW(PlayerStatsSeason!$D$3) + 1),ROWS($A$1:A25))),"")</f>
        <v/>
      </c>
      <c r="B58" t="str">
        <f ca="1">IFERROR(_xlfn.XLOOKUP(A58,PlayerStatsSeason!$B$3:$B$996,PlayerStatsSeason!$H$3:$H$996),"")</f>
        <v/>
      </c>
      <c r="D58" t="str">
        <f ca="1">IFERROR(_xlfn.XLOOKUP(A58,PlayerStatsSeason!$B$3:$B$996,PlayerStatsSeason!$E$3:$E$996),"")</f>
        <v/>
      </c>
      <c r="K58" t="str">
        <f>IF(_xlfn.XLOOKUP(I58, PlayerStatsSeason!$B$3:$B$996, PlayerStatsSeason!$E$3:$E$996)=0,"",_xlfn.XLOOKUP(I58, PlayerStatsSeason!$B$3:$B$996, PlayerStatsSeason!$E$3:$E$996))</f>
        <v/>
      </c>
    </row>
    <row r="59" spans="1:11" x14ac:dyDescent="0.25">
      <c r="A59" t="str" cm="1">
        <f t="array" aca="1" ref="A59" ca="1">IFERROR(INDEX(PlayerStatsSeason!$B$3:$B$996,SMALL(IF(TRIM(TEXT(PlayerStatsSeason!$D$3:$D$996, "@")) = TRIM(TEXT(_xlfn.XLOOKUP(Results!$E$5, teams, TeamID), "@")),ROW(PlayerStatsSeason!$D$3:$D$996) - ROW(PlayerStatsSeason!$D$3) + 1),ROWS($A$1:A26))),"")</f>
        <v/>
      </c>
      <c r="B59" t="str">
        <f ca="1">IFERROR(_xlfn.XLOOKUP(A59,PlayerStatsSeason!$B$3:$B$996,PlayerStatsSeason!$H$3:$H$996),"")</f>
        <v/>
      </c>
      <c r="D59" t="str">
        <f ca="1">IFERROR(_xlfn.XLOOKUP(A59,PlayerStatsSeason!$B$3:$B$996,PlayerStatsSeason!$E$3:$E$996),"")</f>
        <v/>
      </c>
      <c r="K59" t="str">
        <f>IF(_xlfn.XLOOKUP(I59, PlayerStatsSeason!$B$3:$B$996, PlayerStatsSeason!$E$3:$E$996)=0,"",_xlfn.XLOOKUP(I59, PlayerStatsSeason!$B$3:$B$996, PlayerStatsSeason!$E$3:$E$996))</f>
        <v/>
      </c>
    </row>
    <row r="60" spans="1:11" x14ac:dyDescent="0.25">
      <c r="A60" t="str" cm="1">
        <f t="array" aca="1" ref="A60" ca="1">IFERROR(
  INDEX(PlayerStatsSeason!$B$3:$B$996,
    SMALL(
      IF(
        TRIM(TEXT(PlayerStatsSeason!$D$3:$D$996, "@")) = TRIM(TEXT(_xlfn.XLOOKUP(Results!$E$2, teams, TeamID), "@")),
        ROW(PlayerStatsSeason!$B$3:$B$996) - ROW(PlayerStatsSeason!$B$3) + 1
      ),
      ROWS($A$1:A56)
    )
  ),
  ""
)</f>
        <v/>
      </c>
      <c r="B60" t="str">
        <f ca="1">IFERROR(_xlfn.XLOOKUP(A60,PlayerStatsSeason!$B$3:$B$996,PlayerStatsSeason!$H$3:$H$996),"")</f>
        <v/>
      </c>
      <c r="D60" t="str">
        <f ca="1">IFERROR(_xlfn.XLOOKUP(A60,PlayerStatsSeason!$B$3:$B$996,PlayerStatsSeason!$E$3:$E$996),"")</f>
        <v/>
      </c>
    </row>
  </sheetData>
  <mergeCells count="2">
    <mergeCell ref="A2:K2"/>
    <mergeCell ref="M2:W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7A4E-2FD9-4ED9-BBE3-DE9F4335B5E2}">
  <dimension ref="A1:AF211"/>
  <sheetViews>
    <sheetView workbookViewId="0">
      <selection activeCell="H230" sqref="H230"/>
    </sheetView>
  </sheetViews>
  <sheetFormatPr defaultRowHeight="15" x14ac:dyDescent="0.25"/>
  <cols>
    <col min="1" max="1" width="5.42578125" bestFit="1" customWidth="1"/>
    <col min="2" max="2" width="24.7109375" bestFit="1" customWidth="1"/>
    <col min="3" max="3" width="6.7109375" bestFit="1" customWidth="1"/>
    <col min="4" max="4" width="8.140625" bestFit="1" customWidth="1"/>
    <col min="5" max="5" width="6.42578125" bestFit="1" customWidth="1"/>
    <col min="6" max="6" width="4.7109375" bestFit="1" customWidth="1"/>
    <col min="7" max="7" width="5.7109375" bestFit="1" customWidth="1"/>
    <col min="8" max="8" width="6.28515625" bestFit="1" customWidth="1"/>
    <col min="9" max="9" width="5.7109375" bestFit="1" customWidth="1"/>
    <col min="10" max="10" width="7" bestFit="1" customWidth="1"/>
    <col min="11" max="11" width="7.28515625" bestFit="1" customWidth="1"/>
    <col min="12" max="12" width="5.42578125" bestFit="1" customWidth="1"/>
    <col min="13" max="13" width="6.7109375" bestFit="1" customWidth="1"/>
    <col min="14" max="14" width="7" bestFit="1" customWidth="1"/>
    <col min="15" max="15" width="5.42578125" bestFit="1" customWidth="1"/>
    <col min="16" max="16" width="6.7109375" bestFit="1" customWidth="1"/>
    <col min="17" max="17" width="7" bestFit="1" customWidth="1"/>
    <col min="18" max="18" width="8.42578125" bestFit="1" customWidth="1"/>
    <col min="19" max="19" width="5.28515625" bestFit="1" customWidth="1"/>
    <col min="20" max="20" width="6.5703125" bestFit="1" customWidth="1"/>
    <col min="21" max="21" width="6.85546875" bestFit="1" customWidth="1"/>
    <col min="22" max="22" width="7" bestFit="1" customWidth="1"/>
    <col min="23" max="23" width="6.85546875" bestFit="1" customWidth="1"/>
    <col min="24" max="25" width="6.5703125" bestFit="1" customWidth="1"/>
    <col min="26" max="26" width="6.140625" bestFit="1" customWidth="1"/>
    <col min="27" max="27" width="6.42578125" bestFit="1" customWidth="1"/>
    <col min="28" max="28" width="7" bestFit="1" customWidth="1"/>
    <col min="29" max="29" width="5.42578125" bestFit="1" customWidth="1"/>
    <col min="30" max="30" width="6.42578125" bestFit="1" customWidth="1"/>
    <col min="31" max="31" width="20" bestFit="1" customWidth="1"/>
    <col min="32" max="32" width="9.85546875" bestFit="1" customWidth="1"/>
  </cols>
  <sheetData>
    <row r="1" spans="1:32" x14ac:dyDescent="0.25">
      <c r="A1" t="s">
        <v>874</v>
      </c>
      <c r="B1" t="s">
        <v>171</v>
      </c>
      <c r="C1" t="s">
        <v>875</v>
      </c>
      <c r="D1" t="s">
        <v>172</v>
      </c>
      <c r="E1" t="s">
        <v>876</v>
      </c>
      <c r="F1" t="s">
        <v>392</v>
      </c>
      <c r="G1" t="s">
        <v>877</v>
      </c>
      <c r="H1" t="s">
        <v>878</v>
      </c>
      <c r="I1" t="s">
        <v>879</v>
      </c>
      <c r="J1" t="s">
        <v>880</v>
      </c>
      <c r="K1" t="s">
        <v>881</v>
      </c>
      <c r="L1" t="s">
        <v>882</v>
      </c>
      <c r="M1" t="s">
        <v>883</v>
      </c>
      <c r="N1" t="s">
        <v>884</v>
      </c>
      <c r="O1" t="s">
        <v>885</v>
      </c>
      <c r="P1" t="s">
        <v>886</v>
      </c>
      <c r="Q1" t="s">
        <v>887</v>
      </c>
      <c r="R1" t="s">
        <v>888</v>
      </c>
      <c r="S1" t="s">
        <v>889</v>
      </c>
      <c r="T1" t="s">
        <v>890</v>
      </c>
      <c r="U1" t="s">
        <v>891</v>
      </c>
      <c r="V1" t="s">
        <v>892</v>
      </c>
      <c r="W1" t="s">
        <v>893</v>
      </c>
      <c r="X1" t="s">
        <v>894</v>
      </c>
      <c r="Y1" t="s">
        <v>895</v>
      </c>
      <c r="Z1" t="s">
        <v>896</v>
      </c>
      <c r="AA1" t="s">
        <v>897</v>
      </c>
      <c r="AB1" t="s">
        <v>898</v>
      </c>
      <c r="AC1" t="s">
        <v>93</v>
      </c>
      <c r="AD1" t="s">
        <v>899</v>
      </c>
      <c r="AE1" s="5" t="s">
        <v>872</v>
      </c>
      <c r="AF1" s="5" t="s">
        <v>900</v>
      </c>
    </row>
    <row r="2" spans="1:32" x14ac:dyDescent="0.25">
      <c r="A2">
        <v>1</v>
      </c>
      <c r="B2" t="s">
        <v>104</v>
      </c>
      <c r="C2">
        <v>30</v>
      </c>
      <c r="D2" t="s">
        <v>105</v>
      </c>
      <c r="E2" t="s">
        <v>93</v>
      </c>
      <c r="F2">
        <v>5</v>
      </c>
      <c r="G2">
        <v>5</v>
      </c>
      <c r="H2">
        <v>37.6</v>
      </c>
      <c r="I2">
        <v>12</v>
      </c>
      <c r="J2">
        <v>19.8</v>
      </c>
      <c r="K2">
        <v>0.60599999999999998</v>
      </c>
      <c r="L2">
        <v>0.2</v>
      </c>
      <c r="M2">
        <v>1</v>
      </c>
      <c r="N2">
        <v>0.2</v>
      </c>
      <c r="O2">
        <v>11.8</v>
      </c>
      <c r="P2">
        <v>18.8</v>
      </c>
      <c r="Q2">
        <v>0.628</v>
      </c>
      <c r="R2">
        <v>0.61099999999999999</v>
      </c>
      <c r="S2">
        <v>8.8000000000000007</v>
      </c>
      <c r="T2">
        <v>12.6</v>
      </c>
      <c r="U2">
        <v>0.69799999999999995</v>
      </c>
      <c r="V2">
        <v>3.8</v>
      </c>
      <c r="W2">
        <v>11.6</v>
      </c>
      <c r="X2">
        <v>15.4</v>
      </c>
      <c r="Y2">
        <v>6.6</v>
      </c>
      <c r="Z2">
        <v>1</v>
      </c>
      <c r="AA2">
        <v>1</v>
      </c>
      <c r="AB2">
        <v>4.5999999999999996</v>
      </c>
      <c r="AC2">
        <v>2.4</v>
      </c>
      <c r="AD2">
        <v>33</v>
      </c>
      <c r="AE2">
        <f t="shared" ref="AE2:AE65" si="0">(L2 * 3) + ((I2 - L2) * 2) + S2</f>
        <v>33</v>
      </c>
      <c r="AF2" t="s">
        <v>927</v>
      </c>
    </row>
    <row r="3" spans="1:32" x14ac:dyDescent="0.25">
      <c r="A3">
        <v>2</v>
      </c>
      <c r="B3" t="s">
        <v>154</v>
      </c>
      <c r="C3">
        <v>28</v>
      </c>
      <c r="D3" t="s">
        <v>129</v>
      </c>
      <c r="E3" t="s">
        <v>56</v>
      </c>
      <c r="F3">
        <v>6</v>
      </c>
      <c r="G3">
        <v>6</v>
      </c>
      <c r="H3">
        <v>40</v>
      </c>
      <c r="I3">
        <v>10.8</v>
      </c>
      <c r="J3">
        <v>24.8</v>
      </c>
      <c r="K3">
        <v>0.436</v>
      </c>
      <c r="L3">
        <v>2.5</v>
      </c>
      <c r="M3">
        <v>7.5</v>
      </c>
      <c r="N3">
        <v>0.33300000000000002</v>
      </c>
      <c r="O3">
        <v>8.3000000000000007</v>
      </c>
      <c r="P3">
        <v>17.3</v>
      </c>
      <c r="Q3">
        <v>0.48099999999999998</v>
      </c>
      <c r="R3">
        <v>0.48699999999999999</v>
      </c>
      <c r="S3">
        <v>7.3</v>
      </c>
      <c r="T3">
        <v>9</v>
      </c>
      <c r="U3">
        <v>0.81499999999999995</v>
      </c>
      <c r="V3">
        <v>1.2</v>
      </c>
      <c r="W3">
        <v>2.8</v>
      </c>
      <c r="X3">
        <v>4</v>
      </c>
      <c r="Y3">
        <v>8.1999999999999993</v>
      </c>
      <c r="Z3">
        <v>0.3</v>
      </c>
      <c r="AA3">
        <v>0.3</v>
      </c>
      <c r="AB3">
        <v>2.7</v>
      </c>
      <c r="AC3">
        <v>3.3</v>
      </c>
      <c r="AD3">
        <v>31.5</v>
      </c>
      <c r="AE3">
        <f t="shared" si="0"/>
        <v>31.400000000000002</v>
      </c>
      <c r="AF3" t="s">
        <v>927</v>
      </c>
    </row>
    <row r="4" spans="1:32" x14ac:dyDescent="0.25">
      <c r="A4">
        <v>3</v>
      </c>
      <c r="B4" t="s">
        <v>112</v>
      </c>
      <c r="C4">
        <v>26</v>
      </c>
      <c r="D4" t="s">
        <v>113</v>
      </c>
      <c r="E4" t="s">
        <v>93</v>
      </c>
      <c r="F4">
        <v>4</v>
      </c>
      <c r="G4">
        <v>4</v>
      </c>
      <c r="H4">
        <v>39</v>
      </c>
      <c r="I4">
        <v>9.5</v>
      </c>
      <c r="J4">
        <v>21.3</v>
      </c>
      <c r="K4">
        <v>0.44700000000000001</v>
      </c>
      <c r="L4">
        <v>3</v>
      </c>
      <c r="M4">
        <v>8.3000000000000007</v>
      </c>
      <c r="N4">
        <v>0.36399999999999999</v>
      </c>
      <c r="O4">
        <v>6.5</v>
      </c>
      <c r="P4">
        <v>13</v>
      </c>
      <c r="Q4">
        <v>0.5</v>
      </c>
      <c r="R4">
        <v>0.51800000000000002</v>
      </c>
      <c r="S4">
        <v>9.3000000000000007</v>
      </c>
      <c r="T4">
        <v>10.3</v>
      </c>
      <c r="U4">
        <v>0.90200000000000002</v>
      </c>
      <c r="V4">
        <v>1.8</v>
      </c>
      <c r="W4">
        <v>9.5</v>
      </c>
      <c r="X4">
        <v>11.3</v>
      </c>
      <c r="Y4">
        <v>5.3</v>
      </c>
      <c r="Z4">
        <v>1.5</v>
      </c>
      <c r="AA4">
        <v>0.5</v>
      </c>
      <c r="AB4">
        <v>2.8</v>
      </c>
      <c r="AC4">
        <v>2.5</v>
      </c>
      <c r="AD4">
        <v>31.3</v>
      </c>
      <c r="AE4">
        <f t="shared" si="0"/>
        <v>31.3</v>
      </c>
      <c r="AF4" t="s">
        <v>927</v>
      </c>
    </row>
    <row r="5" spans="1:32" x14ac:dyDescent="0.25">
      <c r="A5">
        <v>4</v>
      </c>
      <c r="B5" t="s">
        <v>253</v>
      </c>
      <c r="C5">
        <v>25</v>
      </c>
      <c r="D5" t="s">
        <v>1014</v>
      </c>
      <c r="E5" t="s">
        <v>56</v>
      </c>
      <c r="F5">
        <v>5</v>
      </c>
      <c r="G5">
        <v>5</v>
      </c>
      <c r="H5">
        <v>41.6</v>
      </c>
      <c r="I5">
        <v>9.4</v>
      </c>
      <c r="J5">
        <v>20.8</v>
      </c>
      <c r="K5">
        <v>0.45200000000000001</v>
      </c>
      <c r="L5">
        <v>3.2</v>
      </c>
      <c r="M5">
        <v>9.1999999999999993</v>
      </c>
      <c r="N5">
        <v>0.34799999999999998</v>
      </c>
      <c r="O5">
        <v>6.2</v>
      </c>
      <c r="P5">
        <v>11.6</v>
      </c>
      <c r="Q5">
        <v>0.53400000000000003</v>
      </c>
      <c r="R5">
        <v>0.52900000000000003</v>
      </c>
      <c r="S5">
        <v>8.1999999999999993</v>
      </c>
      <c r="T5">
        <v>9.1999999999999993</v>
      </c>
      <c r="U5">
        <v>0.89100000000000001</v>
      </c>
      <c r="V5">
        <v>0.4</v>
      </c>
      <c r="W5">
        <v>6.6</v>
      </c>
      <c r="X5">
        <v>7</v>
      </c>
      <c r="Y5">
        <v>5.8</v>
      </c>
      <c r="Z5">
        <v>1</v>
      </c>
      <c r="AA5">
        <v>0.6</v>
      </c>
      <c r="AB5">
        <v>4</v>
      </c>
      <c r="AC5">
        <v>3.2</v>
      </c>
      <c r="AD5">
        <v>30.2</v>
      </c>
      <c r="AE5">
        <f t="shared" si="0"/>
        <v>30.2</v>
      </c>
      <c r="AF5" t="s">
        <v>927</v>
      </c>
    </row>
    <row r="6" spans="1:32" x14ac:dyDescent="0.25">
      <c r="A6">
        <v>5</v>
      </c>
      <c r="B6" t="s">
        <v>1122</v>
      </c>
      <c r="C6">
        <v>22</v>
      </c>
      <c r="D6" t="s">
        <v>142</v>
      </c>
      <c r="E6" t="s">
        <v>93</v>
      </c>
      <c r="F6">
        <v>5</v>
      </c>
      <c r="G6">
        <v>5</v>
      </c>
      <c r="H6">
        <v>39.4</v>
      </c>
      <c r="I6">
        <v>10.8</v>
      </c>
      <c r="J6">
        <v>24.8</v>
      </c>
      <c r="K6">
        <v>0.435</v>
      </c>
      <c r="L6">
        <v>2.4</v>
      </c>
      <c r="M6">
        <v>5.4</v>
      </c>
      <c r="N6">
        <v>0.44400000000000001</v>
      </c>
      <c r="O6">
        <v>8.4</v>
      </c>
      <c r="P6">
        <v>19.399999999999999</v>
      </c>
      <c r="Q6">
        <v>0.433</v>
      </c>
      <c r="R6">
        <v>0.48399999999999999</v>
      </c>
      <c r="S6">
        <v>5.4</v>
      </c>
      <c r="T6">
        <v>8.1999999999999993</v>
      </c>
      <c r="U6">
        <v>0.65900000000000003</v>
      </c>
      <c r="V6">
        <v>2.4</v>
      </c>
      <c r="W6">
        <v>6</v>
      </c>
      <c r="X6">
        <v>8.4</v>
      </c>
      <c r="Y6">
        <v>4.2</v>
      </c>
      <c r="Z6">
        <v>0.6</v>
      </c>
      <c r="AA6">
        <v>0.8</v>
      </c>
      <c r="AB6">
        <v>3</v>
      </c>
      <c r="AC6">
        <v>3.6</v>
      </c>
      <c r="AD6">
        <v>29.4</v>
      </c>
      <c r="AE6">
        <f t="shared" si="0"/>
        <v>29.4</v>
      </c>
      <c r="AF6" t="s">
        <v>927</v>
      </c>
    </row>
    <row r="7" spans="1:32" x14ac:dyDescent="0.25">
      <c r="A7">
        <v>6</v>
      </c>
      <c r="B7" t="s">
        <v>55</v>
      </c>
      <c r="C7">
        <v>26</v>
      </c>
      <c r="D7" t="s">
        <v>48</v>
      </c>
      <c r="E7" t="s">
        <v>56</v>
      </c>
      <c r="F7">
        <v>4</v>
      </c>
      <c r="G7">
        <v>4</v>
      </c>
      <c r="H7">
        <v>35</v>
      </c>
      <c r="I7">
        <v>9.3000000000000007</v>
      </c>
      <c r="J7">
        <v>23</v>
      </c>
      <c r="K7">
        <v>0.40200000000000002</v>
      </c>
      <c r="L7">
        <v>1.8</v>
      </c>
      <c r="M7">
        <v>7</v>
      </c>
      <c r="N7">
        <v>0.25</v>
      </c>
      <c r="O7">
        <v>7.5</v>
      </c>
      <c r="P7">
        <v>16</v>
      </c>
      <c r="Q7">
        <v>0.46899999999999997</v>
      </c>
      <c r="R7">
        <v>0.44</v>
      </c>
      <c r="S7">
        <v>7.5</v>
      </c>
      <c r="T7">
        <v>8.3000000000000007</v>
      </c>
      <c r="U7">
        <v>0.90900000000000003</v>
      </c>
      <c r="V7">
        <v>1.3</v>
      </c>
      <c r="W7">
        <v>3.8</v>
      </c>
      <c r="X7">
        <v>5</v>
      </c>
      <c r="Y7">
        <v>6</v>
      </c>
      <c r="Z7">
        <v>1.3</v>
      </c>
      <c r="AA7">
        <v>1</v>
      </c>
      <c r="AB7">
        <v>2</v>
      </c>
      <c r="AC7">
        <v>3</v>
      </c>
      <c r="AD7">
        <v>27.8</v>
      </c>
      <c r="AE7">
        <f t="shared" si="0"/>
        <v>27.900000000000002</v>
      </c>
      <c r="AF7" t="s">
        <v>927</v>
      </c>
    </row>
    <row r="8" spans="1:32" x14ac:dyDescent="0.25">
      <c r="A8">
        <v>7</v>
      </c>
      <c r="B8" t="s">
        <v>367</v>
      </c>
      <c r="C8">
        <v>23</v>
      </c>
      <c r="D8" t="s">
        <v>102</v>
      </c>
      <c r="E8" t="s">
        <v>63</v>
      </c>
      <c r="F8">
        <v>5</v>
      </c>
      <c r="G8">
        <v>5</v>
      </c>
      <c r="H8">
        <v>41</v>
      </c>
      <c r="I8">
        <v>9.4</v>
      </c>
      <c r="J8">
        <v>22.4</v>
      </c>
      <c r="K8">
        <v>0.42</v>
      </c>
      <c r="L8">
        <v>3.2</v>
      </c>
      <c r="M8">
        <v>9.6</v>
      </c>
      <c r="N8">
        <v>0.33300000000000002</v>
      </c>
      <c r="O8">
        <v>6.2</v>
      </c>
      <c r="P8">
        <v>12.8</v>
      </c>
      <c r="Q8">
        <v>0.48399999999999999</v>
      </c>
      <c r="R8">
        <v>0.49099999999999999</v>
      </c>
      <c r="S8">
        <v>4.8</v>
      </c>
      <c r="T8">
        <v>6.2</v>
      </c>
      <c r="U8">
        <v>0.77400000000000002</v>
      </c>
      <c r="V8">
        <v>2.2000000000000002</v>
      </c>
      <c r="W8">
        <v>6.2</v>
      </c>
      <c r="X8">
        <v>8.4</v>
      </c>
      <c r="Y8">
        <v>6.2</v>
      </c>
      <c r="Z8">
        <v>1.2</v>
      </c>
      <c r="AA8">
        <v>0.4</v>
      </c>
      <c r="AB8">
        <v>1.2</v>
      </c>
      <c r="AC8">
        <v>2</v>
      </c>
      <c r="AD8">
        <v>26.8</v>
      </c>
      <c r="AE8">
        <f t="shared" si="0"/>
        <v>26.8</v>
      </c>
      <c r="AF8" t="s">
        <v>927</v>
      </c>
    </row>
    <row r="9" spans="1:32" x14ac:dyDescent="0.25">
      <c r="A9">
        <v>8</v>
      </c>
      <c r="B9" t="s">
        <v>141</v>
      </c>
      <c r="C9">
        <v>23</v>
      </c>
      <c r="D9" t="s">
        <v>142</v>
      </c>
      <c r="E9" t="s">
        <v>47</v>
      </c>
      <c r="F9">
        <v>5</v>
      </c>
      <c r="G9">
        <v>5</v>
      </c>
      <c r="H9">
        <v>39</v>
      </c>
      <c r="I9">
        <v>10.199999999999999</v>
      </c>
      <c r="J9">
        <v>23</v>
      </c>
      <c r="K9">
        <v>0.443</v>
      </c>
      <c r="L9">
        <v>1.4</v>
      </c>
      <c r="M9">
        <v>7.4</v>
      </c>
      <c r="N9">
        <v>0.189</v>
      </c>
      <c r="O9">
        <v>8.8000000000000007</v>
      </c>
      <c r="P9">
        <v>15.6</v>
      </c>
      <c r="Q9">
        <v>0.56399999999999995</v>
      </c>
      <c r="R9">
        <v>0.47399999999999998</v>
      </c>
      <c r="S9">
        <v>4</v>
      </c>
      <c r="T9">
        <v>5.2</v>
      </c>
      <c r="U9">
        <v>0.76900000000000002</v>
      </c>
      <c r="V9">
        <v>0.6</v>
      </c>
      <c r="W9">
        <v>4.2</v>
      </c>
      <c r="X9">
        <v>4.8</v>
      </c>
      <c r="Y9">
        <v>5.6</v>
      </c>
      <c r="Z9">
        <v>1.2</v>
      </c>
      <c r="AA9">
        <v>0.4</v>
      </c>
      <c r="AB9">
        <v>2</v>
      </c>
      <c r="AC9">
        <v>3.2</v>
      </c>
      <c r="AD9">
        <v>25.8</v>
      </c>
      <c r="AE9">
        <f t="shared" si="0"/>
        <v>25.799999999999997</v>
      </c>
      <c r="AF9" t="s">
        <v>927</v>
      </c>
    </row>
    <row r="10" spans="1:32" x14ac:dyDescent="0.25">
      <c r="A10">
        <v>9</v>
      </c>
      <c r="B10" t="s">
        <v>477</v>
      </c>
      <c r="C10">
        <v>28</v>
      </c>
      <c r="D10" t="s">
        <v>85</v>
      </c>
      <c r="E10" t="s">
        <v>63</v>
      </c>
      <c r="F10">
        <v>5</v>
      </c>
      <c r="G10">
        <v>5</v>
      </c>
      <c r="H10">
        <v>31.4</v>
      </c>
      <c r="I10">
        <v>9.1999999999999993</v>
      </c>
      <c r="J10">
        <v>19.8</v>
      </c>
      <c r="K10">
        <v>0.46500000000000002</v>
      </c>
      <c r="L10">
        <v>3.4</v>
      </c>
      <c r="M10">
        <v>9.1999999999999993</v>
      </c>
      <c r="N10">
        <v>0.37</v>
      </c>
      <c r="O10">
        <v>5.8</v>
      </c>
      <c r="P10">
        <v>10.6</v>
      </c>
      <c r="Q10">
        <v>0.54700000000000004</v>
      </c>
      <c r="R10">
        <v>0.55100000000000005</v>
      </c>
      <c r="S10">
        <v>3.8</v>
      </c>
      <c r="T10">
        <v>5.4</v>
      </c>
      <c r="U10">
        <v>0.70399999999999996</v>
      </c>
      <c r="V10">
        <v>0.2</v>
      </c>
      <c r="W10">
        <v>3.4</v>
      </c>
      <c r="X10">
        <v>3.6</v>
      </c>
      <c r="Y10">
        <v>4</v>
      </c>
      <c r="Z10">
        <v>1.4</v>
      </c>
      <c r="AA10">
        <v>0</v>
      </c>
      <c r="AB10">
        <v>1.2</v>
      </c>
      <c r="AC10">
        <v>1.6</v>
      </c>
      <c r="AD10">
        <v>25.6</v>
      </c>
      <c r="AE10">
        <f t="shared" si="0"/>
        <v>25.599999999999998</v>
      </c>
      <c r="AF10" t="s">
        <v>927</v>
      </c>
    </row>
    <row r="11" spans="1:32" x14ac:dyDescent="0.25">
      <c r="A11">
        <v>10</v>
      </c>
      <c r="B11" t="s">
        <v>255</v>
      </c>
      <c r="C11">
        <v>40</v>
      </c>
      <c r="D11" t="s">
        <v>1014</v>
      </c>
      <c r="E11" t="s">
        <v>47</v>
      </c>
      <c r="F11">
        <v>5</v>
      </c>
      <c r="G11">
        <v>5</v>
      </c>
      <c r="H11">
        <v>40.799999999999997</v>
      </c>
      <c r="I11">
        <v>8.6</v>
      </c>
      <c r="J11">
        <v>17.600000000000001</v>
      </c>
      <c r="K11">
        <v>0.48899999999999999</v>
      </c>
      <c r="L11">
        <v>2</v>
      </c>
      <c r="M11">
        <v>5.6</v>
      </c>
      <c r="N11">
        <v>0.35699999999999998</v>
      </c>
      <c r="O11">
        <v>6.6</v>
      </c>
      <c r="P11">
        <v>12</v>
      </c>
      <c r="Q11">
        <v>0.55000000000000004</v>
      </c>
      <c r="R11">
        <v>0.54500000000000004</v>
      </c>
      <c r="S11">
        <v>6.2</v>
      </c>
      <c r="T11">
        <v>8</v>
      </c>
      <c r="U11">
        <v>0.77500000000000002</v>
      </c>
      <c r="V11">
        <v>2.4</v>
      </c>
      <c r="W11">
        <v>6.6</v>
      </c>
      <c r="X11">
        <v>9</v>
      </c>
      <c r="Y11">
        <v>5.6</v>
      </c>
      <c r="Z11">
        <v>2</v>
      </c>
      <c r="AA11">
        <v>1.8</v>
      </c>
      <c r="AB11">
        <v>2.6</v>
      </c>
      <c r="AC11">
        <v>1.6</v>
      </c>
      <c r="AD11">
        <v>25.4</v>
      </c>
      <c r="AE11">
        <f t="shared" si="0"/>
        <v>25.4</v>
      </c>
      <c r="AF11" t="s">
        <v>927</v>
      </c>
    </row>
    <row r="12" spans="1:32" x14ac:dyDescent="0.25">
      <c r="A12">
        <v>11</v>
      </c>
      <c r="B12" t="s">
        <v>342</v>
      </c>
      <c r="C12">
        <v>23</v>
      </c>
      <c r="D12" t="s">
        <v>97</v>
      </c>
      <c r="E12" t="s">
        <v>56</v>
      </c>
      <c r="F12">
        <v>6</v>
      </c>
      <c r="G12">
        <v>6</v>
      </c>
      <c r="H12">
        <v>41.3</v>
      </c>
      <c r="I12">
        <v>9.1999999999999993</v>
      </c>
      <c r="J12">
        <v>21.5</v>
      </c>
      <c r="K12">
        <v>0.42599999999999999</v>
      </c>
      <c r="L12">
        <v>0.8</v>
      </c>
      <c r="M12">
        <v>4.7</v>
      </c>
      <c r="N12">
        <v>0.17899999999999999</v>
      </c>
      <c r="O12">
        <v>8.3000000000000007</v>
      </c>
      <c r="P12">
        <v>16.8</v>
      </c>
      <c r="Q12">
        <v>0.495</v>
      </c>
      <c r="R12">
        <v>0.44600000000000001</v>
      </c>
      <c r="S12">
        <v>5.8</v>
      </c>
      <c r="T12">
        <v>7</v>
      </c>
      <c r="U12">
        <v>0.83299999999999996</v>
      </c>
      <c r="V12">
        <v>1</v>
      </c>
      <c r="W12">
        <v>7.3</v>
      </c>
      <c r="X12">
        <v>8.3000000000000007</v>
      </c>
      <c r="Y12">
        <v>8.6999999999999993</v>
      </c>
      <c r="Z12">
        <v>1.8</v>
      </c>
      <c r="AA12">
        <v>1.3</v>
      </c>
      <c r="AB12">
        <v>5.3</v>
      </c>
      <c r="AC12">
        <v>3.3</v>
      </c>
      <c r="AD12">
        <v>25</v>
      </c>
      <c r="AE12">
        <f t="shared" si="0"/>
        <v>24.999999999999996</v>
      </c>
      <c r="AF12" t="s">
        <v>927</v>
      </c>
    </row>
    <row r="13" spans="1:32" x14ac:dyDescent="0.25">
      <c r="A13">
        <v>12</v>
      </c>
      <c r="B13" t="s">
        <v>218</v>
      </c>
      <c r="C13">
        <v>33</v>
      </c>
      <c r="D13" t="s">
        <v>79</v>
      </c>
      <c r="E13" t="s">
        <v>47</v>
      </c>
      <c r="F13">
        <v>7</v>
      </c>
      <c r="G13">
        <v>7</v>
      </c>
      <c r="H13">
        <v>37.9</v>
      </c>
      <c r="I13">
        <v>9.4</v>
      </c>
      <c r="J13">
        <v>17.600000000000001</v>
      </c>
      <c r="K13">
        <v>0.53700000000000003</v>
      </c>
      <c r="L13">
        <v>2.1</v>
      </c>
      <c r="M13">
        <v>5.3</v>
      </c>
      <c r="N13">
        <v>0.40500000000000003</v>
      </c>
      <c r="O13">
        <v>7.3</v>
      </c>
      <c r="P13">
        <v>12.3</v>
      </c>
      <c r="Q13">
        <v>0.59299999999999997</v>
      </c>
      <c r="R13">
        <v>0.59799999999999998</v>
      </c>
      <c r="S13">
        <v>4</v>
      </c>
      <c r="T13">
        <v>5.0999999999999996</v>
      </c>
      <c r="U13">
        <v>0.77800000000000002</v>
      </c>
      <c r="V13">
        <v>1.6</v>
      </c>
      <c r="W13">
        <v>6</v>
      </c>
      <c r="X13">
        <v>7.6</v>
      </c>
      <c r="Y13">
        <v>4.7</v>
      </c>
      <c r="Z13">
        <v>1.1000000000000001</v>
      </c>
      <c r="AA13">
        <v>0.7</v>
      </c>
      <c r="AB13">
        <v>2.1</v>
      </c>
      <c r="AC13">
        <v>1.7</v>
      </c>
      <c r="AD13">
        <v>25</v>
      </c>
      <c r="AE13">
        <f t="shared" si="0"/>
        <v>24.900000000000002</v>
      </c>
      <c r="AF13" t="s">
        <v>927</v>
      </c>
    </row>
    <row r="14" spans="1:32" x14ac:dyDescent="0.25">
      <c r="A14">
        <v>13</v>
      </c>
      <c r="B14" t="s">
        <v>266</v>
      </c>
      <c r="C14">
        <v>36</v>
      </c>
      <c r="D14" t="s">
        <v>1223</v>
      </c>
      <c r="E14" t="s">
        <v>56</v>
      </c>
      <c r="F14">
        <v>7</v>
      </c>
      <c r="G14">
        <v>7</v>
      </c>
      <c r="H14">
        <v>38.299999999999997</v>
      </c>
      <c r="I14">
        <v>8.1</v>
      </c>
      <c r="J14">
        <v>17.3</v>
      </c>
      <c r="K14">
        <v>0.47099999999999997</v>
      </c>
      <c r="L14">
        <v>4.0999999999999996</v>
      </c>
      <c r="M14">
        <v>10.6</v>
      </c>
      <c r="N14">
        <v>0.39200000000000002</v>
      </c>
      <c r="O14">
        <v>4</v>
      </c>
      <c r="P14">
        <v>6.7</v>
      </c>
      <c r="Q14">
        <v>0.59599999999999997</v>
      </c>
      <c r="R14">
        <v>0.59099999999999997</v>
      </c>
      <c r="S14">
        <v>3.6</v>
      </c>
      <c r="T14">
        <v>4</v>
      </c>
      <c r="U14">
        <v>0.89300000000000002</v>
      </c>
      <c r="V14">
        <v>0.3</v>
      </c>
      <c r="W14">
        <v>5.6</v>
      </c>
      <c r="X14">
        <v>5.9</v>
      </c>
      <c r="Y14">
        <v>5.7</v>
      </c>
      <c r="Z14">
        <v>1.1000000000000001</v>
      </c>
      <c r="AA14">
        <v>0.9</v>
      </c>
      <c r="AB14">
        <v>3.7</v>
      </c>
      <c r="AC14">
        <v>1.9</v>
      </c>
      <c r="AD14">
        <v>24</v>
      </c>
      <c r="AE14">
        <f t="shared" si="0"/>
        <v>23.9</v>
      </c>
      <c r="AF14" t="s">
        <v>927</v>
      </c>
    </row>
    <row r="15" spans="1:32" x14ac:dyDescent="0.25">
      <c r="A15">
        <v>14</v>
      </c>
      <c r="B15" t="s">
        <v>476</v>
      </c>
      <c r="C15">
        <v>25</v>
      </c>
      <c r="D15" t="s">
        <v>85</v>
      </c>
      <c r="E15" t="s">
        <v>56</v>
      </c>
      <c r="F15">
        <v>2</v>
      </c>
      <c r="G15">
        <v>2</v>
      </c>
      <c r="H15">
        <v>31.5</v>
      </c>
      <c r="I15">
        <v>8</v>
      </c>
      <c r="J15">
        <v>15.5</v>
      </c>
      <c r="K15">
        <v>0.51600000000000001</v>
      </c>
      <c r="L15">
        <v>3.5</v>
      </c>
      <c r="M15">
        <v>8.5</v>
      </c>
      <c r="N15">
        <v>0.41199999999999998</v>
      </c>
      <c r="O15">
        <v>4.5</v>
      </c>
      <c r="P15">
        <v>7</v>
      </c>
      <c r="Q15">
        <v>0.64300000000000002</v>
      </c>
      <c r="R15">
        <v>0.629</v>
      </c>
      <c r="S15">
        <v>4.5</v>
      </c>
      <c r="T15">
        <v>5</v>
      </c>
      <c r="U15">
        <v>0.9</v>
      </c>
      <c r="V15">
        <v>0.5</v>
      </c>
      <c r="W15">
        <v>2</v>
      </c>
      <c r="X15">
        <v>2.5</v>
      </c>
      <c r="Y15">
        <v>7</v>
      </c>
      <c r="Z15">
        <v>0.5</v>
      </c>
      <c r="AA15">
        <v>0</v>
      </c>
      <c r="AB15">
        <v>1.5</v>
      </c>
      <c r="AC15">
        <v>2</v>
      </c>
      <c r="AD15">
        <v>24</v>
      </c>
      <c r="AE15">
        <f t="shared" si="0"/>
        <v>24</v>
      </c>
      <c r="AF15" t="s">
        <v>927</v>
      </c>
    </row>
    <row r="16" spans="1:32" x14ac:dyDescent="0.25">
      <c r="A16">
        <v>15</v>
      </c>
      <c r="B16" t="s">
        <v>147</v>
      </c>
      <c r="C16">
        <v>29</v>
      </c>
      <c r="D16" t="s">
        <v>148</v>
      </c>
      <c r="E16" t="s">
        <v>72</v>
      </c>
      <c r="F16">
        <v>7</v>
      </c>
      <c r="G16">
        <v>7</v>
      </c>
      <c r="H16">
        <v>40</v>
      </c>
      <c r="I16">
        <v>9.1</v>
      </c>
      <c r="J16">
        <v>18.3</v>
      </c>
      <c r="K16">
        <v>0.5</v>
      </c>
      <c r="L16">
        <v>2</v>
      </c>
      <c r="M16">
        <v>4.4000000000000004</v>
      </c>
      <c r="N16">
        <v>0.45200000000000001</v>
      </c>
      <c r="O16">
        <v>7.1</v>
      </c>
      <c r="P16">
        <v>13.9</v>
      </c>
      <c r="Q16">
        <v>0.51500000000000001</v>
      </c>
      <c r="R16">
        <v>0.55500000000000005</v>
      </c>
      <c r="S16">
        <v>3.7</v>
      </c>
      <c r="T16">
        <v>5.3</v>
      </c>
      <c r="U16">
        <v>0.70299999999999996</v>
      </c>
      <c r="V16">
        <v>1.6</v>
      </c>
      <c r="W16">
        <v>10</v>
      </c>
      <c r="X16">
        <v>11.6</v>
      </c>
      <c r="Y16">
        <v>10.1</v>
      </c>
      <c r="Z16">
        <v>2.2999999999999998</v>
      </c>
      <c r="AA16">
        <v>0.9</v>
      </c>
      <c r="AB16">
        <v>3.4</v>
      </c>
      <c r="AC16">
        <v>2.9</v>
      </c>
      <c r="AD16">
        <v>24</v>
      </c>
      <c r="AE16">
        <f t="shared" si="0"/>
        <v>23.9</v>
      </c>
      <c r="AF16" t="s">
        <v>927</v>
      </c>
    </row>
    <row r="17" spans="1:32" x14ac:dyDescent="0.25">
      <c r="A17">
        <v>16</v>
      </c>
      <c r="B17" t="s">
        <v>46</v>
      </c>
      <c r="C17">
        <v>23</v>
      </c>
      <c r="D17" t="s">
        <v>48</v>
      </c>
      <c r="E17" t="s">
        <v>63</v>
      </c>
      <c r="F17">
        <v>4</v>
      </c>
      <c r="G17">
        <v>4</v>
      </c>
      <c r="H17">
        <v>34</v>
      </c>
      <c r="I17">
        <v>9.8000000000000007</v>
      </c>
      <c r="J17">
        <v>18</v>
      </c>
      <c r="K17">
        <v>0.54200000000000004</v>
      </c>
      <c r="L17">
        <v>1.5</v>
      </c>
      <c r="M17">
        <v>5.3</v>
      </c>
      <c r="N17">
        <v>0.28599999999999998</v>
      </c>
      <c r="O17">
        <v>8.3000000000000007</v>
      </c>
      <c r="P17">
        <v>12.8</v>
      </c>
      <c r="Q17">
        <v>0.64700000000000002</v>
      </c>
      <c r="R17">
        <v>0.58299999999999996</v>
      </c>
      <c r="S17">
        <v>2.2999999999999998</v>
      </c>
      <c r="T17">
        <v>3.8</v>
      </c>
      <c r="U17">
        <v>0.6</v>
      </c>
      <c r="V17">
        <v>1.3</v>
      </c>
      <c r="W17">
        <v>4</v>
      </c>
      <c r="X17">
        <v>5.3</v>
      </c>
      <c r="Y17">
        <v>5.3</v>
      </c>
      <c r="Z17">
        <v>1.5</v>
      </c>
      <c r="AA17">
        <v>0.5</v>
      </c>
      <c r="AB17">
        <v>1.5</v>
      </c>
      <c r="AC17">
        <v>2.2999999999999998</v>
      </c>
      <c r="AD17">
        <v>23.3</v>
      </c>
      <c r="AE17">
        <f t="shared" si="0"/>
        <v>23.400000000000002</v>
      </c>
      <c r="AF17" t="s">
        <v>927</v>
      </c>
    </row>
    <row r="18" spans="1:32" x14ac:dyDescent="0.25">
      <c r="A18">
        <v>17</v>
      </c>
      <c r="B18" t="s">
        <v>1348</v>
      </c>
      <c r="C18">
        <v>28</v>
      </c>
      <c r="D18" t="s">
        <v>113</v>
      </c>
      <c r="E18" t="s">
        <v>47</v>
      </c>
      <c r="F18">
        <v>5</v>
      </c>
      <c r="G18">
        <v>5</v>
      </c>
      <c r="H18">
        <v>35.799999999999997</v>
      </c>
      <c r="I18">
        <v>8</v>
      </c>
      <c r="J18">
        <v>16.2</v>
      </c>
      <c r="K18">
        <v>0.49399999999999999</v>
      </c>
      <c r="L18">
        <v>1.6</v>
      </c>
      <c r="M18">
        <v>3.6</v>
      </c>
      <c r="N18">
        <v>0.44400000000000001</v>
      </c>
      <c r="O18">
        <v>6.4</v>
      </c>
      <c r="P18">
        <v>12.6</v>
      </c>
      <c r="Q18">
        <v>0.50800000000000001</v>
      </c>
      <c r="R18">
        <v>0.54300000000000004</v>
      </c>
      <c r="S18">
        <v>5.4</v>
      </c>
      <c r="T18">
        <v>6.4</v>
      </c>
      <c r="U18">
        <v>0.84399999999999997</v>
      </c>
      <c r="V18">
        <v>0.6</v>
      </c>
      <c r="W18">
        <v>7</v>
      </c>
      <c r="X18">
        <v>7.6</v>
      </c>
      <c r="Y18">
        <v>2.4</v>
      </c>
      <c r="Z18">
        <v>1.2</v>
      </c>
      <c r="AA18">
        <v>0.2</v>
      </c>
      <c r="AB18">
        <v>3.2</v>
      </c>
      <c r="AC18">
        <v>2.8</v>
      </c>
      <c r="AD18">
        <v>23</v>
      </c>
      <c r="AE18">
        <f t="shared" si="0"/>
        <v>23</v>
      </c>
      <c r="AF18" t="s">
        <v>927</v>
      </c>
    </row>
    <row r="19" spans="1:32" x14ac:dyDescent="0.25">
      <c r="A19">
        <v>18</v>
      </c>
      <c r="B19" t="s">
        <v>1391</v>
      </c>
      <c r="C19">
        <v>27</v>
      </c>
      <c r="D19" t="s">
        <v>148</v>
      </c>
      <c r="E19" t="s">
        <v>56</v>
      </c>
      <c r="F19">
        <v>7</v>
      </c>
      <c r="G19">
        <v>7</v>
      </c>
      <c r="H19">
        <v>42.1</v>
      </c>
      <c r="I19">
        <v>8.9</v>
      </c>
      <c r="J19">
        <v>18.399999999999999</v>
      </c>
      <c r="K19">
        <v>0.48099999999999998</v>
      </c>
      <c r="L19">
        <v>2.7</v>
      </c>
      <c r="M19">
        <v>6.7</v>
      </c>
      <c r="N19">
        <v>0.40400000000000003</v>
      </c>
      <c r="O19">
        <v>6.1</v>
      </c>
      <c r="P19">
        <v>11.7</v>
      </c>
      <c r="Q19">
        <v>0.52400000000000002</v>
      </c>
      <c r="R19">
        <v>0.55400000000000005</v>
      </c>
      <c r="S19">
        <v>2.4</v>
      </c>
      <c r="T19">
        <v>2.7</v>
      </c>
      <c r="U19">
        <v>0.89500000000000002</v>
      </c>
      <c r="V19">
        <v>0.1</v>
      </c>
      <c r="W19">
        <v>5.0999999999999996</v>
      </c>
      <c r="X19">
        <v>5.3</v>
      </c>
      <c r="Y19">
        <v>5.9</v>
      </c>
      <c r="Z19">
        <v>1.1000000000000001</v>
      </c>
      <c r="AA19">
        <v>0.9</v>
      </c>
      <c r="AB19">
        <v>3</v>
      </c>
      <c r="AC19">
        <v>2.2999999999999998</v>
      </c>
      <c r="AD19">
        <v>22.9</v>
      </c>
      <c r="AE19">
        <f t="shared" si="0"/>
        <v>22.9</v>
      </c>
      <c r="AF19" t="s">
        <v>927</v>
      </c>
    </row>
    <row r="20" spans="1:32" x14ac:dyDescent="0.25">
      <c r="A20">
        <v>19</v>
      </c>
      <c r="B20" t="s">
        <v>260</v>
      </c>
      <c r="C20">
        <v>30</v>
      </c>
      <c r="D20" t="s">
        <v>102</v>
      </c>
      <c r="E20" t="s">
        <v>93</v>
      </c>
      <c r="F20">
        <v>5</v>
      </c>
      <c r="G20">
        <v>5</v>
      </c>
      <c r="H20">
        <v>37.799999999999997</v>
      </c>
      <c r="I20">
        <v>7.6</v>
      </c>
      <c r="J20">
        <v>15.8</v>
      </c>
      <c r="K20">
        <v>0.48099999999999998</v>
      </c>
      <c r="L20">
        <v>2.2000000000000002</v>
      </c>
      <c r="M20">
        <v>5.6</v>
      </c>
      <c r="N20">
        <v>0.39300000000000002</v>
      </c>
      <c r="O20">
        <v>5.4</v>
      </c>
      <c r="P20">
        <v>10.199999999999999</v>
      </c>
      <c r="Q20">
        <v>0.52900000000000003</v>
      </c>
      <c r="R20">
        <v>0.55100000000000005</v>
      </c>
      <c r="S20">
        <v>5.2</v>
      </c>
      <c r="T20">
        <v>6.2</v>
      </c>
      <c r="U20">
        <v>0.83899999999999997</v>
      </c>
      <c r="V20">
        <v>1.6</v>
      </c>
      <c r="W20">
        <v>3.6</v>
      </c>
      <c r="X20">
        <v>5.2</v>
      </c>
      <c r="Y20">
        <v>4.4000000000000004</v>
      </c>
      <c r="Z20">
        <v>0.8</v>
      </c>
      <c r="AA20">
        <v>0.2</v>
      </c>
      <c r="AB20">
        <v>2.6</v>
      </c>
      <c r="AC20">
        <v>3.8</v>
      </c>
      <c r="AD20">
        <v>22.6</v>
      </c>
      <c r="AE20">
        <f t="shared" si="0"/>
        <v>22.599999999999998</v>
      </c>
      <c r="AF20" t="s">
        <v>927</v>
      </c>
    </row>
    <row r="21" spans="1:32" x14ac:dyDescent="0.25">
      <c r="A21">
        <v>20</v>
      </c>
      <c r="B21" t="s">
        <v>71</v>
      </c>
      <c r="C21">
        <v>22</v>
      </c>
      <c r="D21" t="s">
        <v>65</v>
      </c>
      <c r="E21" t="s">
        <v>72</v>
      </c>
      <c r="F21">
        <v>7</v>
      </c>
      <c r="G21">
        <v>7</v>
      </c>
      <c r="H21">
        <v>36.6</v>
      </c>
      <c r="I21">
        <v>8.4</v>
      </c>
      <c r="J21">
        <v>18.7</v>
      </c>
      <c r="K21">
        <v>0.45</v>
      </c>
      <c r="L21">
        <v>0.4</v>
      </c>
      <c r="M21">
        <v>1.1000000000000001</v>
      </c>
      <c r="N21">
        <v>0.375</v>
      </c>
      <c r="O21">
        <v>8</v>
      </c>
      <c r="P21">
        <v>17.600000000000001</v>
      </c>
      <c r="Q21">
        <v>0.45500000000000002</v>
      </c>
      <c r="R21">
        <v>0.46200000000000002</v>
      </c>
      <c r="S21">
        <v>3.6</v>
      </c>
      <c r="T21">
        <v>5.7</v>
      </c>
      <c r="U21">
        <v>0.625</v>
      </c>
      <c r="V21">
        <v>3</v>
      </c>
      <c r="W21">
        <v>8.9</v>
      </c>
      <c r="X21">
        <v>11.9</v>
      </c>
      <c r="Y21">
        <v>5.3</v>
      </c>
      <c r="Z21">
        <v>1.9</v>
      </c>
      <c r="AA21">
        <v>0.4</v>
      </c>
      <c r="AB21">
        <v>2.1</v>
      </c>
      <c r="AC21">
        <v>3.7</v>
      </c>
      <c r="AD21">
        <v>20.9</v>
      </c>
      <c r="AE21">
        <f t="shared" si="0"/>
        <v>20.8</v>
      </c>
      <c r="AF21" t="s">
        <v>927</v>
      </c>
    </row>
    <row r="22" spans="1:32" x14ac:dyDescent="0.25">
      <c r="A22">
        <v>21</v>
      </c>
      <c r="B22" t="s">
        <v>128</v>
      </c>
      <c r="C22">
        <v>29</v>
      </c>
      <c r="D22" t="s">
        <v>129</v>
      </c>
      <c r="E22" t="s">
        <v>72</v>
      </c>
      <c r="F22">
        <v>6</v>
      </c>
      <c r="G22">
        <v>6</v>
      </c>
      <c r="H22">
        <v>37.700000000000003</v>
      </c>
      <c r="I22">
        <v>7.3</v>
      </c>
      <c r="J22">
        <v>15</v>
      </c>
      <c r="K22">
        <v>0.48899999999999999</v>
      </c>
      <c r="L22">
        <v>2</v>
      </c>
      <c r="M22">
        <v>4.2</v>
      </c>
      <c r="N22">
        <v>0.48</v>
      </c>
      <c r="O22">
        <v>5.3</v>
      </c>
      <c r="P22">
        <v>10.8</v>
      </c>
      <c r="Q22">
        <v>0.49199999999999999</v>
      </c>
      <c r="R22">
        <v>0.55600000000000005</v>
      </c>
      <c r="S22">
        <v>3</v>
      </c>
      <c r="T22">
        <v>3.3</v>
      </c>
      <c r="U22">
        <v>0.9</v>
      </c>
      <c r="V22">
        <v>1.2</v>
      </c>
      <c r="W22">
        <v>8.8000000000000007</v>
      </c>
      <c r="X22">
        <v>10</v>
      </c>
      <c r="Y22">
        <v>1.7</v>
      </c>
      <c r="Z22">
        <v>1.2</v>
      </c>
      <c r="AA22">
        <v>1.3</v>
      </c>
      <c r="AB22">
        <v>1.3</v>
      </c>
      <c r="AC22">
        <v>4.5</v>
      </c>
      <c r="AD22">
        <v>19.7</v>
      </c>
      <c r="AE22">
        <f t="shared" si="0"/>
        <v>19.600000000000001</v>
      </c>
      <c r="AF22" t="s">
        <v>927</v>
      </c>
    </row>
    <row r="23" spans="1:32" x14ac:dyDescent="0.25">
      <c r="A23">
        <v>22</v>
      </c>
      <c r="B23" t="s">
        <v>280</v>
      </c>
      <c r="C23">
        <v>30</v>
      </c>
      <c r="D23" t="s">
        <v>170</v>
      </c>
      <c r="E23" t="s">
        <v>93</v>
      </c>
      <c r="F23">
        <v>6</v>
      </c>
      <c r="G23">
        <v>6</v>
      </c>
      <c r="H23">
        <v>33.799999999999997</v>
      </c>
      <c r="I23">
        <v>7.7</v>
      </c>
      <c r="J23">
        <v>14.5</v>
      </c>
      <c r="K23">
        <v>0.52900000000000003</v>
      </c>
      <c r="L23">
        <v>1.7</v>
      </c>
      <c r="M23">
        <v>3.8</v>
      </c>
      <c r="N23">
        <v>0.435</v>
      </c>
      <c r="O23">
        <v>6</v>
      </c>
      <c r="P23">
        <v>10.7</v>
      </c>
      <c r="Q23">
        <v>0.56299999999999994</v>
      </c>
      <c r="R23">
        <v>0.58599999999999997</v>
      </c>
      <c r="S23">
        <v>2.2999999999999998</v>
      </c>
      <c r="T23">
        <v>3</v>
      </c>
      <c r="U23">
        <v>0.77800000000000002</v>
      </c>
      <c r="V23">
        <v>0.5</v>
      </c>
      <c r="W23">
        <v>5.8</v>
      </c>
      <c r="X23">
        <v>6.3</v>
      </c>
      <c r="Y23">
        <v>2.7</v>
      </c>
      <c r="Z23">
        <v>1.2</v>
      </c>
      <c r="AA23">
        <v>0.3</v>
      </c>
      <c r="AB23">
        <v>1.3</v>
      </c>
      <c r="AC23">
        <v>3.5</v>
      </c>
      <c r="AD23">
        <v>19.3</v>
      </c>
      <c r="AE23">
        <f t="shared" si="0"/>
        <v>19.400000000000002</v>
      </c>
      <c r="AF23" t="s">
        <v>927</v>
      </c>
    </row>
    <row r="24" spans="1:32" x14ac:dyDescent="0.25">
      <c r="A24">
        <v>23</v>
      </c>
      <c r="B24" t="s">
        <v>347</v>
      </c>
      <c r="C24">
        <v>29</v>
      </c>
      <c r="D24" t="s">
        <v>148</v>
      </c>
      <c r="E24" t="s">
        <v>93</v>
      </c>
      <c r="F24">
        <v>7</v>
      </c>
      <c r="G24">
        <v>7</v>
      </c>
      <c r="H24">
        <v>38.9</v>
      </c>
      <c r="I24">
        <v>7</v>
      </c>
      <c r="J24">
        <v>13.6</v>
      </c>
      <c r="K24">
        <v>0.51600000000000001</v>
      </c>
      <c r="L24">
        <v>1</v>
      </c>
      <c r="M24">
        <v>3.4</v>
      </c>
      <c r="N24">
        <v>0.29199999999999998</v>
      </c>
      <c r="O24">
        <v>6</v>
      </c>
      <c r="P24">
        <v>10.1</v>
      </c>
      <c r="Q24">
        <v>0.59199999999999997</v>
      </c>
      <c r="R24">
        <v>0.55300000000000005</v>
      </c>
      <c r="S24">
        <v>3.9</v>
      </c>
      <c r="T24">
        <v>4.4000000000000004</v>
      </c>
      <c r="U24">
        <v>0.871</v>
      </c>
      <c r="V24">
        <v>3.3</v>
      </c>
      <c r="W24">
        <v>2.4</v>
      </c>
      <c r="X24">
        <v>5.7</v>
      </c>
      <c r="Y24">
        <v>2.1</v>
      </c>
      <c r="Z24">
        <v>0.7</v>
      </c>
      <c r="AA24">
        <v>0.4</v>
      </c>
      <c r="AB24">
        <v>1.6</v>
      </c>
      <c r="AC24">
        <v>3</v>
      </c>
      <c r="AD24">
        <v>18.899999999999999</v>
      </c>
      <c r="AE24">
        <f t="shared" si="0"/>
        <v>18.899999999999999</v>
      </c>
      <c r="AF24" t="s">
        <v>927</v>
      </c>
    </row>
    <row r="25" spans="1:32" x14ac:dyDescent="0.25">
      <c r="A25">
        <v>24</v>
      </c>
      <c r="B25" t="s">
        <v>284</v>
      </c>
      <c r="C25">
        <v>26</v>
      </c>
      <c r="D25" t="s">
        <v>105</v>
      </c>
      <c r="E25" t="s">
        <v>63</v>
      </c>
      <c r="F25">
        <v>5</v>
      </c>
      <c r="G25">
        <v>3</v>
      </c>
      <c r="H25">
        <v>34.200000000000003</v>
      </c>
      <c r="I25">
        <v>6.4</v>
      </c>
      <c r="J25">
        <v>12.4</v>
      </c>
      <c r="K25">
        <v>0.51600000000000001</v>
      </c>
      <c r="L25">
        <v>4.4000000000000004</v>
      </c>
      <c r="M25">
        <v>8.8000000000000007</v>
      </c>
      <c r="N25">
        <v>0.5</v>
      </c>
      <c r="O25">
        <v>2</v>
      </c>
      <c r="P25">
        <v>3.6</v>
      </c>
      <c r="Q25">
        <v>0.55600000000000005</v>
      </c>
      <c r="R25">
        <v>0.69399999999999995</v>
      </c>
      <c r="S25">
        <v>1.6</v>
      </c>
      <c r="T25">
        <v>2</v>
      </c>
      <c r="U25">
        <v>0.8</v>
      </c>
      <c r="V25">
        <v>0.2</v>
      </c>
      <c r="W25">
        <v>2</v>
      </c>
      <c r="X25">
        <v>2.2000000000000002</v>
      </c>
      <c r="Y25">
        <v>1.2</v>
      </c>
      <c r="Z25">
        <v>2.6</v>
      </c>
      <c r="AA25">
        <v>0</v>
      </c>
      <c r="AB25">
        <v>0.6</v>
      </c>
      <c r="AC25">
        <v>1.8</v>
      </c>
      <c r="AD25">
        <v>18.8</v>
      </c>
      <c r="AE25">
        <f t="shared" si="0"/>
        <v>18.800000000000004</v>
      </c>
      <c r="AF25" t="s">
        <v>927</v>
      </c>
    </row>
    <row r="26" spans="1:32" x14ac:dyDescent="0.25">
      <c r="A26">
        <v>25</v>
      </c>
      <c r="B26" t="s">
        <v>118</v>
      </c>
      <c r="C26">
        <v>35</v>
      </c>
      <c r="D26" t="s">
        <v>79</v>
      </c>
      <c r="E26" t="s">
        <v>56</v>
      </c>
      <c r="F26">
        <v>7</v>
      </c>
      <c r="G26">
        <v>7</v>
      </c>
      <c r="H26">
        <v>39.4</v>
      </c>
      <c r="I26">
        <v>6.3</v>
      </c>
      <c r="J26">
        <v>14.4</v>
      </c>
      <c r="K26">
        <v>0.436</v>
      </c>
      <c r="L26">
        <v>2.2999999999999998</v>
      </c>
      <c r="M26">
        <v>6.3</v>
      </c>
      <c r="N26">
        <v>0.36399999999999999</v>
      </c>
      <c r="O26">
        <v>4</v>
      </c>
      <c r="P26">
        <v>8.1</v>
      </c>
      <c r="Q26">
        <v>0.49099999999999999</v>
      </c>
      <c r="R26">
        <v>0.51500000000000001</v>
      </c>
      <c r="S26">
        <v>3.9</v>
      </c>
      <c r="T26">
        <v>4.7</v>
      </c>
      <c r="U26">
        <v>0.81799999999999995</v>
      </c>
      <c r="V26">
        <v>0.6</v>
      </c>
      <c r="W26">
        <v>4.9000000000000004</v>
      </c>
      <c r="X26">
        <v>5.4</v>
      </c>
      <c r="Y26">
        <v>9.1</v>
      </c>
      <c r="Z26">
        <v>1.3</v>
      </c>
      <c r="AA26">
        <v>1</v>
      </c>
      <c r="AB26">
        <v>3</v>
      </c>
      <c r="AC26">
        <v>2.2999999999999998</v>
      </c>
      <c r="AD26">
        <v>18.7</v>
      </c>
      <c r="AE26">
        <f t="shared" si="0"/>
        <v>18.799999999999997</v>
      </c>
      <c r="AF26" t="s">
        <v>927</v>
      </c>
    </row>
    <row r="27" spans="1:32" x14ac:dyDescent="0.25">
      <c r="A27">
        <v>26</v>
      </c>
      <c r="B27" t="s">
        <v>159</v>
      </c>
      <c r="C27">
        <v>30</v>
      </c>
      <c r="D27" t="s">
        <v>65</v>
      </c>
      <c r="E27" t="s">
        <v>56</v>
      </c>
      <c r="F27">
        <v>7</v>
      </c>
      <c r="G27">
        <v>7</v>
      </c>
      <c r="H27">
        <v>40</v>
      </c>
      <c r="I27">
        <v>5.7</v>
      </c>
      <c r="J27">
        <v>13.3</v>
      </c>
      <c r="K27">
        <v>0.43</v>
      </c>
      <c r="L27">
        <v>3.9</v>
      </c>
      <c r="M27">
        <v>8.9</v>
      </c>
      <c r="N27">
        <v>0.435</v>
      </c>
      <c r="O27">
        <v>1.9</v>
      </c>
      <c r="P27">
        <v>4.4000000000000004</v>
      </c>
      <c r="Q27">
        <v>0.41899999999999998</v>
      </c>
      <c r="R27">
        <v>0.57499999999999996</v>
      </c>
      <c r="S27">
        <v>3.4</v>
      </c>
      <c r="T27">
        <v>3.4</v>
      </c>
      <c r="U27">
        <v>1</v>
      </c>
      <c r="V27">
        <v>0.4</v>
      </c>
      <c r="W27">
        <v>3.7</v>
      </c>
      <c r="X27">
        <v>4.0999999999999996</v>
      </c>
      <c r="Y27">
        <v>4.4000000000000004</v>
      </c>
      <c r="Z27">
        <v>1</v>
      </c>
      <c r="AA27">
        <v>0.3</v>
      </c>
      <c r="AB27">
        <v>1.9</v>
      </c>
      <c r="AC27">
        <v>2.2999999999999998</v>
      </c>
      <c r="AD27">
        <v>18.7</v>
      </c>
      <c r="AE27">
        <f t="shared" si="0"/>
        <v>18.7</v>
      </c>
      <c r="AF27" t="s">
        <v>927</v>
      </c>
    </row>
    <row r="28" spans="1:32" x14ac:dyDescent="0.25">
      <c r="A28">
        <v>27</v>
      </c>
      <c r="B28" t="s">
        <v>1653</v>
      </c>
      <c r="C28">
        <v>22</v>
      </c>
      <c r="D28" t="s">
        <v>48</v>
      </c>
      <c r="E28" t="s">
        <v>72</v>
      </c>
      <c r="F28">
        <v>4</v>
      </c>
      <c r="G28">
        <v>4</v>
      </c>
      <c r="H28">
        <v>29</v>
      </c>
      <c r="I28">
        <v>5.5</v>
      </c>
      <c r="J28">
        <v>12.5</v>
      </c>
      <c r="K28">
        <v>0.44</v>
      </c>
      <c r="L28">
        <v>2.8</v>
      </c>
      <c r="M28">
        <v>6.5</v>
      </c>
      <c r="N28">
        <v>0.42299999999999999</v>
      </c>
      <c r="O28">
        <v>2.8</v>
      </c>
      <c r="P28">
        <v>6</v>
      </c>
      <c r="Q28">
        <v>0.45800000000000002</v>
      </c>
      <c r="R28">
        <v>0.55000000000000004</v>
      </c>
      <c r="S28">
        <v>4.8</v>
      </c>
      <c r="T28">
        <v>5.5</v>
      </c>
      <c r="U28">
        <v>0.86399999999999999</v>
      </c>
      <c r="V28">
        <v>1.3</v>
      </c>
      <c r="W28">
        <v>6.5</v>
      </c>
      <c r="X28">
        <v>7.8</v>
      </c>
      <c r="Y28">
        <v>0.8</v>
      </c>
      <c r="Z28">
        <v>0.8</v>
      </c>
      <c r="AA28">
        <v>2.8</v>
      </c>
      <c r="AB28">
        <v>0.8</v>
      </c>
      <c r="AC28">
        <v>1.5</v>
      </c>
      <c r="AD28">
        <v>18.5</v>
      </c>
      <c r="AE28">
        <f t="shared" si="0"/>
        <v>18.599999999999998</v>
      </c>
      <c r="AF28" t="s">
        <v>927</v>
      </c>
    </row>
    <row r="29" spans="1:32" x14ac:dyDescent="0.25">
      <c r="A29">
        <v>28</v>
      </c>
      <c r="B29" t="s">
        <v>317</v>
      </c>
      <c r="C29">
        <v>35</v>
      </c>
      <c r="D29" t="s">
        <v>1223</v>
      </c>
      <c r="E29" t="s">
        <v>47</v>
      </c>
      <c r="F29">
        <v>6</v>
      </c>
      <c r="G29">
        <v>6</v>
      </c>
      <c r="H29">
        <v>33.700000000000003</v>
      </c>
      <c r="I29">
        <v>5.7</v>
      </c>
      <c r="J29">
        <v>12.2</v>
      </c>
      <c r="K29">
        <v>0.46600000000000003</v>
      </c>
      <c r="L29">
        <v>0.8</v>
      </c>
      <c r="M29">
        <v>2.7</v>
      </c>
      <c r="N29">
        <v>0.313</v>
      </c>
      <c r="O29">
        <v>4.8</v>
      </c>
      <c r="P29">
        <v>9.5</v>
      </c>
      <c r="Q29">
        <v>0.50900000000000001</v>
      </c>
      <c r="R29">
        <v>0.5</v>
      </c>
      <c r="S29">
        <v>6.2</v>
      </c>
      <c r="T29">
        <v>7.3</v>
      </c>
      <c r="U29">
        <v>0.84099999999999997</v>
      </c>
      <c r="V29">
        <v>1.7</v>
      </c>
      <c r="W29">
        <v>4.3</v>
      </c>
      <c r="X29">
        <v>6</v>
      </c>
      <c r="Y29">
        <v>4.8</v>
      </c>
      <c r="Z29">
        <v>1.3</v>
      </c>
      <c r="AA29">
        <v>0.3</v>
      </c>
      <c r="AB29">
        <v>0.5</v>
      </c>
      <c r="AC29">
        <v>1.5</v>
      </c>
      <c r="AD29">
        <v>18.3</v>
      </c>
      <c r="AE29">
        <f t="shared" si="0"/>
        <v>18.400000000000002</v>
      </c>
      <c r="AF29" t="s">
        <v>927</v>
      </c>
    </row>
    <row r="30" spans="1:32" x14ac:dyDescent="0.25">
      <c r="A30">
        <v>29</v>
      </c>
      <c r="B30" t="s">
        <v>314</v>
      </c>
      <c r="C30">
        <v>24</v>
      </c>
      <c r="D30" t="s">
        <v>170</v>
      </c>
      <c r="E30" t="s">
        <v>56</v>
      </c>
      <c r="F30">
        <v>6</v>
      </c>
      <c r="G30">
        <v>6</v>
      </c>
      <c r="H30">
        <v>35.5</v>
      </c>
      <c r="I30">
        <v>6.8</v>
      </c>
      <c r="J30">
        <v>15.2</v>
      </c>
      <c r="K30">
        <v>0.45100000000000001</v>
      </c>
      <c r="L30">
        <v>2.2000000000000002</v>
      </c>
      <c r="M30">
        <v>7.8</v>
      </c>
      <c r="N30">
        <v>0.27700000000000002</v>
      </c>
      <c r="O30">
        <v>4.7</v>
      </c>
      <c r="P30">
        <v>7.3</v>
      </c>
      <c r="Q30">
        <v>0.63600000000000001</v>
      </c>
      <c r="R30">
        <v>0.52200000000000002</v>
      </c>
      <c r="S30">
        <v>2.5</v>
      </c>
      <c r="T30">
        <v>3</v>
      </c>
      <c r="U30">
        <v>0.83299999999999996</v>
      </c>
      <c r="V30">
        <v>0.3</v>
      </c>
      <c r="W30">
        <v>5.5</v>
      </c>
      <c r="X30">
        <v>5.8</v>
      </c>
      <c r="Y30">
        <v>11.8</v>
      </c>
      <c r="Z30">
        <v>0.8</v>
      </c>
      <c r="AA30">
        <v>1.2</v>
      </c>
      <c r="AB30">
        <v>2</v>
      </c>
      <c r="AC30">
        <v>1.5</v>
      </c>
      <c r="AD30">
        <v>18.3</v>
      </c>
      <c r="AE30">
        <f t="shared" si="0"/>
        <v>18.3</v>
      </c>
      <c r="AF30" t="s">
        <v>927</v>
      </c>
    </row>
    <row r="31" spans="1:32" x14ac:dyDescent="0.25">
      <c r="A31">
        <v>30</v>
      </c>
      <c r="B31" t="s">
        <v>301</v>
      </c>
      <c r="C31">
        <v>25</v>
      </c>
      <c r="D31" t="s">
        <v>156</v>
      </c>
      <c r="E31" t="s">
        <v>56</v>
      </c>
      <c r="F31">
        <v>3</v>
      </c>
      <c r="G31">
        <v>3</v>
      </c>
      <c r="H31">
        <v>27.3</v>
      </c>
      <c r="I31">
        <v>7.3</v>
      </c>
      <c r="J31">
        <v>17.7</v>
      </c>
      <c r="K31">
        <v>0.41499999999999998</v>
      </c>
      <c r="L31">
        <v>1.3</v>
      </c>
      <c r="M31">
        <v>5.3</v>
      </c>
      <c r="N31">
        <v>0.25</v>
      </c>
      <c r="O31">
        <v>6</v>
      </c>
      <c r="P31">
        <v>12.3</v>
      </c>
      <c r="Q31">
        <v>0.48599999999999999</v>
      </c>
      <c r="R31">
        <v>0.45300000000000001</v>
      </c>
      <c r="S31">
        <v>2.2999999999999998</v>
      </c>
      <c r="T31">
        <v>3.7</v>
      </c>
      <c r="U31">
        <v>0.63600000000000001</v>
      </c>
      <c r="V31">
        <v>0.3</v>
      </c>
      <c r="W31">
        <v>1.7</v>
      </c>
      <c r="X31">
        <v>2</v>
      </c>
      <c r="Y31">
        <v>5</v>
      </c>
      <c r="Z31">
        <v>0.7</v>
      </c>
      <c r="AA31">
        <v>0.7</v>
      </c>
      <c r="AB31">
        <v>2</v>
      </c>
      <c r="AC31">
        <v>1</v>
      </c>
      <c r="AD31">
        <v>18.3</v>
      </c>
      <c r="AE31">
        <f t="shared" si="0"/>
        <v>18.2</v>
      </c>
      <c r="AF31" t="s">
        <v>927</v>
      </c>
    </row>
    <row r="32" spans="1:32" x14ac:dyDescent="0.25">
      <c r="A32">
        <v>31</v>
      </c>
      <c r="B32" t="s">
        <v>350</v>
      </c>
      <c r="C32">
        <v>24</v>
      </c>
      <c r="D32" t="s">
        <v>156</v>
      </c>
      <c r="E32" t="s">
        <v>56</v>
      </c>
      <c r="F32">
        <v>4</v>
      </c>
      <c r="G32">
        <v>4</v>
      </c>
      <c r="H32">
        <v>32.299999999999997</v>
      </c>
      <c r="I32">
        <v>5.5</v>
      </c>
      <c r="J32">
        <v>14.5</v>
      </c>
      <c r="K32">
        <v>0.379</v>
      </c>
      <c r="L32">
        <v>2.5</v>
      </c>
      <c r="M32">
        <v>7</v>
      </c>
      <c r="N32">
        <v>0.35699999999999998</v>
      </c>
      <c r="O32">
        <v>3</v>
      </c>
      <c r="P32">
        <v>7.5</v>
      </c>
      <c r="Q32">
        <v>0.4</v>
      </c>
      <c r="R32">
        <v>0.46600000000000003</v>
      </c>
      <c r="S32">
        <v>4.8</v>
      </c>
      <c r="T32">
        <v>4.8</v>
      </c>
      <c r="U32">
        <v>1</v>
      </c>
      <c r="V32">
        <v>1</v>
      </c>
      <c r="W32">
        <v>4.5</v>
      </c>
      <c r="X32">
        <v>5.5</v>
      </c>
      <c r="Y32">
        <v>3.5</v>
      </c>
      <c r="Z32">
        <v>1</v>
      </c>
      <c r="AA32">
        <v>0.3</v>
      </c>
      <c r="AB32">
        <v>3.5</v>
      </c>
      <c r="AC32">
        <v>4.8</v>
      </c>
      <c r="AD32">
        <v>18.3</v>
      </c>
      <c r="AE32">
        <f t="shared" si="0"/>
        <v>18.3</v>
      </c>
      <c r="AF32" t="s">
        <v>927</v>
      </c>
    </row>
    <row r="33" spans="1:32" x14ac:dyDescent="0.25">
      <c r="A33">
        <v>32</v>
      </c>
      <c r="B33" t="s">
        <v>209</v>
      </c>
      <c r="C33">
        <v>25</v>
      </c>
      <c r="D33" t="s">
        <v>133</v>
      </c>
      <c r="E33" t="s">
        <v>63</v>
      </c>
      <c r="F33">
        <v>4</v>
      </c>
      <c r="G33">
        <v>4</v>
      </c>
      <c r="H33">
        <v>36</v>
      </c>
      <c r="I33">
        <v>6.8</v>
      </c>
      <c r="J33">
        <v>16.3</v>
      </c>
      <c r="K33">
        <v>0.41499999999999998</v>
      </c>
      <c r="L33">
        <v>2.2999999999999998</v>
      </c>
      <c r="M33">
        <v>7.3</v>
      </c>
      <c r="N33">
        <v>0.31</v>
      </c>
      <c r="O33">
        <v>4.5</v>
      </c>
      <c r="P33">
        <v>9</v>
      </c>
      <c r="Q33">
        <v>0.5</v>
      </c>
      <c r="R33">
        <v>0.48499999999999999</v>
      </c>
      <c r="S33">
        <v>2</v>
      </c>
      <c r="T33">
        <v>2.5</v>
      </c>
      <c r="U33">
        <v>0.8</v>
      </c>
      <c r="V33">
        <v>0</v>
      </c>
      <c r="W33">
        <v>3.5</v>
      </c>
      <c r="X33">
        <v>3.5</v>
      </c>
      <c r="Y33">
        <v>2.8</v>
      </c>
      <c r="Z33">
        <v>0.5</v>
      </c>
      <c r="AA33">
        <v>0</v>
      </c>
      <c r="AB33">
        <v>2.2999999999999998</v>
      </c>
      <c r="AC33">
        <v>3</v>
      </c>
      <c r="AD33">
        <v>17.8</v>
      </c>
      <c r="AE33">
        <f t="shared" si="0"/>
        <v>17.899999999999999</v>
      </c>
      <c r="AF33" t="s">
        <v>927</v>
      </c>
    </row>
    <row r="34" spans="1:32" x14ac:dyDescent="0.25">
      <c r="A34">
        <v>33</v>
      </c>
      <c r="B34" t="s">
        <v>132</v>
      </c>
      <c r="C34">
        <v>27</v>
      </c>
      <c r="D34" t="s">
        <v>133</v>
      </c>
      <c r="E34" t="s">
        <v>72</v>
      </c>
      <c r="F34">
        <v>4</v>
      </c>
      <c r="G34">
        <v>4</v>
      </c>
      <c r="H34">
        <v>38.299999999999997</v>
      </c>
      <c r="I34">
        <v>7</v>
      </c>
      <c r="J34">
        <v>16</v>
      </c>
      <c r="K34">
        <v>0.438</v>
      </c>
      <c r="L34">
        <v>1.8</v>
      </c>
      <c r="M34">
        <v>5.3</v>
      </c>
      <c r="N34">
        <v>0.33300000000000002</v>
      </c>
      <c r="O34">
        <v>5.3</v>
      </c>
      <c r="P34">
        <v>10.8</v>
      </c>
      <c r="Q34">
        <v>0.48799999999999999</v>
      </c>
      <c r="R34">
        <v>0.49199999999999999</v>
      </c>
      <c r="S34">
        <v>1.8</v>
      </c>
      <c r="T34">
        <v>2.8</v>
      </c>
      <c r="U34">
        <v>0.63600000000000001</v>
      </c>
      <c r="V34">
        <v>4</v>
      </c>
      <c r="W34">
        <v>7</v>
      </c>
      <c r="X34">
        <v>11</v>
      </c>
      <c r="Y34">
        <v>4.3</v>
      </c>
      <c r="Z34">
        <v>1</v>
      </c>
      <c r="AA34">
        <v>0.3</v>
      </c>
      <c r="AB34">
        <v>3</v>
      </c>
      <c r="AC34">
        <v>2.2999999999999998</v>
      </c>
      <c r="AD34">
        <v>17.5</v>
      </c>
      <c r="AE34">
        <f t="shared" si="0"/>
        <v>17.600000000000001</v>
      </c>
      <c r="AF34" t="s">
        <v>927</v>
      </c>
    </row>
    <row r="35" spans="1:32" x14ac:dyDescent="0.25">
      <c r="A35">
        <v>34</v>
      </c>
      <c r="B35" t="s">
        <v>135</v>
      </c>
      <c r="C35">
        <v>24</v>
      </c>
      <c r="D35" t="s">
        <v>102</v>
      </c>
      <c r="E35" t="s">
        <v>93</v>
      </c>
      <c r="F35">
        <v>5</v>
      </c>
      <c r="G35">
        <v>5</v>
      </c>
      <c r="H35">
        <v>33.200000000000003</v>
      </c>
      <c r="I35">
        <v>7</v>
      </c>
      <c r="J35">
        <v>12.2</v>
      </c>
      <c r="K35">
        <v>0.57399999999999995</v>
      </c>
      <c r="L35">
        <v>1.2</v>
      </c>
      <c r="M35">
        <v>3.2</v>
      </c>
      <c r="N35">
        <v>0.375</v>
      </c>
      <c r="O35">
        <v>5.8</v>
      </c>
      <c r="P35">
        <v>9</v>
      </c>
      <c r="Q35">
        <v>0.64400000000000002</v>
      </c>
      <c r="R35">
        <v>0.623</v>
      </c>
      <c r="S35">
        <v>2.2000000000000002</v>
      </c>
      <c r="T35">
        <v>2.6</v>
      </c>
      <c r="U35">
        <v>0.84599999999999997</v>
      </c>
      <c r="V35">
        <v>2.4</v>
      </c>
      <c r="W35">
        <v>4</v>
      </c>
      <c r="X35">
        <v>6.4</v>
      </c>
      <c r="Y35">
        <v>1.4</v>
      </c>
      <c r="Z35">
        <v>1</v>
      </c>
      <c r="AA35">
        <v>0.2</v>
      </c>
      <c r="AB35">
        <v>0.8</v>
      </c>
      <c r="AC35">
        <v>4</v>
      </c>
      <c r="AD35">
        <v>17.399999999999999</v>
      </c>
      <c r="AE35">
        <f t="shared" si="0"/>
        <v>17.399999999999999</v>
      </c>
      <c r="AF35" t="s">
        <v>927</v>
      </c>
    </row>
    <row r="36" spans="1:32" x14ac:dyDescent="0.25">
      <c r="A36">
        <v>35</v>
      </c>
      <c r="B36" t="s">
        <v>78</v>
      </c>
      <c r="C36">
        <v>27</v>
      </c>
      <c r="D36" t="s">
        <v>79</v>
      </c>
      <c r="E36" t="s">
        <v>72</v>
      </c>
      <c r="F36">
        <v>7</v>
      </c>
      <c r="G36">
        <v>7</v>
      </c>
      <c r="H36">
        <v>36.6</v>
      </c>
      <c r="I36">
        <v>7.7</v>
      </c>
      <c r="J36">
        <v>11.7</v>
      </c>
      <c r="K36">
        <v>0.65900000000000003</v>
      </c>
      <c r="L36">
        <v>0</v>
      </c>
      <c r="M36">
        <v>0</v>
      </c>
      <c r="O36">
        <v>7.7</v>
      </c>
      <c r="P36">
        <v>11.7</v>
      </c>
      <c r="Q36">
        <v>0.65900000000000003</v>
      </c>
      <c r="R36">
        <v>0.65900000000000003</v>
      </c>
      <c r="S36">
        <v>2</v>
      </c>
      <c r="T36">
        <v>3.7</v>
      </c>
      <c r="U36">
        <v>0.53800000000000003</v>
      </c>
      <c r="V36">
        <v>3.9</v>
      </c>
      <c r="W36">
        <v>6.3</v>
      </c>
      <c r="X36">
        <v>10.1</v>
      </c>
      <c r="Y36">
        <v>2.2999999999999998</v>
      </c>
      <c r="Z36">
        <v>0.7</v>
      </c>
      <c r="AA36">
        <v>1</v>
      </c>
      <c r="AB36">
        <v>1.6</v>
      </c>
      <c r="AC36">
        <v>2.7</v>
      </c>
      <c r="AD36">
        <v>17.399999999999999</v>
      </c>
      <c r="AE36">
        <f t="shared" si="0"/>
        <v>17.399999999999999</v>
      </c>
      <c r="AF36" t="s">
        <v>927</v>
      </c>
    </row>
    <row r="37" spans="1:32" x14ac:dyDescent="0.25">
      <c r="A37">
        <v>36</v>
      </c>
      <c r="B37" t="s">
        <v>404</v>
      </c>
      <c r="C37">
        <v>27</v>
      </c>
      <c r="D37" t="s">
        <v>129</v>
      </c>
      <c r="E37" t="s">
        <v>93</v>
      </c>
      <c r="F37">
        <v>6</v>
      </c>
      <c r="G37">
        <v>6</v>
      </c>
      <c r="H37">
        <v>42</v>
      </c>
      <c r="I37">
        <v>6</v>
      </c>
      <c r="J37">
        <v>14.2</v>
      </c>
      <c r="K37">
        <v>0.42399999999999999</v>
      </c>
      <c r="L37">
        <v>2.2000000000000002</v>
      </c>
      <c r="M37">
        <v>6.2</v>
      </c>
      <c r="N37">
        <v>0.35099999999999998</v>
      </c>
      <c r="O37">
        <v>3.8</v>
      </c>
      <c r="P37">
        <v>8</v>
      </c>
      <c r="Q37">
        <v>0.47899999999999998</v>
      </c>
      <c r="R37">
        <v>0.5</v>
      </c>
      <c r="S37">
        <v>3.2</v>
      </c>
      <c r="T37">
        <v>3.5</v>
      </c>
      <c r="U37">
        <v>0.90500000000000003</v>
      </c>
      <c r="V37">
        <v>1.3</v>
      </c>
      <c r="W37">
        <v>3.5</v>
      </c>
      <c r="X37">
        <v>4.8</v>
      </c>
      <c r="Y37">
        <v>0.7</v>
      </c>
      <c r="Z37">
        <v>2.5</v>
      </c>
      <c r="AA37">
        <v>1.3</v>
      </c>
      <c r="AB37">
        <v>1.7</v>
      </c>
      <c r="AC37">
        <v>3.2</v>
      </c>
      <c r="AD37">
        <v>17.3</v>
      </c>
      <c r="AE37">
        <f t="shared" si="0"/>
        <v>17.399999999999999</v>
      </c>
      <c r="AF37" t="s">
        <v>927</v>
      </c>
    </row>
    <row r="38" spans="1:32" x14ac:dyDescent="0.25">
      <c r="A38">
        <v>37</v>
      </c>
      <c r="B38" t="s">
        <v>1805</v>
      </c>
      <c r="C38">
        <v>27</v>
      </c>
      <c r="D38" t="s">
        <v>85</v>
      </c>
      <c r="E38" t="s">
        <v>63</v>
      </c>
      <c r="F38">
        <v>5</v>
      </c>
      <c r="G38">
        <v>0</v>
      </c>
      <c r="H38">
        <v>24.2</v>
      </c>
      <c r="I38">
        <v>6</v>
      </c>
      <c r="J38">
        <v>12.4</v>
      </c>
      <c r="K38">
        <v>0.48399999999999999</v>
      </c>
      <c r="L38">
        <v>2.2000000000000002</v>
      </c>
      <c r="M38">
        <v>4.8</v>
      </c>
      <c r="N38">
        <v>0.45800000000000002</v>
      </c>
      <c r="O38">
        <v>3.8</v>
      </c>
      <c r="P38">
        <v>7.6</v>
      </c>
      <c r="Q38">
        <v>0.5</v>
      </c>
      <c r="R38">
        <v>0.57299999999999995</v>
      </c>
      <c r="S38">
        <v>3</v>
      </c>
      <c r="T38">
        <v>3.6</v>
      </c>
      <c r="U38">
        <v>0.83299999999999996</v>
      </c>
      <c r="V38">
        <v>0.8</v>
      </c>
      <c r="W38">
        <v>2.6</v>
      </c>
      <c r="X38">
        <v>3.4</v>
      </c>
      <c r="Y38">
        <v>5.4</v>
      </c>
      <c r="Z38">
        <v>0.8</v>
      </c>
      <c r="AA38">
        <v>0.2</v>
      </c>
      <c r="AB38">
        <v>0.6</v>
      </c>
      <c r="AC38">
        <v>1</v>
      </c>
      <c r="AD38">
        <v>17.2</v>
      </c>
      <c r="AE38">
        <f t="shared" si="0"/>
        <v>17.2</v>
      </c>
      <c r="AF38" t="s">
        <v>927</v>
      </c>
    </row>
    <row r="39" spans="1:32" x14ac:dyDescent="0.25">
      <c r="A39">
        <v>38</v>
      </c>
      <c r="B39" t="s">
        <v>226</v>
      </c>
      <c r="C39">
        <v>30</v>
      </c>
      <c r="D39" t="s">
        <v>113</v>
      </c>
      <c r="E39" t="s">
        <v>63</v>
      </c>
      <c r="F39">
        <v>5</v>
      </c>
      <c r="G39">
        <v>5</v>
      </c>
      <c r="H39">
        <v>36.799999999999997</v>
      </c>
      <c r="I39">
        <v>6.4</v>
      </c>
      <c r="J39">
        <v>12.6</v>
      </c>
      <c r="K39">
        <v>0.50800000000000001</v>
      </c>
      <c r="L39">
        <v>2.8</v>
      </c>
      <c r="M39">
        <v>7.8</v>
      </c>
      <c r="N39">
        <v>0.35899999999999999</v>
      </c>
      <c r="O39">
        <v>3.6</v>
      </c>
      <c r="P39">
        <v>4.8</v>
      </c>
      <c r="Q39">
        <v>0.75</v>
      </c>
      <c r="R39">
        <v>0.61899999999999999</v>
      </c>
      <c r="S39">
        <v>1.6</v>
      </c>
      <c r="T39">
        <v>1.8</v>
      </c>
      <c r="U39">
        <v>0.88900000000000001</v>
      </c>
      <c r="V39">
        <v>1</v>
      </c>
      <c r="W39">
        <v>3.8</v>
      </c>
      <c r="X39">
        <v>4.8</v>
      </c>
      <c r="Y39">
        <v>4.8</v>
      </c>
      <c r="Z39">
        <v>1</v>
      </c>
      <c r="AA39">
        <v>0.8</v>
      </c>
      <c r="AB39">
        <v>1.2</v>
      </c>
      <c r="AC39">
        <v>1.8</v>
      </c>
      <c r="AD39">
        <v>17.2</v>
      </c>
      <c r="AE39">
        <f t="shared" si="0"/>
        <v>17.2</v>
      </c>
      <c r="AF39" t="s">
        <v>927</v>
      </c>
    </row>
    <row r="40" spans="1:32" x14ac:dyDescent="0.25">
      <c r="A40">
        <v>39</v>
      </c>
      <c r="B40" t="s">
        <v>92</v>
      </c>
      <c r="C40">
        <v>23</v>
      </c>
      <c r="D40" t="s">
        <v>85</v>
      </c>
      <c r="E40" t="s">
        <v>93</v>
      </c>
      <c r="F40">
        <v>5</v>
      </c>
      <c r="G40">
        <v>5</v>
      </c>
      <c r="H40">
        <v>31.6</v>
      </c>
      <c r="I40">
        <v>6.8</v>
      </c>
      <c r="J40">
        <v>11</v>
      </c>
      <c r="K40">
        <v>0.61799999999999999</v>
      </c>
      <c r="L40">
        <v>2</v>
      </c>
      <c r="M40">
        <v>4.4000000000000004</v>
      </c>
      <c r="N40">
        <v>0.45500000000000002</v>
      </c>
      <c r="O40">
        <v>4.8</v>
      </c>
      <c r="P40">
        <v>6.6</v>
      </c>
      <c r="Q40">
        <v>0.72699999999999998</v>
      </c>
      <c r="R40">
        <v>0.70899999999999996</v>
      </c>
      <c r="S40">
        <v>1.4</v>
      </c>
      <c r="T40">
        <v>1.6</v>
      </c>
      <c r="U40">
        <v>0.875</v>
      </c>
      <c r="V40">
        <v>2</v>
      </c>
      <c r="W40">
        <v>5.2</v>
      </c>
      <c r="X40">
        <v>7.2</v>
      </c>
      <c r="Y40">
        <v>1.6</v>
      </c>
      <c r="Z40">
        <v>1</v>
      </c>
      <c r="AA40">
        <v>0.6</v>
      </c>
      <c r="AB40">
        <v>1.8</v>
      </c>
      <c r="AC40">
        <v>1.2</v>
      </c>
      <c r="AD40">
        <v>17</v>
      </c>
      <c r="AE40">
        <f t="shared" si="0"/>
        <v>17</v>
      </c>
      <c r="AF40" t="s">
        <v>927</v>
      </c>
    </row>
    <row r="41" spans="1:32" x14ac:dyDescent="0.25">
      <c r="A41">
        <v>40</v>
      </c>
      <c r="B41" t="s">
        <v>376</v>
      </c>
      <c r="C41">
        <v>25</v>
      </c>
      <c r="D41" t="s">
        <v>170</v>
      </c>
      <c r="E41" t="s">
        <v>63</v>
      </c>
      <c r="F41">
        <v>6</v>
      </c>
      <c r="G41">
        <v>6</v>
      </c>
      <c r="H41">
        <v>33</v>
      </c>
      <c r="I41">
        <v>6</v>
      </c>
      <c r="J41">
        <v>11.5</v>
      </c>
      <c r="K41">
        <v>0.52200000000000002</v>
      </c>
      <c r="L41">
        <v>2.7</v>
      </c>
      <c r="M41">
        <v>4.7</v>
      </c>
      <c r="N41">
        <v>0.57099999999999995</v>
      </c>
      <c r="O41">
        <v>3.3</v>
      </c>
      <c r="P41">
        <v>6.8</v>
      </c>
      <c r="Q41">
        <v>0.48799999999999999</v>
      </c>
      <c r="R41">
        <v>0.63800000000000001</v>
      </c>
      <c r="S41">
        <v>1.7</v>
      </c>
      <c r="T41">
        <v>1.7</v>
      </c>
      <c r="U41">
        <v>1</v>
      </c>
      <c r="V41">
        <v>0.2</v>
      </c>
      <c r="W41">
        <v>2.7</v>
      </c>
      <c r="X41">
        <v>2.8</v>
      </c>
      <c r="Y41">
        <v>5</v>
      </c>
      <c r="Z41">
        <v>1.2</v>
      </c>
      <c r="AA41">
        <v>0.2</v>
      </c>
      <c r="AB41">
        <v>0.7</v>
      </c>
      <c r="AC41">
        <v>1.7</v>
      </c>
      <c r="AD41">
        <v>16.3</v>
      </c>
      <c r="AE41">
        <f t="shared" si="0"/>
        <v>16.400000000000002</v>
      </c>
      <c r="AF41" t="s">
        <v>927</v>
      </c>
    </row>
    <row r="42" spans="1:32" x14ac:dyDescent="0.25">
      <c r="A42">
        <v>41</v>
      </c>
      <c r="B42" t="s">
        <v>165</v>
      </c>
      <c r="C42">
        <v>28</v>
      </c>
      <c r="D42" t="s">
        <v>129</v>
      </c>
      <c r="E42" t="s">
        <v>47</v>
      </c>
      <c r="F42">
        <v>6</v>
      </c>
      <c r="G42">
        <v>6</v>
      </c>
      <c r="H42">
        <v>38.5</v>
      </c>
      <c r="I42">
        <v>6.7</v>
      </c>
      <c r="J42">
        <v>14</v>
      </c>
      <c r="K42">
        <v>0.47599999999999998</v>
      </c>
      <c r="L42">
        <v>1.8</v>
      </c>
      <c r="M42">
        <v>5.7</v>
      </c>
      <c r="N42">
        <v>0.32400000000000001</v>
      </c>
      <c r="O42">
        <v>4.8</v>
      </c>
      <c r="P42">
        <v>8.3000000000000007</v>
      </c>
      <c r="Q42">
        <v>0.57999999999999996</v>
      </c>
      <c r="R42">
        <v>0.54200000000000004</v>
      </c>
      <c r="S42">
        <v>1</v>
      </c>
      <c r="T42">
        <v>1.2</v>
      </c>
      <c r="U42">
        <v>0.85699999999999998</v>
      </c>
      <c r="V42">
        <v>1.2</v>
      </c>
      <c r="W42">
        <v>3.8</v>
      </c>
      <c r="X42">
        <v>5</v>
      </c>
      <c r="Y42">
        <v>1.8</v>
      </c>
      <c r="Z42">
        <v>1.5</v>
      </c>
      <c r="AA42">
        <v>1.2</v>
      </c>
      <c r="AB42">
        <v>1.8</v>
      </c>
      <c r="AC42">
        <v>2.2000000000000002</v>
      </c>
      <c r="AD42">
        <v>16.2</v>
      </c>
      <c r="AE42">
        <f t="shared" si="0"/>
        <v>16.200000000000003</v>
      </c>
      <c r="AF42" t="s">
        <v>927</v>
      </c>
    </row>
    <row r="43" spans="1:32" x14ac:dyDescent="0.25">
      <c r="A43">
        <v>42</v>
      </c>
      <c r="B43" t="s">
        <v>304</v>
      </c>
      <c r="C43">
        <v>26</v>
      </c>
      <c r="D43" t="s">
        <v>1014</v>
      </c>
      <c r="E43" t="s">
        <v>63</v>
      </c>
      <c r="F43">
        <v>5</v>
      </c>
      <c r="G43">
        <v>5</v>
      </c>
      <c r="H43">
        <v>39.200000000000003</v>
      </c>
      <c r="I43">
        <v>6</v>
      </c>
      <c r="J43">
        <v>14.6</v>
      </c>
      <c r="K43">
        <v>0.41099999999999998</v>
      </c>
      <c r="L43">
        <v>3</v>
      </c>
      <c r="M43">
        <v>9.4</v>
      </c>
      <c r="N43">
        <v>0.31900000000000001</v>
      </c>
      <c r="O43">
        <v>3</v>
      </c>
      <c r="P43">
        <v>5.2</v>
      </c>
      <c r="Q43">
        <v>0.57699999999999996</v>
      </c>
      <c r="R43">
        <v>0.51400000000000001</v>
      </c>
      <c r="S43">
        <v>1.2</v>
      </c>
      <c r="T43">
        <v>1.4</v>
      </c>
      <c r="U43">
        <v>0.85699999999999998</v>
      </c>
      <c r="V43">
        <v>0.8</v>
      </c>
      <c r="W43">
        <v>4.5999999999999996</v>
      </c>
      <c r="X43">
        <v>5.4</v>
      </c>
      <c r="Y43">
        <v>3.6</v>
      </c>
      <c r="Z43">
        <v>0.2</v>
      </c>
      <c r="AA43">
        <v>0.6</v>
      </c>
      <c r="AB43">
        <v>2.8</v>
      </c>
      <c r="AC43">
        <v>3.6</v>
      </c>
      <c r="AD43">
        <v>16.2</v>
      </c>
      <c r="AE43">
        <f t="shared" si="0"/>
        <v>16.2</v>
      </c>
      <c r="AF43" t="s">
        <v>927</v>
      </c>
    </row>
    <row r="44" spans="1:32" x14ac:dyDescent="0.25">
      <c r="A44">
        <v>43</v>
      </c>
      <c r="B44" t="s">
        <v>169</v>
      </c>
      <c r="C44">
        <v>28</v>
      </c>
      <c r="D44" t="s">
        <v>170</v>
      </c>
      <c r="E44" t="s">
        <v>72</v>
      </c>
      <c r="F44">
        <v>6</v>
      </c>
      <c r="G44">
        <v>6</v>
      </c>
      <c r="H44">
        <v>32.299999999999997</v>
      </c>
      <c r="I44">
        <v>5.5</v>
      </c>
      <c r="J44">
        <v>10.7</v>
      </c>
      <c r="K44">
        <v>0.51600000000000001</v>
      </c>
      <c r="L44">
        <v>1.7</v>
      </c>
      <c r="M44">
        <v>4.5</v>
      </c>
      <c r="N44">
        <v>0.37</v>
      </c>
      <c r="O44">
        <v>3.8</v>
      </c>
      <c r="P44">
        <v>6.2</v>
      </c>
      <c r="Q44">
        <v>0.622</v>
      </c>
      <c r="R44">
        <v>0.59399999999999997</v>
      </c>
      <c r="S44">
        <v>3.5</v>
      </c>
      <c r="T44">
        <v>4.2</v>
      </c>
      <c r="U44">
        <v>0.84</v>
      </c>
      <c r="V44">
        <v>1</v>
      </c>
      <c r="W44">
        <v>4.8</v>
      </c>
      <c r="X44">
        <v>5.8</v>
      </c>
      <c r="Y44">
        <v>1.5</v>
      </c>
      <c r="Z44">
        <v>0.8</v>
      </c>
      <c r="AA44">
        <v>2.2000000000000002</v>
      </c>
      <c r="AB44">
        <v>1.3</v>
      </c>
      <c r="AC44">
        <v>2.2000000000000002</v>
      </c>
      <c r="AD44">
        <v>16.2</v>
      </c>
      <c r="AE44">
        <f t="shared" si="0"/>
        <v>16.2</v>
      </c>
      <c r="AF44" t="s">
        <v>927</v>
      </c>
    </row>
    <row r="45" spans="1:32" x14ac:dyDescent="0.25">
      <c r="A45">
        <v>44</v>
      </c>
      <c r="B45" t="s">
        <v>155</v>
      </c>
      <c r="C45">
        <v>25</v>
      </c>
      <c r="D45" t="s">
        <v>156</v>
      </c>
      <c r="E45" t="s">
        <v>72</v>
      </c>
      <c r="F45">
        <v>4</v>
      </c>
      <c r="G45">
        <v>4</v>
      </c>
      <c r="H45">
        <v>34.299999999999997</v>
      </c>
      <c r="I45">
        <v>5.5</v>
      </c>
      <c r="J45">
        <v>14.5</v>
      </c>
      <c r="K45">
        <v>0.379</v>
      </c>
      <c r="L45">
        <v>0.8</v>
      </c>
      <c r="M45">
        <v>2.8</v>
      </c>
      <c r="N45">
        <v>0.27300000000000002</v>
      </c>
      <c r="O45">
        <v>4.8</v>
      </c>
      <c r="P45">
        <v>11.8</v>
      </c>
      <c r="Q45">
        <v>0.40400000000000003</v>
      </c>
      <c r="R45">
        <v>0.40500000000000003</v>
      </c>
      <c r="S45">
        <v>4.3</v>
      </c>
      <c r="T45">
        <v>5</v>
      </c>
      <c r="U45">
        <v>0.85</v>
      </c>
      <c r="V45">
        <v>2.2999999999999998</v>
      </c>
      <c r="W45">
        <v>2.8</v>
      </c>
      <c r="X45">
        <v>5</v>
      </c>
      <c r="Y45">
        <v>1.5</v>
      </c>
      <c r="Z45">
        <v>1</v>
      </c>
      <c r="AA45">
        <v>0.5</v>
      </c>
      <c r="AB45">
        <v>2.8</v>
      </c>
      <c r="AC45">
        <v>3.5</v>
      </c>
      <c r="AD45">
        <v>16</v>
      </c>
      <c r="AE45">
        <f t="shared" si="0"/>
        <v>16.100000000000001</v>
      </c>
      <c r="AF45" t="s">
        <v>927</v>
      </c>
    </row>
    <row r="46" spans="1:32" x14ac:dyDescent="0.25">
      <c r="A46">
        <v>45</v>
      </c>
      <c r="B46" t="s">
        <v>187</v>
      </c>
      <c r="C46">
        <v>31</v>
      </c>
      <c r="D46" t="s">
        <v>79</v>
      </c>
      <c r="E46" t="s">
        <v>63</v>
      </c>
      <c r="F46">
        <v>7</v>
      </c>
      <c r="G46">
        <v>7</v>
      </c>
      <c r="H46">
        <v>34</v>
      </c>
      <c r="I46">
        <v>6</v>
      </c>
      <c r="J46">
        <v>12.7</v>
      </c>
      <c r="K46">
        <v>0.47199999999999998</v>
      </c>
      <c r="L46">
        <v>2</v>
      </c>
      <c r="M46">
        <v>5.7</v>
      </c>
      <c r="N46">
        <v>0.35</v>
      </c>
      <c r="O46">
        <v>4</v>
      </c>
      <c r="P46">
        <v>7</v>
      </c>
      <c r="Q46">
        <v>0.57099999999999995</v>
      </c>
      <c r="R46">
        <v>0.55100000000000005</v>
      </c>
      <c r="S46">
        <v>2</v>
      </c>
      <c r="T46">
        <v>2.6</v>
      </c>
      <c r="U46">
        <v>0.77800000000000002</v>
      </c>
      <c r="V46">
        <v>0.1</v>
      </c>
      <c r="W46">
        <v>2.2999999999999998</v>
      </c>
      <c r="X46">
        <v>2.4</v>
      </c>
      <c r="Y46">
        <v>2.4</v>
      </c>
      <c r="Z46">
        <v>1.1000000000000001</v>
      </c>
      <c r="AA46">
        <v>0.3</v>
      </c>
      <c r="AB46">
        <v>1.7</v>
      </c>
      <c r="AC46">
        <v>2.1</v>
      </c>
      <c r="AD46">
        <v>16</v>
      </c>
      <c r="AE46">
        <f t="shared" si="0"/>
        <v>16</v>
      </c>
      <c r="AF46" t="s">
        <v>927</v>
      </c>
    </row>
    <row r="47" spans="1:32" x14ac:dyDescent="0.25">
      <c r="A47">
        <v>46</v>
      </c>
      <c r="B47" t="s">
        <v>348</v>
      </c>
      <c r="C47">
        <v>32</v>
      </c>
      <c r="D47" t="s">
        <v>97</v>
      </c>
      <c r="E47" t="s">
        <v>93</v>
      </c>
      <c r="F47">
        <v>6</v>
      </c>
      <c r="G47">
        <v>6</v>
      </c>
      <c r="H47">
        <v>38.799999999999997</v>
      </c>
      <c r="I47">
        <v>5.7</v>
      </c>
      <c r="J47">
        <v>11.8</v>
      </c>
      <c r="K47">
        <v>0.47899999999999998</v>
      </c>
      <c r="L47">
        <v>1.7</v>
      </c>
      <c r="M47">
        <v>3.8</v>
      </c>
      <c r="N47">
        <v>0.435</v>
      </c>
      <c r="O47">
        <v>4</v>
      </c>
      <c r="P47">
        <v>8</v>
      </c>
      <c r="Q47">
        <v>0.5</v>
      </c>
      <c r="R47">
        <v>0.54900000000000004</v>
      </c>
      <c r="S47">
        <v>2.7</v>
      </c>
      <c r="T47">
        <v>2.7</v>
      </c>
      <c r="U47">
        <v>1</v>
      </c>
      <c r="V47">
        <v>1.3</v>
      </c>
      <c r="W47">
        <v>6.3</v>
      </c>
      <c r="X47">
        <v>7.7</v>
      </c>
      <c r="Y47">
        <v>0.5</v>
      </c>
      <c r="Z47">
        <v>1</v>
      </c>
      <c r="AA47">
        <v>1.2</v>
      </c>
      <c r="AB47">
        <v>1</v>
      </c>
      <c r="AC47">
        <v>2.7</v>
      </c>
      <c r="AD47">
        <v>15.7</v>
      </c>
      <c r="AE47">
        <f t="shared" si="0"/>
        <v>15.8</v>
      </c>
      <c r="AF47" t="s">
        <v>927</v>
      </c>
    </row>
    <row r="48" spans="1:32" x14ac:dyDescent="0.25">
      <c r="A48">
        <v>47</v>
      </c>
      <c r="B48" t="s">
        <v>64</v>
      </c>
      <c r="C48">
        <v>22</v>
      </c>
      <c r="D48" t="s">
        <v>65</v>
      </c>
      <c r="E48" t="s">
        <v>47</v>
      </c>
      <c r="F48">
        <v>7</v>
      </c>
      <c r="G48">
        <v>7</v>
      </c>
      <c r="H48">
        <v>33</v>
      </c>
      <c r="I48">
        <v>6</v>
      </c>
      <c r="J48">
        <v>12.1</v>
      </c>
      <c r="K48">
        <v>0.49399999999999999</v>
      </c>
      <c r="L48">
        <v>0.1</v>
      </c>
      <c r="M48">
        <v>0.6</v>
      </c>
      <c r="N48">
        <v>0.25</v>
      </c>
      <c r="O48">
        <v>5.9</v>
      </c>
      <c r="P48">
        <v>11.6</v>
      </c>
      <c r="Q48">
        <v>0.50600000000000001</v>
      </c>
      <c r="R48">
        <v>0.5</v>
      </c>
      <c r="S48">
        <v>3.6</v>
      </c>
      <c r="T48">
        <v>5.0999999999999996</v>
      </c>
      <c r="U48">
        <v>0.69399999999999995</v>
      </c>
      <c r="V48">
        <v>2.7</v>
      </c>
      <c r="W48">
        <v>4.0999999999999996</v>
      </c>
      <c r="X48">
        <v>6.9</v>
      </c>
      <c r="Y48">
        <v>3.3</v>
      </c>
      <c r="Z48">
        <v>1.7</v>
      </c>
      <c r="AA48">
        <v>0.9</v>
      </c>
      <c r="AB48">
        <v>1.7</v>
      </c>
      <c r="AC48">
        <v>2.6</v>
      </c>
      <c r="AD48">
        <v>15.7</v>
      </c>
      <c r="AE48">
        <f t="shared" si="0"/>
        <v>15.700000000000001</v>
      </c>
      <c r="AF48" t="s">
        <v>927</v>
      </c>
    </row>
    <row r="49" spans="1:32" x14ac:dyDescent="0.25">
      <c r="A49">
        <v>48</v>
      </c>
      <c r="B49" t="s">
        <v>194</v>
      </c>
      <c r="C49">
        <v>26</v>
      </c>
      <c r="D49" t="s">
        <v>156</v>
      </c>
      <c r="E49" t="s">
        <v>63</v>
      </c>
      <c r="F49">
        <v>4</v>
      </c>
      <c r="G49">
        <v>4</v>
      </c>
      <c r="H49">
        <v>34.799999999999997</v>
      </c>
      <c r="I49">
        <v>5</v>
      </c>
      <c r="J49">
        <v>15.8</v>
      </c>
      <c r="K49">
        <v>0.317</v>
      </c>
      <c r="L49">
        <v>1.8</v>
      </c>
      <c r="M49">
        <v>8</v>
      </c>
      <c r="N49">
        <v>0.219</v>
      </c>
      <c r="O49">
        <v>3.3</v>
      </c>
      <c r="P49">
        <v>7.8</v>
      </c>
      <c r="Q49">
        <v>0.41899999999999998</v>
      </c>
      <c r="R49">
        <v>0.373</v>
      </c>
      <c r="S49">
        <v>3.5</v>
      </c>
      <c r="T49">
        <v>3.8</v>
      </c>
      <c r="U49">
        <v>0.93300000000000005</v>
      </c>
      <c r="V49">
        <v>1.3</v>
      </c>
      <c r="W49">
        <v>5.5</v>
      </c>
      <c r="X49">
        <v>6.8</v>
      </c>
      <c r="Y49">
        <v>3.3</v>
      </c>
      <c r="Z49">
        <v>0.8</v>
      </c>
      <c r="AA49">
        <v>0.5</v>
      </c>
      <c r="AB49">
        <v>3.8</v>
      </c>
      <c r="AC49">
        <v>2.2999999999999998</v>
      </c>
      <c r="AD49">
        <v>15.3</v>
      </c>
      <c r="AE49">
        <f t="shared" si="0"/>
        <v>15.3</v>
      </c>
      <c r="AF49" t="s">
        <v>927</v>
      </c>
    </row>
    <row r="50" spans="1:32" x14ac:dyDescent="0.25">
      <c r="A50">
        <v>49</v>
      </c>
      <c r="B50" t="s">
        <v>355</v>
      </c>
      <c r="C50">
        <v>25</v>
      </c>
      <c r="D50" t="s">
        <v>170</v>
      </c>
      <c r="E50" t="s">
        <v>47</v>
      </c>
      <c r="F50">
        <v>6</v>
      </c>
      <c r="G50">
        <v>6</v>
      </c>
      <c r="H50">
        <v>29.2</v>
      </c>
      <c r="I50">
        <v>5.5</v>
      </c>
      <c r="J50">
        <v>10</v>
      </c>
      <c r="K50">
        <v>0.55000000000000004</v>
      </c>
      <c r="L50">
        <v>3</v>
      </c>
      <c r="M50">
        <v>5.5</v>
      </c>
      <c r="N50">
        <v>0.54500000000000004</v>
      </c>
      <c r="O50">
        <v>2.5</v>
      </c>
      <c r="P50">
        <v>4.5</v>
      </c>
      <c r="Q50">
        <v>0.55600000000000005</v>
      </c>
      <c r="R50">
        <v>0.7</v>
      </c>
      <c r="S50">
        <v>1.2</v>
      </c>
      <c r="T50">
        <v>1.3</v>
      </c>
      <c r="U50">
        <v>0.875</v>
      </c>
      <c r="V50">
        <v>1.7</v>
      </c>
      <c r="W50">
        <v>5</v>
      </c>
      <c r="X50">
        <v>6.7</v>
      </c>
      <c r="Y50">
        <v>1.3</v>
      </c>
      <c r="Z50">
        <v>0.7</v>
      </c>
      <c r="AA50">
        <v>0.5</v>
      </c>
      <c r="AB50">
        <v>1</v>
      </c>
      <c r="AC50">
        <v>4</v>
      </c>
      <c r="AD50">
        <v>15.2</v>
      </c>
      <c r="AE50">
        <f t="shared" si="0"/>
        <v>15.2</v>
      </c>
      <c r="AF50" t="s">
        <v>927</v>
      </c>
    </row>
    <row r="51" spans="1:32" x14ac:dyDescent="0.25">
      <c r="A51">
        <v>50</v>
      </c>
      <c r="B51" t="s">
        <v>244</v>
      </c>
      <c r="C51">
        <v>26</v>
      </c>
      <c r="D51" t="s">
        <v>133</v>
      </c>
      <c r="E51" t="s">
        <v>56</v>
      </c>
      <c r="F51">
        <v>4</v>
      </c>
      <c r="G51">
        <v>3</v>
      </c>
      <c r="H51">
        <v>35.5</v>
      </c>
      <c r="I51">
        <v>6.3</v>
      </c>
      <c r="J51">
        <v>10.3</v>
      </c>
      <c r="K51">
        <v>0.61</v>
      </c>
      <c r="L51">
        <v>1.8</v>
      </c>
      <c r="M51">
        <v>3.5</v>
      </c>
      <c r="N51">
        <v>0.5</v>
      </c>
      <c r="O51">
        <v>4.5</v>
      </c>
      <c r="P51">
        <v>6.8</v>
      </c>
      <c r="Q51">
        <v>0.66700000000000004</v>
      </c>
      <c r="R51">
        <v>0.69499999999999995</v>
      </c>
      <c r="S51">
        <v>0.8</v>
      </c>
      <c r="T51">
        <v>1.8</v>
      </c>
      <c r="U51">
        <v>0.42899999999999999</v>
      </c>
      <c r="V51">
        <v>0.5</v>
      </c>
      <c r="W51">
        <v>1.8</v>
      </c>
      <c r="X51">
        <v>2.2999999999999998</v>
      </c>
      <c r="Y51">
        <v>6.3</v>
      </c>
      <c r="Z51">
        <v>0.8</v>
      </c>
      <c r="AA51">
        <v>0.3</v>
      </c>
      <c r="AB51">
        <v>2</v>
      </c>
      <c r="AC51">
        <v>2.8</v>
      </c>
      <c r="AD51">
        <v>15</v>
      </c>
      <c r="AE51">
        <f t="shared" si="0"/>
        <v>15.200000000000001</v>
      </c>
      <c r="AF51" t="s">
        <v>927</v>
      </c>
    </row>
    <row r="52" spans="1:32" x14ac:dyDescent="0.25">
      <c r="A52">
        <v>51</v>
      </c>
      <c r="B52" t="s">
        <v>322</v>
      </c>
      <c r="C52">
        <v>26</v>
      </c>
      <c r="D52" t="s">
        <v>1014</v>
      </c>
      <c r="E52" t="s">
        <v>93</v>
      </c>
      <c r="F52">
        <v>5</v>
      </c>
      <c r="G52">
        <v>5</v>
      </c>
      <c r="H52">
        <v>36.4</v>
      </c>
      <c r="I52">
        <v>5.6</v>
      </c>
      <c r="J52">
        <v>11.4</v>
      </c>
      <c r="K52">
        <v>0.49099999999999999</v>
      </c>
      <c r="L52">
        <v>3</v>
      </c>
      <c r="M52">
        <v>6.2</v>
      </c>
      <c r="N52">
        <v>0.48399999999999999</v>
      </c>
      <c r="O52">
        <v>2.6</v>
      </c>
      <c r="P52">
        <v>5.2</v>
      </c>
      <c r="Q52">
        <v>0.5</v>
      </c>
      <c r="R52">
        <v>0.623</v>
      </c>
      <c r="S52">
        <v>0.6</v>
      </c>
      <c r="T52">
        <v>0.6</v>
      </c>
      <c r="U52">
        <v>1</v>
      </c>
      <c r="V52">
        <v>0.8</v>
      </c>
      <c r="W52">
        <v>3.8</v>
      </c>
      <c r="X52">
        <v>4.5999999999999996</v>
      </c>
      <c r="Y52">
        <v>1</v>
      </c>
      <c r="Z52">
        <v>0.6</v>
      </c>
      <c r="AA52">
        <v>0.6</v>
      </c>
      <c r="AB52">
        <v>1.4</v>
      </c>
      <c r="AC52">
        <v>2.4</v>
      </c>
      <c r="AD52">
        <v>14.8</v>
      </c>
      <c r="AE52">
        <f t="shared" si="0"/>
        <v>14.799999999999999</v>
      </c>
      <c r="AF52" t="s">
        <v>927</v>
      </c>
    </row>
    <row r="53" spans="1:32" x14ac:dyDescent="0.25">
      <c r="A53">
        <v>52</v>
      </c>
      <c r="B53" t="s">
        <v>353</v>
      </c>
      <c r="C53">
        <v>28</v>
      </c>
      <c r="D53" t="s">
        <v>97</v>
      </c>
      <c r="E53" t="s">
        <v>63</v>
      </c>
      <c r="F53">
        <v>6</v>
      </c>
      <c r="G53">
        <v>0</v>
      </c>
      <c r="H53">
        <v>27.2</v>
      </c>
      <c r="I53">
        <v>4.7</v>
      </c>
      <c r="J53">
        <v>12.5</v>
      </c>
      <c r="K53">
        <v>0.373</v>
      </c>
      <c r="L53">
        <v>3.3</v>
      </c>
      <c r="M53">
        <v>9.8000000000000007</v>
      </c>
      <c r="N53">
        <v>0.33900000000000002</v>
      </c>
      <c r="O53">
        <v>1.3</v>
      </c>
      <c r="P53">
        <v>2.7</v>
      </c>
      <c r="Q53">
        <v>0.5</v>
      </c>
      <c r="R53">
        <v>0.50700000000000001</v>
      </c>
      <c r="S53">
        <v>1.3</v>
      </c>
      <c r="T53">
        <v>1.3</v>
      </c>
      <c r="U53">
        <v>1</v>
      </c>
      <c r="V53">
        <v>0.2</v>
      </c>
      <c r="W53">
        <v>2.2999999999999998</v>
      </c>
      <c r="X53">
        <v>2.5</v>
      </c>
      <c r="Y53">
        <v>1.2</v>
      </c>
      <c r="Z53">
        <v>0.5</v>
      </c>
      <c r="AA53">
        <v>0.2</v>
      </c>
      <c r="AB53">
        <v>1.2</v>
      </c>
      <c r="AC53">
        <v>1.7</v>
      </c>
      <c r="AD53">
        <v>14</v>
      </c>
      <c r="AE53">
        <f t="shared" si="0"/>
        <v>14</v>
      </c>
      <c r="AF53" t="s">
        <v>927</v>
      </c>
    </row>
    <row r="54" spans="1:32" x14ac:dyDescent="0.25">
      <c r="A54">
        <v>53</v>
      </c>
      <c r="B54" t="s">
        <v>354</v>
      </c>
      <c r="C54">
        <v>29</v>
      </c>
      <c r="D54" t="s">
        <v>105</v>
      </c>
      <c r="E54" t="s">
        <v>93</v>
      </c>
      <c r="F54">
        <v>5</v>
      </c>
      <c r="G54">
        <v>1</v>
      </c>
      <c r="H54">
        <v>31.6</v>
      </c>
      <c r="I54">
        <v>6</v>
      </c>
      <c r="J54">
        <v>13.6</v>
      </c>
      <c r="K54">
        <v>0.441</v>
      </c>
      <c r="L54">
        <v>2</v>
      </c>
      <c r="M54">
        <v>5.6</v>
      </c>
      <c r="N54">
        <v>0.35699999999999998</v>
      </c>
      <c r="O54">
        <v>4</v>
      </c>
      <c r="P54">
        <v>8</v>
      </c>
      <c r="Q54">
        <v>0.5</v>
      </c>
      <c r="R54">
        <v>0.51500000000000001</v>
      </c>
      <c r="S54">
        <v>0</v>
      </c>
      <c r="T54">
        <v>0.2</v>
      </c>
      <c r="U54">
        <v>0</v>
      </c>
      <c r="V54">
        <v>1.6</v>
      </c>
      <c r="W54">
        <v>6.6</v>
      </c>
      <c r="X54">
        <v>8.1999999999999993</v>
      </c>
      <c r="Y54">
        <v>1.4</v>
      </c>
      <c r="Z54">
        <v>0.4</v>
      </c>
      <c r="AA54">
        <v>0.4</v>
      </c>
      <c r="AB54">
        <v>1.2</v>
      </c>
      <c r="AC54">
        <v>1.6</v>
      </c>
      <c r="AD54">
        <v>14</v>
      </c>
      <c r="AE54">
        <f t="shared" si="0"/>
        <v>14</v>
      </c>
      <c r="AF54" t="s">
        <v>927</v>
      </c>
    </row>
    <row r="55" spans="1:32" x14ac:dyDescent="0.25">
      <c r="A55">
        <v>54</v>
      </c>
      <c r="B55" t="s">
        <v>84</v>
      </c>
      <c r="C55">
        <v>26</v>
      </c>
      <c r="D55" t="s">
        <v>85</v>
      </c>
      <c r="E55" t="s">
        <v>72</v>
      </c>
      <c r="F55">
        <v>5</v>
      </c>
      <c r="G55">
        <v>5</v>
      </c>
      <c r="H55">
        <v>28.4</v>
      </c>
      <c r="I55">
        <v>5.4</v>
      </c>
      <c r="J55">
        <v>6.8</v>
      </c>
      <c r="K55">
        <v>0.79400000000000004</v>
      </c>
      <c r="L55">
        <v>0</v>
      </c>
      <c r="M55">
        <v>0</v>
      </c>
      <c r="O55">
        <v>5.4</v>
      </c>
      <c r="P55">
        <v>6.8</v>
      </c>
      <c r="Q55">
        <v>0.79400000000000004</v>
      </c>
      <c r="R55">
        <v>0.79400000000000004</v>
      </c>
      <c r="S55">
        <v>3</v>
      </c>
      <c r="T55">
        <v>3</v>
      </c>
      <c r="U55">
        <v>1</v>
      </c>
      <c r="V55">
        <v>2.8</v>
      </c>
      <c r="W55">
        <v>6.4</v>
      </c>
      <c r="X55">
        <v>9.1999999999999993</v>
      </c>
      <c r="Y55">
        <v>1.2</v>
      </c>
      <c r="Z55">
        <v>2.4</v>
      </c>
      <c r="AA55">
        <v>0.4</v>
      </c>
      <c r="AB55">
        <v>1.2</v>
      </c>
      <c r="AC55">
        <v>1.2</v>
      </c>
      <c r="AD55">
        <v>13.8</v>
      </c>
      <c r="AE55">
        <f t="shared" si="0"/>
        <v>13.8</v>
      </c>
      <c r="AF55" t="s">
        <v>927</v>
      </c>
    </row>
    <row r="56" spans="1:32" x14ac:dyDescent="0.25">
      <c r="A56">
        <v>55</v>
      </c>
      <c r="B56" t="s">
        <v>271</v>
      </c>
      <c r="C56">
        <v>36</v>
      </c>
      <c r="D56" t="s">
        <v>148</v>
      </c>
      <c r="E56" t="s">
        <v>56</v>
      </c>
      <c r="F56">
        <v>6</v>
      </c>
      <c r="G56">
        <v>0</v>
      </c>
      <c r="H56">
        <v>25.7</v>
      </c>
      <c r="I56">
        <v>4.8</v>
      </c>
      <c r="J56">
        <v>11.2</v>
      </c>
      <c r="K56">
        <v>0.433</v>
      </c>
      <c r="L56">
        <v>2.2000000000000002</v>
      </c>
      <c r="M56">
        <v>5.2</v>
      </c>
      <c r="N56">
        <v>0.41899999999999998</v>
      </c>
      <c r="O56">
        <v>2.7</v>
      </c>
      <c r="P56">
        <v>6</v>
      </c>
      <c r="Q56">
        <v>0.44400000000000001</v>
      </c>
      <c r="R56">
        <v>0.53</v>
      </c>
      <c r="S56">
        <v>2</v>
      </c>
      <c r="T56">
        <v>2.8</v>
      </c>
      <c r="U56">
        <v>0.70599999999999996</v>
      </c>
      <c r="V56">
        <v>1.8</v>
      </c>
      <c r="W56">
        <v>3</v>
      </c>
      <c r="X56">
        <v>4.8</v>
      </c>
      <c r="Y56">
        <v>2.8</v>
      </c>
      <c r="Z56">
        <v>1.3</v>
      </c>
      <c r="AA56">
        <v>0</v>
      </c>
      <c r="AB56">
        <v>2</v>
      </c>
      <c r="AC56">
        <v>2.5</v>
      </c>
      <c r="AD56">
        <v>13.8</v>
      </c>
      <c r="AE56">
        <f t="shared" si="0"/>
        <v>13.8</v>
      </c>
      <c r="AF56" t="s">
        <v>927</v>
      </c>
    </row>
    <row r="57" spans="1:32" x14ac:dyDescent="0.25">
      <c r="A57">
        <v>56</v>
      </c>
      <c r="B57" t="s">
        <v>1415</v>
      </c>
      <c r="C57">
        <v>22</v>
      </c>
      <c r="D57" t="s">
        <v>65</v>
      </c>
      <c r="E57" t="s">
        <v>63</v>
      </c>
      <c r="F57">
        <v>7</v>
      </c>
      <c r="G57">
        <v>7</v>
      </c>
      <c r="H57">
        <v>31.3</v>
      </c>
      <c r="I57">
        <v>4.5999999999999996</v>
      </c>
      <c r="J57">
        <v>12.3</v>
      </c>
      <c r="K57">
        <v>0.372</v>
      </c>
      <c r="L57">
        <v>1.9</v>
      </c>
      <c r="M57">
        <v>6.3</v>
      </c>
      <c r="N57">
        <v>0.29499999999999998</v>
      </c>
      <c r="O57">
        <v>2.7</v>
      </c>
      <c r="P57">
        <v>6</v>
      </c>
      <c r="Q57">
        <v>0.45200000000000001</v>
      </c>
      <c r="R57">
        <v>0.44800000000000001</v>
      </c>
      <c r="S57">
        <v>2.2999999999999998</v>
      </c>
      <c r="T57">
        <v>3.4</v>
      </c>
      <c r="U57">
        <v>0.66700000000000004</v>
      </c>
      <c r="V57">
        <v>0.4</v>
      </c>
      <c r="W57">
        <v>5</v>
      </c>
      <c r="X57">
        <v>5.4</v>
      </c>
      <c r="Y57">
        <v>2.9</v>
      </c>
      <c r="Z57">
        <v>0.6</v>
      </c>
      <c r="AA57">
        <v>0.3</v>
      </c>
      <c r="AB57">
        <v>1.4</v>
      </c>
      <c r="AC57">
        <v>0.9</v>
      </c>
      <c r="AD57">
        <v>13.3</v>
      </c>
      <c r="AE57">
        <f t="shared" si="0"/>
        <v>13.399999999999999</v>
      </c>
      <c r="AF57" t="s">
        <v>927</v>
      </c>
    </row>
    <row r="58" spans="1:32" x14ac:dyDescent="0.25">
      <c r="A58">
        <v>57</v>
      </c>
      <c r="B58" t="s">
        <v>319</v>
      </c>
      <c r="C58">
        <v>24</v>
      </c>
      <c r="D58" t="s">
        <v>156</v>
      </c>
      <c r="E58" t="s">
        <v>93</v>
      </c>
      <c r="F58">
        <v>4</v>
      </c>
      <c r="G58">
        <v>1</v>
      </c>
      <c r="H58">
        <v>30.5</v>
      </c>
      <c r="I58">
        <v>5.3</v>
      </c>
      <c r="J58">
        <v>11</v>
      </c>
      <c r="K58">
        <v>0.47699999999999998</v>
      </c>
      <c r="L58">
        <v>2.5</v>
      </c>
      <c r="M58">
        <v>6</v>
      </c>
      <c r="N58">
        <v>0.41699999999999998</v>
      </c>
      <c r="O58">
        <v>2.8</v>
      </c>
      <c r="P58">
        <v>5</v>
      </c>
      <c r="Q58">
        <v>0.55000000000000004</v>
      </c>
      <c r="R58">
        <v>0.59099999999999997</v>
      </c>
      <c r="S58">
        <v>0</v>
      </c>
      <c r="T58">
        <v>0</v>
      </c>
      <c r="V58">
        <v>0.5</v>
      </c>
      <c r="W58">
        <v>5.5</v>
      </c>
      <c r="X58">
        <v>6</v>
      </c>
      <c r="Y58">
        <v>1.8</v>
      </c>
      <c r="Z58">
        <v>0</v>
      </c>
      <c r="AA58">
        <v>0.3</v>
      </c>
      <c r="AB58">
        <v>1.3</v>
      </c>
      <c r="AC58">
        <v>1.8</v>
      </c>
      <c r="AD58">
        <v>13</v>
      </c>
      <c r="AE58">
        <f t="shared" si="0"/>
        <v>13.1</v>
      </c>
      <c r="AF58" t="s">
        <v>927</v>
      </c>
    </row>
    <row r="59" spans="1:32" x14ac:dyDescent="0.25">
      <c r="A59">
        <v>58</v>
      </c>
      <c r="B59" t="s">
        <v>369</v>
      </c>
      <c r="C59">
        <v>23</v>
      </c>
      <c r="D59" t="s">
        <v>148</v>
      </c>
      <c r="E59" t="s">
        <v>63</v>
      </c>
      <c r="F59">
        <v>7</v>
      </c>
      <c r="G59">
        <v>7</v>
      </c>
      <c r="H59">
        <v>39.4</v>
      </c>
      <c r="I59">
        <v>5.3</v>
      </c>
      <c r="J59">
        <v>10.7</v>
      </c>
      <c r="K59">
        <v>0.49299999999999999</v>
      </c>
      <c r="L59">
        <v>1.1000000000000001</v>
      </c>
      <c r="M59">
        <v>3.6</v>
      </c>
      <c r="N59">
        <v>0.32</v>
      </c>
      <c r="O59">
        <v>4.0999999999999996</v>
      </c>
      <c r="P59">
        <v>7.1</v>
      </c>
      <c r="Q59">
        <v>0.57999999999999996</v>
      </c>
      <c r="R59">
        <v>0.54700000000000004</v>
      </c>
      <c r="S59">
        <v>0.9</v>
      </c>
      <c r="T59">
        <v>1.9</v>
      </c>
      <c r="U59">
        <v>0.46200000000000002</v>
      </c>
      <c r="V59">
        <v>2.1</v>
      </c>
      <c r="W59">
        <v>3.9</v>
      </c>
      <c r="X59">
        <v>6</v>
      </c>
      <c r="Y59">
        <v>2.4</v>
      </c>
      <c r="Z59">
        <v>1.1000000000000001</v>
      </c>
      <c r="AA59">
        <v>0.4</v>
      </c>
      <c r="AB59">
        <v>0.6</v>
      </c>
      <c r="AC59">
        <v>3</v>
      </c>
      <c r="AD59">
        <v>12.6</v>
      </c>
      <c r="AE59">
        <f t="shared" si="0"/>
        <v>12.6</v>
      </c>
      <c r="AF59" t="s">
        <v>927</v>
      </c>
    </row>
    <row r="60" spans="1:32" x14ac:dyDescent="0.25">
      <c r="A60">
        <v>59</v>
      </c>
      <c r="B60" t="s">
        <v>483</v>
      </c>
      <c r="C60">
        <v>27</v>
      </c>
      <c r="D60" t="s">
        <v>85</v>
      </c>
      <c r="E60" t="s">
        <v>47</v>
      </c>
      <c r="F60">
        <v>5</v>
      </c>
      <c r="G60">
        <v>0</v>
      </c>
      <c r="H60">
        <v>23.8</v>
      </c>
      <c r="I60">
        <v>4</v>
      </c>
      <c r="J60">
        <v>8.1999999999999993</v>
      </c>
      <c r="K60">
        <v>0.48799999999999999</v>
      </c>
      <c r="L60">
        <v>1.8</v>
      </c>
      <c r="M60">
        <v>3</v>
      </c>
      <c r="N60">
        <v>0.6</v>
      </c>
      <c r="O60">
        <v>2.2000000000000002</v>
      </c>
      <c r="P60">
        <v>5.2</v>
      </c>
      <c r="Q60">
        <v>0.42299999999999999</v>
      </c>
      <c r="R60">
        <v>0.59799999999999998</v>
      </c>
      <c r="S60">
        <v>2.8</v>
      </c>
      <c r="T60">
        <v>3</v>
      </c>
      <c r="U60">
        <v>0.93300000000000005</v>
      </c>
      <c r="V60">
        <v>0.6</v>
      </c>
      <c r="W60">
        <v>2.4</v>
      </c>
      <c r="X60">
        <v>3</v>
      </c>
      <c r="Y60">
        <v>1.2</v>
      </c>
      <c r="Z60">
        <v>0.6</v>
      </c>
      <c r="AA60">
        <v>0</v>
      </c>
      <c r="AB60">
        <v>0.8</v>
      </c>
      <c r="AC60">
        <v>1.2</v>
      </c>
      <c r="AD60">
        <v>12.6</v>
      </c>
      <c r="AE60">
        <f t="shared" si="0"/>
        <v>12.600000000000001</v>
      </c>
      <c r="AF60" t="s">
        <v>927</v>
      </c>
    </row>
    <row r="61" spans="1:32" x14ac:dyDescent="0.25">
      <c r="A61">
        <v>60</v>
      </c>
      <c r="B61" t="s">
        <v>1754</v>
      </c>
      <c r="C61">
        <v>31</v>
      </c>
      <c r="D61" t="s">
        <v>97</v>
      </c>
      <c r="E61" t="s">
        <v>56</v>
      </c>
      <c r="F61">
        <v>6</v>
      </c>
      <c r="G61">
        <v>0</v>
      </c>
      <c r="H61">
        <v>27.3</v>
      </c>
      <c r="I61">
        <v>4.3</v>
      </c>
      <c r="J61">
        <v>8.8000000000000007</v>
      </c>
      <c r="K61">
        <v>0.49099999999999999</v>
      </c>
      <c r="L61">
        <v>1.7</v>
      </c>
      <c r="M61">
        <v>3.5</v>
      </c>
      <c r="N61">
        <v>0.47599999999999998</v>
      </c>
      <c r="O61">
        <v>2.7</v>
      </c>
      <c r="P61">
        <v>5.3</v>
      </c>
      <c r="Q61">
        <v>0.5</v>
      </c>
      <c r="R61">
        <v>0.58499999999999996</v>
      </c>
      <c r="S61">
        <v>2.2000000000000002</v>
      </c>
      <c r="T61">
        <v>2.7</v>
      </c>
      <c r="U61">
        <v>0.81299999999999994</v>
      </c>
      <c r="V61">
        <v>0.7</v>
      </c>
      <c r="W61">
        <v>1.7</v>
      </c>
      <c r="X61">
        <v>2.2999999999999998</v>
      </c>
      <c r="Y61">
        <v>3.7</v>
      </c>
      <c r="Z61">
        <v>1.2</v>
      </c>
      <c r="AA61">
        <v>0.2</v>
      </c>
      <c r="AB61">
        <v>1.2</v>
      </c>
      <c r="AC61">
        <v>2</v>
      </c>
      <c r="AD61">
        <v>12.5</v>
      </c>
      <c r="AE61">
        <f t="shared" si="0"/>
        <v>12.5</v>
      </c>
      <c r="AF61" t="s">
        <v>927</v>
      </c>
    </row>
    <row r="62" spans="1:32" x14ac:dyDescent="0.25">
      <c r="A62">
        <v>61</v>
      </c>
      <c r="B62" t="s">
        <v>1728</v>
      </c>
      <c r="C62">
        <v>29</v>
      </c>
      <c r="D62" t="s">
        <v>65</v>
      </c>
      <c r="E62" t="s">
        <v>47</v>
      </c>
      <c r="F62">
        <v>7</v>
      </c>
      <c r="G62">
        <v>7</v>
      </c>
      <c r="H62">
        <v>29.4</v>
      </c>
      <c r="I62">
        <v>4</v>
      </c>
      <c r="J62">
        <v>9</v>
      </c>
      <c r="K62">
        <v>0.44400000000000001</v>
      </c>
      <c r="L62">
        <v>1.4</v>
      </c>
      <c r="M62">
        <v>4.0999999999999996</v>
      </c>
      <c r="N62">
        <v>0.34499999999999997</v>
      </c>
      <c r="O62">
        <v>2.6</v>
      </c>
      <c r="P62">
        <v>4.9000000000000004</v>
      </c>
      <c r="Q62">
        <v>0.52900000000000003</v>
      </c>
      <c r="R62">
        <v>0.52400000000000002</v>
      </c>
      <c r="S62">
        <v>2.9</v>
      </c>
      <c r="T62">
        <v>3.4</v>
      </c>
      <c r="U62">
        <v>0.83299999999999996</v>
      </c>
      <c r="V62">
        <v>1.3</v>
      </c>
      <c r="W62">
        <v>1.9</v>
      </c>
      <c r="X62">
        <v>3.1</v>
      </c>
      <c r="Y62">
        <v>1.3</v>
      </c>
      <c r="Z62">
        <v>0.7</v>
      </c>
      <c r="AA62">
        <v>0.3</v>
      </c>
      <c r="AB62">
        <v>1.3</v>
      </c>
      <c r="AC62">
        <v>3.9</v>
      </c>
      <c r="AD62">
        <v>12.3</v>
      </c>
      <c r="AE62">
        <f t="shared" si="0"/>
        <v>12.299999999999999</v>
      </c>
      <c r="AF62" t="s">
        <v>927</v>
      </c>
    </row>
    <row r="63" spans="1:32" x14ac:dyDescent="0.25">
      <c r="A63">
        <v>62</v>
      </c>
      <c r="B63" t="s">
        <v>275</v>
      </c>
      <c r="C63">
        <v>32</v>
      </c>
      <c r="D63" t="s">
        <v>97</v>
      </c>
      <c r="E63" t="s">
        <v>63</v>
      </c>
      <c r="F63">
        <v>6</v>
      </c>
      <c r="G63">
        <v>6</v>
      </c>
      <c r="H63">
        <v>31.3</v>
      </c>
      <c r="I63">
        <v>4</v>
      </c>
      <c r="J63">
        <v>11.8</v>
      </c>
      <c r="K63">
        <v>0.33800000000000002</v>
      </c>
      <c r="L63">
        <v>2.7</v>
      </c>
      <c r="M63">
        <v>8.6999999999999993</v>
      </c>
      <c r="N63">
        <v>0.308</v>
      </c>
      <c r="O63">
        <v>1.3</v>
      </c>
      <c r="P63">
        <v>3.2</v>
      </c>
      <c r="Q63">
        <v>0.42099999999999999</v>
      </c>
      <c r="R63">
        <v>0.45100000000000001</v>
      </c>
      <c r="S63">
        <v>1.3</v>
      </c>
      <c r="T63">
        <v>1.7</v>
      </c>
      <c r="U63">
        <v>0.8</v>
      </c>
      <c r="V63">
        <v>0.3</v>
      </c>
      <c r="W63">
        <v>2.5</v>
      </c>
      <c r="X63">
        <v>2.8</v>
      </c>
      <c r="Y63">
        <v>1.2</v>
      </c>
      <c r="Z63">
        <v>0.3</v>
      </c>
      <c r="AA63">
        <v>0</v>
      </c>
      <c r="AB63">
        <v>1.5</v>
      </c>
      <c r="AC63">
        <v>1.7</v>
      </c>
      <c r="AD63">
        <v>12</v>
      </c>
      <c r="AE63">
        <f t="shared" si="0"/>
        <v>12.000000000000002</v>
      </c>
      <c r="AF63" t="s">
        <v>927</v>
      </c>
    </row>
    <row r="64" spans="1:32" x14ac:dyDescent="0.25">
      <c r="A64">
        <v>63</v>
      </c>
      <c r="B64" t="s">
        <v>1464</v>
      </c>
      <c r="C64">
        <v>29</v>
      </c>
      <c r="D64" t="s">
        <v>113</v>
      </c>
      <c r="E64" t="s">
        <v>72</v>
      </c>
      <c r="F64">
        <v>5</v>
      </c>
      <c r="G64">
        <v>5</v>
      </c>
      <c r="H64">
        <v>27.4</v>
      </c>
      <c r="I64">
        <v>3.8</v>
      </c>
      <c r="J64">
        <v>10.8</v>
      </c>
      <c r="K64">
        <v>0.35199999999999998</v>
      </c>
      <c r="L64">
        <v>0.4</v>
      </c>
      <c r="M64">
        <v>3.4</v>
      </c>
      <c r="N64">
        <v>0.11799999999999999</v>
      </c>
      <c r="O64">
        <v>3.4</v>
      </c>
      <c r="P64">
        <v>7.4</v>
      </c>
      <c r="Q64">
        <v>0.45900000000000002</v>
      </c>
      <c r="R64">
        <v>0.37</v>
      </c>
      <c r="S64">
        <v>4</v>
      </c>
      <c r="T64">
        <v>5.6</v>
      </c>
      <c r="U64">
        <v>0.71399999999999997</v>
      </c>
      <c r="V64">
        <v>2</v>
      </c>
      <c r="W64">
        <v>3.8</v>
      </c>
      <c r="X64">
        <v>5.8</v>
      </c>
      <c r="Y64">
        <v>1</v>
      </c>
      <c r="Z64">
        <v>1.8</v>
      </c>
      <c r="AA64">
        <v>0.8</v>
      </c>
      <c r="AB64">
        <v>1</v>
      </c>
      <c r="AC64">
        <v>2.8</v>
      </c>
      <c r="AD64">
        <v>12</v>
      </c>
      <c r="AE64">
        <f t="shared" si="0"/>
        <v>12</v>
      </c>
      <c r="AF64" t="s">
        <v>927</v>
      </c>
    </row>
    <row r="65" spans="1:32" x14ac:dyDescent="0.25">
      <c r="A65">
        <v>64</v>
      </c>
      <c r="B65" t="s">
        <v>96</v>
      </c>
      <c r="C65">
        <v>21</v>
      </c>
      <c r="D65" t="s">
        <v>97</v>
      </c>
      <c r="E65" t="s">
        <v>72</v>
      </c>
      <c r="F65">
        <v>6</v>
      </c>
      <c r="G65">
        <v>6</v>
      </c>
      <c r="H65">
        <v>33.799999999999997</v>
      </c>
      <c r="I65">
        <v>4.3</v>
      </c>
      <c r="J65">
        <v>6.7</v>
      </c>
      <c r="K65">
        <v>0.65</v>
      </c>
      <c r="L65">
        <v>0</v>
      </c>
      <c r="M65">
        <v>0</v>
      </c>
      <c r="O65">
        <v>4.3</v>
      </c>
      <c r="P65">
        <v>6.7</v>
      </c>
      <c r="Q65">
        <v>0.65</v>
      </c>
      <c r="R65">
        <v>0.65</v>
      </c>
      <c r="S65">
        <v>3.2</v>
      </c>
      <c r="T65">
        <v>3.8</v>
      </c>
      <c r="U65">
        <v>0.82599999999999996</v>
      </c>
      <c r="V65">
        <v>4.3</v>
      </c>
      <c r="W65">
        <v>6.3</v>
      </c>
      <c r="X65">
        <v>10.7</v>
      </c>
      <c r="Y65">
        <v>3.5</v>
      </c>
      <c r="Z65">
        <v>0.3</v>
      </c>
      <c r="AA65">
        <v>1.7</v>
      </c>
      <c r="AB65">
        <v>1.7</v>
      </c>
      <c r="AC65">
        <v>4.3</v>
      </c>
      <c r="AD65">
        <v>11.8</v>
      </c>
      <c r="AE65">
        <f t="shared" si="0"/>
        <v>11.8</v>
      </c>
      <c r="AF65" t="s">
        <v>927</v>
      </c>
    </row>
    <row r="66" spans="1:32" x14ac:dyDescent="0.25">
      <c r="A66">
        <v>65</v>
      </c>
      <c r="B66" t="s">
        <v>407</v>
      </c>
      <c r="C66">
        <v>29</v>
      </c>
      <c r="D66" t="s">
        <v>129</v>
      </c>
      <c r="E66" t="s">
        <v>63</v>
      </c>
      <c r="F66">
        <v>6</v>
      </c>
      <c r="G66">
        <v>6</v>
      </c>
      <c r="H66">
        <v>37.200000000000003</v>
      </c>
      <c r="I66">
        <v>4.2</v>
      </c>
      <c r="J66">
        <v>8.3000000000000007</v>
      </c>
      <c r="K66">
        <v>0.5</v>
      </c>
      <c r="L66">
        <v>1.2</v>
      </c>
      <c r="M66">
        <v>2.2999999999999998</v>
      </c>
      <c r="N66">
        <v>0.5</v>
      </c>
      <c r="O66">
        <v>3</v>
      </c>
      <c r="P66">
        <v>6</v>
      </c>
      <c r="Q66">
        <v>0.5</v>
      </c>
      <c r="R66">
        <v>0.56999999999999995</v>
      </c>
      <c r="S66">
        <v>2.2999999999999998</v>
      </c>
      <c r="T66">
        <v>3</v>
      </c>
      <c r="U66">
        <v>0.77800000000000002</v>
      </c>
      <c r="V66">
        <v>2.2000000000000002</v>
      </c>
      <c r="W66">
        <v>6.5</v>
      </c>
      <c r="X66">
        <v>8.6999999999999993</v>
      </c>
      <c r="Y66">
        <v>5.8</v>
      </c>
      <c r="Z66">
        <v>1.5</v>
      </c>
      <c r="AA66">
        <v>0.8</v>
      </c>
      <c r="AB66">
        <v>2</v>
      </c>
      <c r="AC66">
        <v>3.2</v>
      </c>
      <c r="AD66">
        <v>11.8</v>
      </c>
      <c r="AE66">
        <f t="shared" ref="AE66:AE129" si="1">(L66 * 3) + ((I66 - L66) * 2) + S66</f>
        <v>11.899999999999999</v>
      </c>
      <c r="AF66" t="s">
        <v>927</v>
      </c>
    </row>
    <row r="67" spans="1:32" x14ac:dyDescent="0.25">
      <c r="A67">
        <v>66</v>
      </c>
      <c r="B67" t="s">
        <v>122</v>
      </c>
      <c r="C67">
        <v>25</v>
      </c>
      <c r="D67" t="s">
        <v>102</v>
      </c>
      <c r="E67" t="s">
        <v>72</v>
      </c>
      <c r="F67">
        <v>5</v>
      </c>
      <c r="G67">
        <v>0</v>
      </c>
      <c r="H67">
        <v>24</v>
      </c>
      <c r="I67">
        <v>4</v>
      </c>
      <c r="J67">
        <v>7.6</v>
      </c>
      <c r="K67">
        <v>0.52600000000000002</v>
      </c>
      <c r="L67">
        <v>2.2000000000000002</v>
      </c>
      <c r="M67">
        <v>4.4000000000000004</v>
      </c>
      <c r="N67">
        <v>0.5</v>
      </c>
      <c r="O67">
        <v>1.8</v>
      </c>
      <c r="P67">
        <v>3.2</v>
      </c>
      <c r="Q67">
        <v>0.56299999999999994</v>
      </c>
      <c r="R67">
        <v>0.67100000000000004</v>
      </c>
      <c r="S67">
        <v>1.4</v>
      </c>
      <c r="T67">
        <v>2.2000000000000002</v>
      </c>
      <c r="U67">
        <v>0.63600000000000001</v>
      </c>
      <c r="V67">
        <v>0.8</v>
      </c>
      <c r="W67">
        <v>3</v>
      </c>
      <c r="X67">
        <v>3.8</v>
      </c>
      <c r="Y67">
        <v>1.4</v>
      </c>
      <c r="Z67">
        <v>0.6</v>
      </c>
      <c r="AA67">
        <v>1</v>
      </c>
      <c r="AB67">
        <v>1</v>
      </c>
      <c r="AC67">
        <v>2.4</v>
      </c>
      <c r="AD67">
        <v>11.6</v>
      </c>
      <c r="AE67">
        <f t="shared" si="1"/>
        <v>11.6</v>
      </c>
      <c r="AF67" t="s">
        <v>927</v>
      </c>
    </row>
    <row r="68" spans="1:32" x14ac:dyDescent="0.25">
      <c r="A68">
        <v>67</v>
      </c>
      <c r="B68" t="s">
        <v>290</v>
      </c>
      <c r="C68">
        <v>22</v>
      </c>
      <c r="D68" t="s">
        <v>97</v>
      </c>
      <c r="E68" t="s">
        <v>47</v>
      </c>
      <c r="F68">
        <v>6</v>
      </c>
      <c r="G68">
        <v>6</v>
      </c>
      <c r="H68">
        <v>22.5</v>
      </c>
      <c r="I68">
        <v>4</v>
      </c>
      <c r="J68">
        <v>7</v>
      </c>
      <c r="K68">
        <v>0.57099999999999995</v>
      </c>
      <c r="L68">
        <v>0</v>
      </c>
      <c r="M68">
        <v>0.3</v>
      </c>
      <c r="N68">
        <v>0</v>
      </c>
      <c r="O68">
        <v>4</v>
      </c>
      <c r="P68">
        <v>6.7</v>
      </c>
      <c r="Q68">
        <v>0.6</v>
      </c>
      <c r="R68">
        <v>0.57099999999999995</v>
      </c>
      <c r="S68">
        <v>3.5</v>
      </c>
      <c r="T68">
        <v>6</v>
      </c>
      <c r="U68">
        <v>0.58299999999999996</v>
      </c>
      <c r="V68">
        <v>1.3</v>
      </c>
      <c r="W68">
        <v>3.8</v>
      </c>
      <c r="X68">
        <v>5.2</v>
      </c>
      <c r="Y68">
        <v>1</v>
      </c>
      <c r="Z68">
        <v>1.2</v>
      </c>
      <c r="AA68">
        <v>0.8</v>
      </c>
      <c r="AB68">
        <v>1.8</v>
      </c>
      <c r="AC68">
        <v>4.2</v>
      </c>
      <c r="AD68">
        <v>11.5</v>
      </c>
      <c r="AE68">
        <f t="shared" si="1"/>
        <v>11.5</v>
      </c>
      <c r="AF68" t="s">
        <v>927</v>
      </c>
    </row>
    <row r="69" spans="1:32" x14ac:dyDescent="0.25">
      <c r="A69">
        <v>68</v>
      </c>
      <c r="B69" t="s">
        <v>189</v>
      </c>
      <c r="C69">
        <v>29</v>
      </c>
      <c r="D69" t="s">
        <v>133</v>
      </c>
      <c r="E69" t="s">
        <v>47</v>
      </c>
      <c r="F69">
        <v>4</v>
      </c>
      <c r="G69">
        <v>4</v>
      </c>
      <c r="H69">
        <v>30.5</v>
      </c>
      <c r="I69">
        <v>4</v>
      </c>
      <c r="J69">
        <v>10.8</v>
      </c>
      <c r="K69">
        <v>0.372</v>
      </c>
      <c r="L69">
        <v>1.8</v>
      </c>
      <c r="M69">
        <v>5</v>
      </c>
      <c r="N69">
        <v>0.35</v>
      </c>
      <c r="O69">
        <v>2.2999999999999998</v>
      </c>
      <c r="P69">
        <v>5.8</v>
      </c>
      <c r="Q69">
        <v>0.39100000000000001</v>
      </c>
      <c r="R69">
        <v>0.45300000000000001</v>
      </c>
      <c r="S69">
        <v>1.8</v>
      </c>
      <c r="T69">
        <v>2.5</v>
      </c>
      <c r="U69">
        <v>0.7</v>
      </c>
      <c r="V69">
        <v>1</v>
      </c>
      <c r="W69">
        <v>2.2999999999999998</v>
      </c>
      <c r="X69">
        <v>3.3</v>
      </c>
      <c r="Y69">
        <v>2.2999999999999998</v>
      </c>
      <c r="Z69">
        <v>0.3</v>
      </c>
      <c r="AA69">
        <v>1.3</v>
      </c>
      <c r="AB69">
        <v>2.8</v>
      </c>
      <c r="AC69">
        <v>1.5</v>
      </c>
      <c r="AD69">
        <v>11.5</v>
      </c>
      <c r="AE69">
        <f t="shared" si="1"/>
        <v>11.600000000000001</v>
      </c>
      <c r="AF69" t="s">
        <v>927</v>
      </c>
    </row>
    <row r="70" spans="1:32" x14ac:dyDescent="0.25">
      <c r="A70">
        <v>69</v>
      </c>
      <c r="B70" t="s">
        <v>1946</v>
      </c>
      <c r="C70">
        <v>24</v>
      </c>
      <c r="D70" t="s">
        <v>105</v>
      </c>
      <c r="E70" t="s">
        <v>63</v>
      </c>
      <c r="F70">
        <v>5</v>
      </c>
      <c r="G70">
        <v>1</v>
      </c>
      <c r="H70">
        <v>30.2</v>
      </c>
      <c r="I70">
        <v>3.8</v>
      </c>
      <c r="J70">
        <v>9.6</v>
      </c>
      <c r="K70">
        <v>0.39600000000000002</v>
      </c>
      <c r="L70">
        <v>1.4</v>
      </c>
      <c r="M70">
        <v>3</v>
      </c>
      <c r="N70">
        <v>0.46700000000000003</v>
      </c>
      <c r="O70">
        <v>2.4</v>
      </c>
      <c r="P70">
        <v>6.6</v>
      </c>
      <c r="Q70">
        <v>0.36399999999999999</v>
      </c>
      <c r="R70">
        <v>0.46899999999999997</v>
      </c>
      <c r="S70">
        <v>2.2000000000000002</v>
      </c>
      <c r="T70">
        <v>2.6</v>
      </c>
      <c r="U70">
        <v>0.84599999999999997</v>
      </c>
      <c r="V70">
        <v>0.6</v>
      </c>
      <c r="W70">
        <v>3</v>
      </c>
      <c r="X70">
        <v>3.6</v>
      </c>
      <c r="Y70">
        <v>5.4</v>
      </c>
      <c r="Z70">
        <v>0.8</v>
      </c>
      <c r="AA70">
        <v>0</v>
      </c>
      <c r="AB70">
        <v>1.8</v>
      </c>
      <c r="AC70">
        <v>2.4</v>
      </c>
      <c r="AD70">
        <v>11.2</v>
      </c>
      <c r="AE70">
        <f t="shared" si="1"/>
        <v>11.2</v>
      </c>
      <c r="AF70" t="s">
        <v>927</v>
      </c>
    </row>
    <row r="71" spans="1:32" x14ac:dyDescent="0.25">
      <c r="A71">
        <v>70</v>
      </c>
      <c r="B71" t="s">
        <v>363</v>
      </c>
      <c r="C71">
        <v>25</v>
      </c>
      <c r="D71" t="s">
        <v>105</v>
      </c>
      <c r="E71" t="s">
        <v>63</v>
      </c>
      <c r="F71">
        <v>5</v>
      </c>
      <c r="G71">
        <v>1</v>
      </c>
      <c r="H71">
        <v>27</v>
      </c>
      <c r="I71">
        <v>3.6</v>
      </c>
      <c r="J71">
        <v>7.8</v>
      </c>
      <c r="K71">
        <v>0.46200000000000002</v>
      </c>
      <c r="L71">
        <v>3.6</v>
      </c>
      <c r="M71">
        <v>7</v>
      </c>
      <c r="N71">
        <v>0.51400000000000001</v>
      </c>
      <c r="O71">
        <v>0</v>
      </c>
      <c r="P71">
        <v>0.8</v>
      </c>
      <c r="Q71">
        <v>0</v>
      </c>
      <c r="R71">
        <v>0.69199999999999995</v>
      </c>
      <c r="S71">
        <v>0.2</v>
      </c>
      <c r="T71">
        <v>0.4</v>
      </c>
      <c r="U71">
        <v>0.5</v>
      </c>
      <c r="V71">
        <v>0.4</v>
      </c>
      <c r="W71">
        <v>2.4</v>
      </c>
      <c r="X71">
        <v>2.8</v>
      </c>
      <c r="Y71">
        <v>2</v>
      </c>
      <c r="Z71">
        <v>0</v>
      </c>
      <c r="AA71">
        <v>0.2</v>
      </c>
      <c r="AB71">
        <v>0</v>
      </c>
      <c r="AC71">
        <v>2.6</v>
      </c>
      <c r="AD71">
        <v>11</v>
      </c>
      <c r="AE71">
        <f t="shared" si="1"/>
        <v>11</v>
      </c>
      <c r="AF71" t="s">
        <v>927</v>
      </c>
    </row>
    <row r="72" spans="1:32" x14ac:dyDescent="0.25">
      <c r="A72">
        <v>71</v>
      </c>
      <c r="B72" t="s">
        <v>288</v>
      </c>
      <c r="C72">
        <v>21</v>
      </c>
      <c r="D72" t="s">
        <v>1223</v>
      </c>
      <c r="E72" t="s">
        <v>63</v>
      </c>
      <c r="F72">
        <v>7</v>
      </c>
      <c r="G72">
        <v>6</v>
      </c>
      <c r="H72">
        <v>30.3</v>
      </c>
      <c r="I72">
        <v>4</v>
      </c>
      <c r="J72">
        <v>10.4</v>
      </c>
      <c r="K72">
        <v>0.38400000000000001</v>
      </c>
      <c r="L72">
        <v>2.1</v>
      </c>
      <c r="M72">
        <v>6.3</v>
      </c>
      <c r="N72">
        <v>0.34100000000000003</v>
      </c>
      <c r="O72">
        <v>1.9</v>
      </c>
      <c r="P72">
        <v>4.0999999999999996</v>
      </c>
      <c r="Q72">
        <v>0.44800000000000001</v>
      </c>
      <c r="R72">
        <v>0.48599999999999999</v>
      </c>
      <c r="S72">
        <v>0.9</v>
      </c>
      <c r="T72">
        <v>1.3</v>
      </c>
      <c r="U72">
        <v>0.66700000000000004</v>
      </c>
      <c r="V72">
        <v>1.1000000000000001</v>
      </c>
      <c r="W72">
        <v>3</v>
      </c>
      <c r="X72">
        <v>4.0999999999999996</v>
      </c>
      <c r="Y72">
        <v>3</v>
      </c>
      <c r="Z72">
        <v>0.9</v>
      </c>
      <c r="AA72">
        <v>0.3</v>
      </c>
      <c r="AB72">
        <v>1.3</v>
      </c>
      <c r="AC72">
        <v>1.6</v>
      </c>
      <c r="AD72">
        <v>11</v>
      </c>
      <c r="AE72">
        <f t="shared" si="1"/>
        <v>11.000000000000002</v>
      </c>
      <c r="AF72" t="s">
        <v>927</v>
      </c>
    </row>
    <row r="73" spans="1:32" x14ac:dyDescent="0.25">
      <c r="A73">
        <v>72</v>
      </c>
      <c r="B73" t="s">
        <v>1882</v>
      </c>
      <c r="C73">
        <v>32</v>
      </c>
      <c r="D73" t="s">
        <v>1223</v>
      </c>
      <c r="E73" t="s">
        <v>63</v>
      </c>
      <c r="F73">
        <v>7</v>
      </c>
      <c r="G73">
        <v>4</v>
      </c>
      <c r="H73">
        <v>23.1</v>
      </c>
      <c r="I73">
        <v>4.0999999999999996</v>
      </c>
      <c r="J73">
        <v>8.6999999999999993</v>
      </c>
      <c r="K73">
        <v>0.47499999999999998</v>
      </c>
      <c r="L73">
        <v>2.6</v>
      </c>
      <c r="M73">
        <v>6</v>
      </c>
      <c r="N73">
        <v>0.42899999999999999</v>
      </c>
      <c r="O73">
        <v>1.6</v>
      </c>
      <c r="P73">
        <v>2.7</v>
      </c>
      <c r="Q73">
        <v>0.57899999999999996</v>
      </c>
      <c r="R73">
        <v>0.623</v>
      </c>
      <c r="S73">
        <v>0</v>
      </c>
      <c r="T73">
        <v>0</v>
      </c>
      <c r="V73">
        <v>1.1000000000000001</v>
      </c>
      <c r="W73">
        <v>1.6</v>
      </c>
      <c r="X73">
        <v>2.7</v>
      </c>
      <c r="Y73">
        <v>1.4</v>
      </c>
      <c r="Z73">
        <v>1.1000000000000001</v>
      </c>
      <c r="AA73">
        <v>0.4</v>
      </c>
      <c r="AB73">
        <v>0.4</v>
      </c>
      <c r="AC73">
        <v>2</v>
      </c>
      <c r="AD73">
        <v>10.9</v>
      </c>
      <c r="AE73">
        <f t="shared" si="1"/>
        <v>10.8</v>
      </c>
      <c r="AF73" t="s">
        <v>927</v>
      </c>
    </row>
    <row r="74" spans="1:32" x14ac:dyDescent="0.25">
      <c r="A74">
        <v>73</v>
      </c>
      <c r="B74" t="s">
        <v>312</v>
      </c>
      <c r="C74">
        <v>26</v>
      </c>
      <c r="D74" t="s">
        <v>148</v>
      </c>
      <c r="E74" t="s">
        <v>47</v>
      </c>
      <c r="F74">
        <v>7</v>
      </c>
      <c r="G74">
        <v>7</v>
      </c>
      <c r="H74">
        <v>32.700000000000003</v>
      </c>
      <c r="I74">
        <v>4</v>
      </c>
      <c r="J74">
        <v>8.6999999999999993</v>
      </c>
      <c r="K74">
        <v>0.45900000000000002</v>
      </c>
      <c r="L74">
        <v>2.1</v>
      </c>
      <c r="M74">
        <v>4.9000000000000004</v>
      </c>
      <c r="N74">
        <v>0.441</v>
      </c>
      <c r="O74">
        <v>1.9</v>
      </c>
      <c r="P74">
        <v>3.9</v>
      </c>
      <c r="Q74">
        <v>0.48099999999999998</v>
      </c>
      <c r="R74">
        <v>0.58199999999999996</v>
      </c>
      <c r="S74">
        <v>0.7</v>
      </c>
      <c r="T74">
        <v>1.1000000000000001</v>
      </c>
      <c r="U74">
        <v>0.625</v>
      </c>
      <c r="V74">
        <v>1.1000000000000001</v>
      </c>
      <c r="W74">
        <v>4.5999999999999996</v>
      </c>
      <c r="X74">
        <v>5.7</v>
      </c>
      <c r="Y74">
        <v>0.7</v>
      </c>
      <c r="Z74">
        <v>0.4</v>
      </c>
      <c r="AA74">
        <v>0.4</v>
      </c>
      <c r="AB74">
        <v>1.1000000000000001</v>
      </c>
      <c r="AC74">
        <v>1.6</v>
      </c>
      <c r="AD74">
        <v>10.9</v>
      </c>
      <c r="AE74">
        <f t="shared" si="1"/>
        <v>10.8</v>
      </c>
      <c r="AF74" t="s">
        <v>927</v>
      </c>
    </row>
    <row r="75" spans="1:32" x14ac:dyDescent="0.25">
      <c r="A75">
        <v>74</v>
      </c>
      <c r="B75" t="s">
        <v>320</v>
      </c>
      <c r="C75">
        <v>22</v>
      </c>
      <c r="D75" t="s">
        <v>170</v>
      </c>
      <c r="E75" t="s">
        <v>47</v>
      </c>
      <c r="F75">
        <v>5</v>
      </c>
      <c r="G75">
        <v>0</v>
      </c>
      <c r="H75">
        <v>19</v>
      </c>
      <c r="I75">
        <v>3.2</v>
      </c>
      <c r="J75">
        <v>7.6</v>
      </c>
      <c r="K75">
        <v>0.42099999999999999</v>
      </c>
      <c r="L75">
        <v>1</v>
      </c>
      <c r="M75">
        <v>4</v>
      </c>
      <c r="N75">
        <v>0.25</v>
      </c>
      <c r="O75">
        <v>2.2000000000000002</v>
      </c>
      <c r="P75">
        <v>3.6</v>
      </c>
      <c r="Q75">
        <v>0.61099999999999999</v>
      </c>
      <c r="R75">
        <v>0.48699999999999999</v>
      </c>
      <c r="S75">
        <v>3</v>
      </c>
      <c r="T75">
        <v>3.6</v>
      </c>
      <c r="U75">
        <v>0.83299999999999996</v>
      </c>
      <c r="V75">
        <v>0.6</v>
      </c>
      <c r="W75">
        <v>2.6</v>
      </c>
      <c r="X75">
        <v>3.2</v>
      </c>
      <c r="Y75">
        <v>0.8</v>
      </c>
      <c r="Z75">
        <v>0.8</v>
      </c>
      <c r="AA75">
        <v>0.2</v>
      </c>
      <c r="AB75">
        <v>1.4</v>
      </c>
      <c r="AC75">
        <v>2</v>
      </c>
      <c r="AD75">
        <v>10.4</v>
      </c>
      <c r="AE75">
        <f t="shared" si="1"/>
        <v>10.4</v>
      </c>
      <c r="AF75" t="s">
        <v>927</v>
      </c>
    </row>
    <row r="76" spans="1:32" x14ac:dyDescent="0.25">
      <c r="A76">
        <v>75</v>
      </c>
      <c r="B76" t="s">
        <v>2060</v>
      </c>
      <c r="C76">
        <v>25</v>
      </c>
      <c r="D76" t="s">
        <v>142</v>
      </c>
      <c r="E76" t="s">
        <v>72</v>
      </c>
      <c r="F76">
        <v>5</v>
      </c>
      <c r="G76">
        <v>5</v>
      </c>
      <c r="H76">
        <v>32.4</v>
      </c>
      <c r="I76">
        <v>4.2</v>
      </c>
      <c r="J76">
        <v>8</v>
      </c>
      <c r="K76">
        <v>0.52500000000000002</v>
      </c>
      <c r="L76">
        <v>0.6</v>
      </c>
      <c r="M76">
        <v>2.2000000000000002</v>
      </c>
      <c r="N76">
        <v>0.27300000000000002</v>
      </c>
      <c r="O76">
        <v>3.6</v>
      </c>
      <c r="P76">
        <v>5.8</v>
      </c>
      <c r="Q76">
        <v>0.621</v>
      </c>
      <c r="R76">
        <v>0.56299999999999994</v>
      </c>
      <c r="S76">
        <v>1.2</v>
      </c>
      <c r="T76">
        <v>2</v>
      </c>
      <c r="U76">
        <v>0.6</v>
      </c>
      <c r="V76">
        <v>3.8</v>
      </c>
      <c r="W76">
        <v>7</v>
      </c>
      <c r="X76">
        <v>10.8</v>
      </c>
      <c r="Y76">
        <v>1.2</v>
      </c>
      <c r="Z76">
        <v>0.4</v>
      </c>
      <c r="AA76">
        <v>0.4</v>
      </c>
      <c r="AB76">
        <v>1.6</v>
      </c>
      <c r="AC76">
        <v>2.4</v>
      </c>
      <c r="AD76">
        <v>10.199999999999999</v>
      </c>
      <c r="AE76">
        <f t="shared" si="1"/>
        <v>10.199999999999999</v>
      </c>
      <c r="AF76" t="s">
        <v>927</v>
      </c>
    </row>
    <row r="77" spans="1:32" x14ac:dyDescent="0.25">
      <c r="A77">
        <v>76</v>
      </c>
      <c r="B77" t="s">
        <v>479</v>
      </c>
      <c r="C77">
        <v>28</v>
      </c>
      <c r="D77" t="s">
        <v>85</v>
      </c>
      <c r="E77" t="s">
        <v>47</v>
      </c>
      <c r="F77">
        <v>5</v>
      </c>
      <c r="G77">
        <v>5</v>
      </c>
      <c r="H77">
        <v>26.4</v>
      </c>
      <c r="I77">
        <v>3.4</v>
      </c>
      <c r="J77">
        <v>8.1999999999999993</v>
      </c>
      <c r="K77">
        <v>0.41499999999999998</v>
      </c>
      <c r="L77">
        <v>2.8</v>
      </c>
      <c r="M77">
        <v>6.8</v>
      </c>
      <c r="N77">
        <v>0.41199999999999998</v>
      </c>
      <c r="O77">
        <v>0.6</v>
      </c>
      <c r="P77">
        <v>1.4</v>
      </c>
      <c r="Q77">
        <v>0.42899999999999999</v>
      </c>
      <c r="R77">
        <v>0.58499999999999996</v>
      </c>
      <c r="S77">
        <v>0.6</v>
      </c>
      <c r="T77">
        <v>0.8</v>
      </c>
      <c r="U77">
        <v>0.75</v>
      </c>
      <c r="V77">
        <v>1</v>
      </c>
      <c r="W77">
        <v>3.6</v>
      </c>
      <c r="X77">
        <v>4.5999999999999996</v>
      </c>
      <c r="Y77">
        <v>3.8</v>
      </c>
      <c r="Z77">
        <v>1</v>
      </c>
      <c r="AA77">
        <v>0.2</v>
      </c>
      <c r="AB77">
        <v>0.6</v>
      </c>
      <c r="AC77">
        <v>1.8</v>
      </c>
      <c r="AD77">
        <v>10.199999999999999</v>
      </c>
      <c r="AE77">
        <f t="shared" si="1"/>
        <v>10.199999999999998</v>
      </c>
      <c r="AF77" t="s">
        <v>927</v>
      </c>
    </row>
    <row r="78" spans="1:32" x14ac:dyDescent="0.25">
      <c r="A78">
        <v>77</v>
      </c>
      <c r="B78" t="s">
        <v>305</v>
      </c>
      <c r="C78">
        <v>34</v>
      </c>
      <c r="D78" t="s">
        <v>113</v>
      </c>
      <c r="E78" t="s">
        <v>56</v>
      </c>
      <c r="F78">
        <v>2</v>
      </c>
      <c r="G78">
        <v>2</v>
      </c>
      <c r="H78">
        <v>34.5</v>
      </c>
      <c r="I78">
        <v>3.5</v>
      </c>
      <c r="J78">
        <v>7.5</v>
      </c>
      <c r="K78">
        <v>0.46700000000000003</v>
      </c>
      <c r="L78">
        <v>1.5</v>
      </c>
      <c r="M78">
        <v>3.5</v>
      </c>
      <c r="N78">
        <v>0.42899999999999999</v>
      </c>
      <c r="O78">
        <v>2</v>
      </c>
      <c r="P78">
        <v>4</v>
      </c>
      <c r="Q78">
        <v>0.5</v>
      </c>
      <c r="R78">
        <v>0.56699999999999995</v>
      </c>
      <c r="S78">
        <v>1.5</v>
      </c>
      <c r="T78">
        <v>1.5</v>
      </c>
      <c r="U78">
        <v>1</v>
      </c>
      <c r="V78">
        <v>0.5</v>
      </c>
      <c r="W78">
        <v>3</v>
      </c>
      <c r="X78">
        <v>3.5</v>
      </c>
      <c r="Y78">
        <v>5.5</v>
      </c>
      <c r="Z78">
        <v>1.5</v>
      </c>
      <c r="AA78">
        <v>0.5</v>
      </c>
      <c r="AB78">
        <v>2.5</v>
      </c>
      <c r="AC78">
        <v>3</v>
      </c>
      <c r="AD78">
        <v>10</v>
      </c>
      <c r="AE78">
        <f t="shared" si="1"/>
        <v>10</v>
      </c>
      <c r="AF78" t="s">
        <v>927</v>
      </c>
    </row>
    <row r="79" spans="1:32" x14ac:dyDescent="0.25">
      <c r="A79">
        <v>78</v>
      </c>
      <c r="B79" t="s">
        <v>242</v>
      </c>
      <c r="C79">
        <v>22</v>
      </c>
      <c r="D79" t="s">
        <v>1223</v>
      </c>
      <c r="E79" t="s">
        <v>63</v>
      </c>
      <c r="F79">
        <v>7</v>
      </c>
      <c r="G79">
        <v>2</v>
      </c>
      <c r="H79">
        <v>20.9</v>
      </c>
      <c r="I79">
        <v>3.4</v>
      </c>
      <c r="J79">
        <v>8.9</v>
      </c>
      <c r="K79">
        <v>0.38700000000000001</v>
      </c>
      <c r="L79">
        <v>1.7</v>
      </c>
      <c r="M79">
        <v>4.9000000000000004</v>
      </c>
      <c r="N79">
        <v>0.35299999999999998</v>
      </c>
      <c r="O79">
        <v>1.7</v>
      </c>
      <c r="P79">
        <v>4</v>
      </c>
      <c r="Q79">
        <v>0.42899999999999999</v>
      </c>
      <c r="R79">
        <v>0.48399999999999999</v>
      </c>
      <c r="S79">
        <v>1</v>
      </c>
      <c r="T79">
        <v>1.1000000000000001</v>
      </c>
      <c r="U79">
        <v>0.875</v>
      </c>
      <c r="V79">
        <v>1.1000000000000001</v>
      </c>
      <c r="W79">
        <v>2</v>
      </c>
      <c r="X79">
        <v>3.1</v>
      </c>
      <c r="Y79">
        <v>1.1000000000000001</v>
      </c>
      <c r="Z79">
        <v>0.6</v>
      </c>
      <c r="AA79">
        <v>0.4</v>
      </c>
      <c r="AB79">
        <v>0.3</v>
      </c>
      <c r="AC79">
        <v>1.3</v>
      </c>
      <c r="AD79">
        <v>9.6</v>
      </c>
      <c r="AE79">
        <f t="shared" si="1"/>
        <v>9.5</v>
      </c>
      <c r="AF79" t="s">
        <v>927</v>
      </c>
    </row>
    <row r="80" spans="1:32" x14ac:dyDescent="0.25">
      <c r="A80">
        <v>79</v>
      </c>
      <c r="B80" t="s">
        <v>1921</v>
      </c>
      <c r="C80">
        <v>21</v>
      </c>
      <c r="D80" t="s">
        <v>133</v>
      </c>
      <c r="E80" t="s">
        <v>93</v>
      </c>
      <c r="F80">
        <v>4</v>
      </c>
      <c r="G80">
        <v>0</v>
      </c>
      <c r="H80">
        <v>18.8</v>
      </c>
      <c r="I80">
        <v>3.3</v>
      </c>
      <c r="J80">
        <v>8.8000000000000007</v>
      </c>
      <c r="K80">
        <v>0.371</v>
      </c>
      <c r="L80">
        <v>1.5</v>
      </c>
      <c r="M80">
        <v>6</v>
      </c>
      <c r="N80">
        <v>0.25</v>
      </c>
      <c r="O80">
        <v>1.8</v>
      </c>
      <c r="P80">
        <v>2.8</v>
      </c>
      <c r="Q80">
        <v>0.63600000000000001</v>
      </c>
      <c r="R80">
        <v>0.45700000000000002</v>
      </c>
      <c r="S80">
        <v>1.5</v>
      </c>
      <c r="T80">
        <v>1.5</v>
      </c>
      <c r="U80">
        <v>1</v>
      </c>
      <c r="V80">
        <v>1</v>
      </c>
      <c r="W80">
        <v>3</v>
      </c>
      <c r="X80">
        <v>4</v>
      </c>
      <c r="Y80">
        <v>1.5</v>
      </c>
      <c r="Z80">
        <v>0.8</v>
      </c>
      <c r="AA80">
        <v>0.3</v>
      </c>
      <c r="AB80">
        <v>1.3</v>
      </c>
      <c r="AC80">
        <v>0.5</v>
      </c>
      <c r="AD80">
        <v>9.5</v>
      </c>
      <c r="AE80">
        <f t="shared" si="1"/>
        <v>9.6</v>
      </c>
      <c r="AF80" t="s">
        <v>927</v>
      </c>
    </row>
    <row r="81" spans="1:32" x14ac:dyDescent="0.25">
      <c r="A81">
        <v>80</v>
      </c>
      <c r="B81" t="s">
        <v>380</v>
      </c>
      <c r="C81">
        <v>32</v>
      </c>
      <c r="D81" t="s">
        <v>170</v>
      </c>
      <c r="E81" t="s">
        <v>56</v>
      </c>
      <c r="F81">
        <v>6</v>
      </c>
      <c r="G81">
        <v>0</v>
      </c>
      <c r="H81">
        <v>17.2</v>
      </c>
      <c r="I81">
        <v>4.2</v>
      </c>
      <c r="J81">
        <v>7.5</v>
      </c>
      <c r="K81">
        <v>0.55600000000000005</v>
      </c>
      <c r="L81">
        <v>0.3</v>
      </c>
      <c r="M81">
        <v>0.5</v>
      </c>
      <c r="N81">
        <v>0.66700000000000004</v>
      </c>
      <c r="O81">
        <v>3.8</v>
      </c>
      <c r="P81">
        <v>7</v>
      </c>
      <c r="Q81">
        <v>0.54800000000000004</v>
      </c>
      <c r="R81">
        <v>0.57799999999999996</v>
      </c>
      <c r="S81">
        <v>0.8</v>
      </c>
      <c r="T81">
        <v>1</v>
      </c>
      <c r="U81">
        <v>0.83299999999999996</v>
      </c>
      <c r="V81">
        <v>0.7</v>
      </c>
      <c r="W81">
        <v>2.2999999999999998</v>
      </c>
      <c r="X81">
        <v>3</v>
      </c>
      <c r="Y81">
        <v>4.2</v>
      </c>
      <c r="Z81">
        <v>0.3</v>
      </c>
      <c r="AA81">
        <v>0</v>
      </c>
      <c r="AB81">
        <v>1.2</v>
      </c>
      <c r="AC81">
        <v>0.7</v>
      </c>
      <c r="AD81">
        <v>9.5</v>
      </c>
      <c r="AE81">
        <f t="shared" si="1"/>
        <v>9.5000000000000018</v>
      </c>
      <c r="AF81" t="s">
        <v>927</v>
      </c>
    </row>
    <row r="82" spans="1:32" x14ac:dyDescent="0.25">
      <c r="A82">
        <v>81</v>
      </c>
      <c r="B82" t="s">
        <v>1852</v>
      </c>
      <c r="C82">
        <v>26</v>
      </c>
      <c r="D82" t="s">
        <v>48</v>
      </c>
      <c r="E82" t="s">
        <v>63</v>
      </c>
      <c r="F82">
        <v>4</v>
      </c>
      <c r="G82">
        <v>0</v>
      </c>
      <c r="H82">
        <v>13.8</v>
      </c>
      <c r="I82">
        <v>3.8</v>
      </c>
      <c r="J82">
        <v>8</v>
      </c>
      <c r="K82">
        <v>0.46899999999999997</v>
      </c>
      <c r="L82">
        <v>1</v>
      </c>
      <c r="M82">
        <v>3.3</v>
      </c>
      <c r="N82">
        <v>0.308</v>
      </c>
      <c r="O82">
        <v>2.8</v>
      </c>
      <c r="P82">
        <v>4.8</v>
      </c>
      <c r="Q82">
        <v>0.57899999999999996</v>
      </c>
      <c r="R82">
        <v>0.53100000000000003</v>
      </c>
      <c r="S82">
        <v>1</v>
      </c>
      <c r="T82">
        <v>1.3</v>
      </c>
      <c r="U82">
        <v>0.8</v>
      </c>
      <c r="V82">
        <v>0.8</v>
      </c>
      <c r="W82">
        <v>0.8</v>
      </c>
      <c r="X82">
        <v>1.5</v>
      </c>
      <c r="Y82">
        <v>0.5</v>
      </c>
      <c r="Z82">
        <v>0.8</v>
      </c>
      <c r="AA82">
        <v>0</v>
      </c>
      <c r="AB82">
        <v>0.8</v>
      </c>
      <c r="AC82">
        <v>0.8</v>
      </c>
      <c r="AD82">
        <v>9.5</v>
      </c>
      <c r="AE82">
        <f t="shared" si="1"/>
        <v>9.6</v>
      </c>
      <c r="AF82" t="s">
        <v>927</v>
      </c>
    </row>
    <row r="83" spans="1:32" x14ac:dyDescent="0.25">
      <c r="A83">
        <v>82</v>
      </c>
      <c r="B83" t="s">
        <v>1703</v>
      </c>
      <c r="C83">
        <v>27</v>
      </c>
      <c r="D83" t="s">
        <v>113</v>
      </c>
      <c r="E83" t="s">
        <v>56</v>
      </c>
      <c r="F83">
        <v>5</v>
      </c>
      <c r="G83">
        <v>0</v>
      </c>
      <c r="H83">
        <v>26.8</v>
      </c>
      <c r="I83">
        <v>3.2</v>
      </c>
      <c r="J83">
        <v>6.2</v>
      </c>
      <c r="K83">
        <v>0.51600000000000001</v>
      </c>
      <c r="L83">
        <v>1.8</v>
      </c>
      <c r="M83">
        <v>3.6</v>
      </c>
      <c r="N83">
        <v>0.5</v>
      </c>
      <c r="O83">
        <v>1.4</v>
      </c>
      <c r="P83">
        <v>2.6</v>
      </c>
      <c r="Q83">
        <v>0.53800000000000003</v>
      </c>
      <c r="R83">
        <v>0.66100000000000003</v>
      </c>
      <c r="S83">
        <v>1</v>
      </c>
      <c r="T83">
        <v>1.6</v>
      </c>
      <c r="U83">
        <v>0.625</v>
      </c>
      <c r="V83">
        <v>0.6</v>
      </c>
      <c r="W83">
        <v>1</v>
      </c>
      <c r="X83">
        <v>1.6</v>
      </c>
      <c r="Y83">
        <v>1.2</v>
      </c>
      <c r="Z83">
        <v>0.6</v>
      </c>
      <c r="AA83">
        <v>0</v>
      </c>
      <c r="AB83">
        <v>1.2</v>
      </c>
      <c r="AC83">
        <v>2.4</v>
      </c>
      <c r="AD83">
        <v>9.1999999999999993</v>
      </c>
      <c r="AE83">
        <f t="shared" si="1"/>
        <v>9.2000000000000011</v>
      </c>
      <c r="AF83" t="s">
        <v>927</v>
      </c>
    </row>
    <row r="84" spans="1:32" x14ac:dyDescent="0.25">
      <c r="A84">
        <v>83</v>
      </c>
      <c r="B84" t="s">
        <v>1878</v>
      </c>
      <c r="C84">
        <v>26</v>
      </c>
      <c r="D84" t="s">
        <v>48</v>
      </c>
      <c r="E84" t="s">
        <v>72</v>
      </c>
      <c r="F84">
        <v>4</v>
      </c>
      <c r="G84">
        <v>4</v>
      </c>
      <c r="H84">
        <v>23.5</v>
      </c>
      <c r="I84">
        <v>4</v>
      </c>
      <c r="J84">
        <v>6.3</v>
      </c>
      <c r="K84">
        <v>0.64</v>
      </c>
      <c r="L84">
        <v>0</v>
      </c>
      <c r="M84">
        <v>0</v>
      </c>
      <c r="O84">
        <v>4</v>
      </c>
      <c r="P84">
        <v>6.3</v>
      </c>
      <c r="Q84">
        <v>0.64</v>
      </c>
      <c r="R84">
        <v>0.64</v>
      </c>
      <c r="S84">
        <v>1</v>
      </c>
      <c r="T84">
        <v>1.5</v>
      </c>
      <c r="U84">
        <v>0.66700000000000004</v>
      </c>
      <c r="V84">
        <v>3.3</v>
      </c>
      <c r="W84">
        <v>5.5</v>
      </c>
      <c r="X84">
        <v>8.8000000000000007</v>
      </c>
      <c r="Y84">
        <v>3.8</v>
      </c>
      <c r="Z84">
        <v>1.3</v>
      </c>
      <c r="AA84">
        <v>0.3</v>
      </c>
      <c r="AB84">
        <v>1.8</v>
      </c>
      <c r="AC84">
        <v>2.2999999999999998</v>
      </c>
      <c r="AD84">
        <v>9</v>
      </c>
      <c r="AE84">
        <f t="shared" si="1"/>
        <v>9</v>
      </c>
      <c r="AF84" t="s">
        <v>927</v>
      </c>
    </row>
    <row r="85" spans="1:32" x14ac:dyDescent="0.25">
      <c r="A85">
        <v>84</v>
      </c>
      <c r="B85" t="s">
        <v>2509</v>
      </c>
      <c r="C85">
        <v>25</v>
      </c>
      <c r="D85" t="s">
        <v>156</v>
      </c>
      <c r="E85" t="s">
        <v>93</v>
      </c>
      <c r="F85">
        <v>2</v>
      </c>
      <c r="G85">
        <v>0</v>
      </c>
      <c r="H85">
        <v>14</v>
      </c>
      <c r="I85">
        <v>4</v>
      </c>
      <c r="J85">
        <v>4.5</v>
      </c>
      <c r="K85">
        <v>0.88900000000000001</v>
      </c>
      <c r="L85">
        <v>0.5</v>
      </c>
      <c r="M85">
        <v>0.5</v>
      </c>
      <c r="N85">
        <v>1</v>
      </c>
      <c r="O85">
        <v>3.5</v>
      </c>
      <c r="P85">
        <v>4</v>
      </c>
      <c r="Q85">
        <v>0.875</v>
      </c>
      <c r="R85">
        <v>0.94399999999999995</v>
      </c>
      <c r="S85">
        <v>0</v>
      </c>
      <c r="T85">
        <v>0</v>
      </c>
      <c r="V85">
        <v>1</v>
      </c>
      <c r="W85">
        <v>2</v>
      </c>
      <c r="X85">
        <v>3</v>
      </c>
      <c r="Y85">
        <v>0</v>
      </c>
      <c r="Z85">
        <v>1</v>
      </c>
      <c r="AA85">
        <v>0.5</v>
      </c>
      <c r="AB85">
        <v>1.5</v>
      </c>
      <c r="AC85">
        <v>1.5</v>
      </c>
      <c r="AD85">
        <v>8.5</v>
      </c>
      <c r="AE85">
        <f t="shared" si="1"/>
        <v>8.5</v>
      </c>
      <c r="AF85" t="s">
        <v>927</v>
      </c>
    </row>
    <row r="86" spans="1:32" x14ac:dyDescent="0.25">
      <c r="A86">
        <v>85</v>
      </c>
      <c r="B86" t="s">
        <v>1964</v>
      </c>
      <c r="C86">
        <v>25</v>
      </c>
      <c r="D86" t="s">
        <v>48</v>
      </c>
      <c r="E86" t="s">
        <v>63</v>
      </c>
      <c r="F86">
        <v>4</v>
      </c>
      <c r="G86">
        <v>0</v>
      </c>
      <c r="H86">
        <v>16.3</v>
      </c>
      <c r="I86">
        <v>3</v>
      </c>
      <c r="J86">
        <v>5.8</v>
      </c>
      <c r="K86">
        <v>0.52200000000000002</v>
      </c>
      <c r="L86">
        <v>2</v>
      </c>
      <c r="M86">
        <v>4.8</v>
      </c>
      <c r="N86">
        <v>0.42099999999999999</v>
      </c>
      <c r="O86">
        <v>1</v>
      </c>
      <c r="P86">
        <v>1</v>
      </c>
      <c r="Q86">
        <v>1</v>
      </c>
      <c r="R86">
        <v>0.69599999999999995</v>
      </c>
      <c r="S86">
        <v>0.5</v>
      </c>
      <c r="T86">
        <v>0.5</v>
      </c>
      <c r="U86">
        <v>1</v>
      </c>
      <c r="V86">
        <v>1.3</v>
      </c>
      <c r="W86">
        <v>0.5</v>
      </c>
      <c r="X86">
        <v>1.8</v>
      </c>
      <c r="Y86">
        <v>1.3</v>
      </c>
      <c r="Z86">
        <v>0.5</v>
      </c>
      <c r="AA86">
        <v>0</v>
      </c>
      <c r="AB86">
        <v>0.8</v>
      </c>
      <c r="AC86">
        <v>0</v>
      </c>
      <c r="AD86">
        <v>8.5</v>
      </c>
      <c r="AE86">
        <f t="shared" si="1"/>
        <v>8.5</v>
      </c>
      <c r="AF86" t="s">
        <v>927</v>
      </c>
    </row>
    <row r="87" spans="1:32" x14ac:dyDescent="0.25">
      <c r="A87">
        <v>86</v>
      </c>
      <c r="B87" t="s">
        <v>2042</v>
      </c>
      <c r="C87">
        <v>21</v>
      </c>
      <c r="D87" t="s">
        <v>142</v>
      </c>
      <c r="E87" t="s">
        <v>56</v>
      </c>
      <c r="F87">
        <v>5</v>
      </c>
      <c r="G87">
        <v>0</v>
      </c>
      <c r="H87">
        <v>17.8</v>
      </c>
      <c r="I87">
        <v>3</v>
      </c>
      <c r="J87">
        <v>7.4</v>
      </c>
      <c r="K87">
        <v>0.40500000000000003</v>
      </c>
      <c r="L87">
        <v>0.4</v>
      </c>
      <c r="M87">
        <v>2.6</v>
      </c>
      <c r="N87">
        <v>0.154</v>
      </c>
      <c r="O87">
        <v>2.6</v>
      </c>
      <c r="P87">
        <v>4.8</v>
      </c>
      <c r="Q87">
        <v>0.54200000000000004</v>
      </c>
      <c r="R87">
        <v>0.432</v>
      </c>
      <c r="S87">
        <v>1.8</v>
      </c>
      <c r="T87">
        <v>2.6</v>
      </c>
      <c r="U87">
        <v>0.69199999999999995</v>
      </c>
      <c r="V87">
        <v>2</v>
      </c>
      <c r="W87">
        <v>2.4</v>
      </c>
      <c r="X87">
        <v>4.4000000000000004</v>
      </c>
      <c r="Y87">
        <v>0</v>
      </c>
      <c r="Z87">
        <v>0.8</v>
      </c>
      <c r="AA87">
        <v>0.2</v>
      </c>
      <c r="AB87">
        <v>0.4</v>
      </c>
      <c r="AC87">
        <v>1.6</v>
      </c>
      <c r="AD87">
        <v>8.1999999999999993</v>
      </c>
      <c r="AE87">
        <f t="shared" si="1"/>
        <v>8.2000000000000011</v>
      </c>
      <c r="AF87" t="s">
        <v>927</v>
      </c>
    </row>
    <row r="88" spans="1:32" x14ac:dyDescent="0.25">
      <c r="A88">
        <v>87</v>
      </c>
      <c r="B88" t="s">
        <v>101</v>
      </c>
      <c r="C88">
        <v>32</v>
      </c>
      <c r="D88" t="s">
        <v>102</v>
      </c>
      <c r="E88" t="s">
        <v>72</v>
      </c>
      <c r="F88">
        <v>5</v>
      </c>
      <c r="G88">
        <v>5</v>
      </c>
      <c r="H88">
        <v>28.6</v>
      </c>
      <c r="I88">
        <v>3.2</v>
      </c>
      <c r="J88">
        <v>5.6</v>
      </c>
      <c r="K88">
        <v>0.57099999999999995</v>
      </c>
      <c r="L88">
        <v>0</v>
      </c>
      <c r="M88">
        <v>0</v>
      </c>
      <c r="O88">
        <v>3.2</v>
      </c>
      <c r="P88">
        <v>5.6</v>
      </c>
      <c r="Q88">
        <v>0.57099999999999995</v>
      </c>
      <c r="R88">
        <v>0.57099999999999995</v>
      </c>
      <c r="S88">
        <v>1.8</v>
      </c>
      <c r="T88">
        <v>3.6</v>
      </c>
      <c r="U88">
        <v>0.5</v>
      </c>
      <c r="V88">
        <v>3.8</v>
      </c>
      <c r="W88">
        <v>6</v>
      </c>
      <c r="X88">
        <v>9.8000000000000007</v>
      </c>
      <c r="Y88">
        <v>0.4</v>
      </c>
      <c r="Z88">
        <v>1</v>
      </c>
      <c r="AA88">
        <v>0.8</v>
      </c>
      <c r="AB88">
        <v>0.8</v>
      </c>
      <c r="AC88">
        <v>2.6</v>
      </c>
      <c r="AD88">
        <v>8.1999999999999993</v>
      </c>
      <c r="AE88">
        <f t="shared" si="1"/>
        <v>8.2000000000000011</v>
      </c>
      <c r="AF88" t="s">
        <v>927</v>
      </c>
    </row>
    <row r="89" spans="1:32" x14ac:dyDescent="0.25">
      <c r="A89">
        <v>88</v>
      </c>
      <c r="B89" t="s">
        <v>1862</v>
      </c>
      <c r="C89">
        <v>28</v>
      </c>
      <c r="D89" t="s">
        <v>102</v>
      </c>
      <c r="E89" t="s">
        <v>63</v>
      </c>
      <c r="F89">
        <v>5</v>
      </c>
      <c r="G89">
        <v>0</v>
      </c>
      <c r="H89">
        <v>26.4</v>
      </c>
      <c r="I89">
        <v>3</v>
      </c>
      <c r="J89">
        <v>10</v>
      </c>
      <c r="K89">
        <v>0.3</v>
      </c>
      <c r="L89">
        <v>1.2</v>
      </c>
      <c r="M89">
        <v>6.2</v>
      </c>
      <c r="N89">
        <v>0.19400000000000001</v>
      </c>
      <c r="O89">
        <v>1.8</v>
      </c>
      <c r="P89">
        <v>3.8</v>
      </c>
      <c r="Q89">
        <v>0.47399999999999998</v>
      </c>
      <c r="R89">
        <v>0.36</v>
      </c>
      <c r="S89">
        <v>0.8</v>
      </c>
      <c r="T89">
        <v>1</v>
      </c>
      <c r="U89">
        <v>0.8</v>
      </c>
      <c r="V89">
        <v>0.8</v>
      </c>
      <c r="W89">
        <v>3</v>
      </c>
      <c r="X89">
        <v>3.8</v>
      </c>
      <c r="Y89">
        <v>3.4</v>
      </c>
      <c r="Z89">
        <v>2</v>
      </c>
      <c r="AA89">
        <v>0.6</v>
      </c>
      <c r="AB89">
        <v>1.4</v>
      </c>
      <c r="AC89">
        <v>3.4</v>
      </c>
      <c r="AD89">
        <v>8</v>
      </c>
      <c r="AE89">
        <f t="shared" si="1"/>
        <v>7.9999999999999991</v>
      </c>
      <c r="AF89" t="s">
        <v>927</v>
      </c>
    </row>
    <row r="90" spans="1:32" x14ac:dyDescent="0.25">
      <c r="A90">
        <v>89</v>
      </c>
      <c r="B90" t="s">
        <v>323</v>
      </c>
      <c r="C90">
        <v>34</v>
      </c>
      <c r="D90" t="s">
        <v>1223</v>
      </c>
      <c r="E90" t="s">
        <v>93</v>
      </c>
      <c r="F90">
        <v>7</v>
      </c>
      <c r="G90">
        <v>7</v>
      </c>
      <c r="H90">
        <v>32.4</v>
      </c>
      <c r="I90">
        <v>3.1</v>
      </c>
      <c r="J90">
        <v>8</v>
      </c>
      <c r="K90">
        <v>0.39300000000000002</v>
      </c>
      <c r="L90">
        <v>1.1000000000000001</v>
      </c>
      <c r="M90">
        <v>4.4000000000000004</v>
      </c>
      <c r="N90">
        <v>0.25800000000000001</v>
      </c>
      <c r="O90">
        <v>2</v>
      </c>
      <c r="P90">
        <v>3.6</v>
      </c>
      <c r="Q90">
        <v>0.56000000000000005</v>
      </c>
      <c r="R90">
        <v>0.46400000000000002</v>
      </c>
      <c r="S90">
        <v>0.6</v>
      </c>
      <c r="T90">
        <v>1</v>
      </c>
      <c r="U90">
        <v>0.57099999999999995</v>
      </c>
      <c r="V90">
        <v>0.9</v>
      </c>
      <c r="W90">
        <v>4.7</v>
      </c>
      <c r="X90">
        <v>5.6</v>
      </c>
      <c r="Y90">
        <v>3.3</v>
      </c>
      <c r="Z90">
        <v>1.6</v>
      </c>
      <c r="AA90">
        <v>1.4</v>
      </c>
      <c r="AB90">
        <v>2.9</v>
      </c>
      <c r="AC90">
        <v>3.4</v>
      </c>
      <c r="AD90">
        <v>8</v>
      </c>
      <c r="AE90">
        <f t="shared" si="1"/>
        <v>7.9</v>
      </c>
      <c r="AF90" t="s">
        <v>927</v>
      </c>
    </row>
    <row r="91" spans="1:32" x14ac:dyDescent="0.25">
      <c r="A91">
        <v>90</v>
      </c>
      <c r="B91" t="s">
        <v>311</v>
      </c>
      <c r="C91">
        <v>26</v>
      </c>
      <c r="D91" t="s">
        <v>170</v>
      </c>
      <c r="E91" t="s">
        <v>93</v>
      </c>
      <c r="F91">
        <v>6</v>
      </c>
      <c r="G91">
        <v>0</v>
      </c>
      <c r="H91">
        <v>15.3</v>
      </c>
      <c r="I91">
        <v>3</v>
      </c>
      <c r="J91">
        <v>5.3</v>
      </c>
      <c r="K91">
        <v>0.56299999999999994</v>
      </c>
      <c r="L91">
        <v>1.2</v>
      </c>
      <c r="M91">
        <v>2.2999999999999998</v>
      </c>
      <c r="N91">
        <v>0.5</v>
      </c>
      <c r="O91">
        <v>1.8</v>
      </c>
      <c r="P91">
        <v>3</v>
      </c>
      <c r="Q91">
        <v>0.61099999999999999</v>
      </c>
      <c r="R91">
        <v>0.67200000000000004</v>
      </c>
      <c r="S91">
        <v>0.8</v>
      </c>
      <c r="T91">
        <v>1.2</v>
      </c>
      <c r="U91">
        <v>0.71399999999999997</v>
      </c>
      <c r="V91">
        <v>0.3</v>
      </c>
      <c r="W91">
        <v>1.8</v>
      </c>
      <c r="X91">
        <v>2.2000000000000002</v>
      </c>
      <c r="Y91">
        <v>1.2</v>
      </c>
      <c r="Z91">
        <v>0.7</v>
      </c>
      <c r="AA91">
        <v>0.3</v>
      </c>
      <c r="AB91">
        <v>1</v>
      </c>
      <c r="AC91">
        <v>1.5</v>
      </c>
      <c r="AD91">
        <v>8</v>
      </c>
      <c r="AE91">
        <f t="shared" si="1"/>
        <v>7.9999999999999991</v>
      </c>
      <c r="AF91" t="s">
        <v>927</v>
      </c>
    </row>
    <row r="92" spans="1:32" x14ac:dyDescent="0.25">
      <c r="A92">
        <v>91</v>
      </c>
      <c r="B92" t="s">
        <v>1844</v>
      </c>
      <c r="C92">
        <v>23</v>
      </c>
      <c r="D92" t="s">
        <v>65</v>
      </c>
      <c r="E92" t="s">
        <v>93</v>
      </c>
      <c r="F92">
        <v>7</v>
      </c>
      <c r="G92">
        <v>0</v>
      </c>
      <c r="H92">
        <v>18.899999999999999</v>
      </c>
      <c r="I92">
        <v>3</v>
      </c>
      <c r="J92">
        <v>6.3</v>
      </c>
      <c r="K92">
        <v>0.47699999999999998</v>
      </c>
      <c r="L92">
        <v>1</v>
      </c>
      <c r="M92">
        <v>2.7</v>
      </c>
      <c r="N92">
        <v>0.36799999999999999</v>
      </c>
      <c r="O92">
        <v>2</v>
      </c>
      <c r="P92">
        <v>3.6</v>
      </c>
      <c r="Q92">
        <v>0.56000000000000005</v>
      </c>
      <c r="R92">
        <v>0.55700000000000005</v>
      </c>
      <c r="S92">
        <v>0.6</v>
      </c>
      <c r="T92">
        <v>1.1000000000000001</v>
      </c>
      <c r="U92">
        <v>0.5</v>
      </c>
      <c r="V92">
        <v>1</v>
      </c>
      <c r="W92">
        <v>3.3</v>
      </c>
      <c r="X92">
        <v>4.3</v>
      </c>
      <c r="Y92">
        <v>0.7</v>
      </c>
      <c r="Z92">
        <v>1.1000000000000001</v>
      </c>
      <c r="AA92">
        <v>1</v>
      </c>
      <c r="AB92">
        <v>1.4</v>
      </c>
      <c r="AC92">
        <v>1.9</v>
      </c>
      <c r="AD92">
        <v>7.6</v>
      </c>
      <c r="AE92">
        <f t="shared" si="1"/>
        <v>7.6</v>
      </c>
      <c r="AF92" t="s">
        <v>927</v>
      </c>
    </row>
    <row r="93" spans="1:32" x14ac:dyDescent="0.25">
      <c r="A93">
        <v>92</v>
      </c>
      <c r="B93" t="s">
        <v>1830</v>
      </c>
      <c r="C93">
        <v>21</v>
      </c>
      <c r="D93" t="s">
        <v>65</v>
      </c>
      <c r="E93" t="s">
        <v>93</v>
      </c>
      <c r="F93">
        <v>7</v>
      </c>
      <c r="G93">
        <v>0</v>
      </c>
      <c r="H93">
        <v>20.399999999999999</v>
      </c>
      <c r="I93">
        <v>2.4</v>
      </c>
      <c r="J93">
        <v>4.9000000000000004</v>
      </c>
      <c r="K93">
        <v>0.5</v>
      </c>
      <c r="L93">
        <v>1.4</v>
      </c>
      <c r="M93">
        <v>3.1</v>
      </c>
      <c r="N93">
        <v>0.45500000000000002</v>
      </c>
      <c r="O93">
        <v>1</v>
      </c>
      <c r="P93">
        <v>1.7</v>
      </c>
      <c r="Q93">
        <v>0.58299999999999996</v>
      </c>
      <c r="R93">
        <v>0.64700000000000002</v>
      </c>
      <c r="S93">
        <v>1.1000000000000001</v>
      </c>
      <c r="T93">
        <v>1.4</v>
      </c>
      <c r="U93">
        <v>0.8</v>
      </c>
      <c r="V93">
        <v>1</v>
      </c>
      <c r="W93">
        <v>2.9</v>
      </c>
      <c r="X93">
        <v>3.9</v>
      </c>
      <c r="Y93">
        <v>0.6</v>
      </c>
      <c r="Z93">
        <v>0.1</v>
      </c>
      <c r="AA93">
        <v>0.7</v>
      </c>
      <c r="AB93">
        <v>1.4</v>
      </c>
      <c r="AC93">
        <v>0.9</v>
      </c>
      <c r="AD93">
        <v>7.4</v>
      </c>
      <c r="AE93">
        <f t="shared" si="1"/>
        <v>7.2999999999999989</v>
      </c>
      <c r="AF93" t="s">
        <v>927</v>
      </c>
    </row>
    <row r="94" spans="1:32" x14ac:dyDescent="0.25">
      <c r="A94">
        <v>93</v>
      </c>
      <c r="B94" t="s">
        <v>2262</v>
      </c>
      <c r="C94">
        <v>30</v>
      </c>
      <c r="D94" t="s">
        <v>48</v>
      </c>
      <c r="E94" t="s">
        <v>63</v>
      </c>
      <c r="F94">
        <v>4</v>
      </c>
      <c r="G94">
        <v>0</v>
      </c>
      <c r="H94">
        <v>20.8</v>
      </c>
      <c r="I94">
        <v>2.5</v>
      </c>
      <c r="J94">
        <v>5.5</v>
      </c>
      <c r="K94">
        <v>0.45500000000000002</v>
      </c>
      <c r="L94">
        <v>1.3</v>
      </c>
      <c r="M94">
        <v>3.3</v>
      </c>
      <c r="N94">
        <v>0.38500000000000001</v>
      </c>
      <c r="O94">
        <v>1.3</v>
      </c>
      <c r="P94">
        <v>2.2999999999999998</v>
      </c>
      <c r="Q94">
        <v>0.55600000000000005</v>
      </c>
      <c r="R94">
        <v>0.56799999999999995</v>
      </c>
      <c r="S94">
        <v>1</v>
      </c>
      <c r="T94">
        <v>1.5</v>
      </c>
      <c r="U94">
        <v>0.66700000000000004</v>
      </c>
      <c r="V94">
        <v>1</v>
      </c>
      <c r="W94">
        <v>3</v>
      </c>
      <c r="X94">
        <v>4</v>
      </c>
      <c r="Y94">
        <v>3.8</v>
      </c>
      <c r="Z94">
        <v>2.2999999999999998</v>
      </c>
      <c r="AA94">
        <v>0.8</v>
      </c>
      <c r="AB94">
        <v>0.5</v>
      </c>
      <c r="AC94">
        <v>1</v>
      </c>
      <c r="AD94">
        <v>7.3</v>
      </c>
      <c r="AE94">
        <f t="shared" si="1"/>
        <v>7.3000000000000007</v>
      </c>
      <c r="AF94" t="s">
        <v>927</v>
      </c>
    </row>
    <row r="95" spans="1:32" x14ac:dyDescent="0.25">
      <c r="A95">
        <v>94</v>
      </c>
      <c r="B95" t="s">
        <v>295</v>
      </c>
      <c r="C95">
        <v>28</v>
      </c>
      <c r="D95" t="s">
        <v>133</v>
      </c>
      <c r="E95" t="s">
        <v>47</v>
      </c>
      <c r="F95">
        <v>4</v>
      </c>
      <c r="G95">
        <v>0</v>
      </c>
      <c r="H95">
        <v>21</v>
      </c>
      <c r="I95">
        <v>2.8</v>
      </c>
      <c r="J95">
        <v>4.8</v>
      </c>
      <c r="K95">
        <v>0.57899999999999996</v>
      </c>
      <c r="L95">
        <v>1.8</v>
      </c>
      <c r="M95">
        <v>3.8</v>
      </c>
      <c r="N95">
        <v>0.46700000000000003</v>
      </c>
      <c r="O95">
        <v>1</v>
      </c>
      <c r="P95">
        <v>1</v>
      </c>
      <c r="Q95">
        <v>1</v>
      </c>
      <c r="R95">
        <v>0.76300000000000001</v>
      </c>
      <c r="S95">
        <v>0</v>
      </c>
      <c r="T95">
        <v>0</v>
      </c>
      <c r="V95">
        <v>1</v>
      </c>
      <c r="W95">
        <v>2.2999999999999998</v>
      </c>
      <c r="X95">
        <v>3.3</v>
      </c>
      <c r="Y95">
        <v>1</v>
      </c>
      <c r="Z95">
        <v>0.8</v>
      </c>
      <c r="AA95">
        <v>0.5</v>
      </c>
      <c r="AB95">
        <v>1</v>
      </c>
      <c r="AC95">
        <v>2.8</v>
      </c>
      <c r="AD95">
        <v>7.3</v>
      </c>
      <c r="AE95">
        <f t="shared" si="1"/>
        <v>7.4</v>
      </c>
      <c r="AF95" t="s">
        <v>927</v>
      </c>
    </row>
    <row r="96" spans="1:32" x14ac:dyDescent="0.25">
      <c r="A96">
        <v>95</v>
      </c>
      <c r="B96" t="s">
        <v>1982</v>
      </c>
      <c r="C96">
        <v>27</v>
      </c>
      <c r="D96" t="s">
        <v>79</v>
      </c>
      <c r="E96" t="s">
        <v>47</v>
      </c>
      <c r="F96">
        <v>7</v>
      </c>
      <c r="G96">
        <v>1</v>
      </c>
      <c r="H96">
        <v>18.399999999999999</v>
      </c>
      <c r="I96">
        <v>3</v>
      </c>
      <c r="J96">
        <v>6.9</v>
      </c>
      <c r="K96">
        <v>0.438</v>
      </c>
      <c r="L96">
        <v>0.9</v>
      </c>
      <c r="M96">
        <v>2.9</v>
      </c>
      <c r="N96">
        <v>0.3</v>
      </c>
      <c r="O96">
        <v>2.1</v>
      </c>
      <c r="P96">
        <v>4</v>
      </c>
      <c r="Q96">
        <v>0.53600000000000003</v>
      </c>
      <c r="R96">
        <v>0.5</v>
      </c>
      <c r="S96">
        <v>0.4</v>
      </c>
      <c r="T96">
        <v>1.1000000000000001</v>
      </c>
      <c r="U96">
        <v>0.375</v>
      </c>
      <c r="V96">
        <v>0.7</v>
      </c>
      <c r="W96">
        <v>1.1000000000000001</v>
      </c>
      <c r="X96">
        <v>1.9</v>
      </c>
      <c r="Y96">
        <v>0.3</v>
      </c>
      <c r="Z96">
        <v>0.6</v>
      </c>
      <c r="AA96">
        <v>1.3</v>
      </c>
      <c r="AB96">
        <v>0.4</v>
      </c>
      <c r="AC96">
        <v>0.4</v>
      </c>
      <c r="AD96">
        <v>7.3</v>
      </c>
      <c r="AE96">
        <f t="shared" si="1"/>
        <v>7.3000000000000007</v>
      </c>
      <c r="AF96" t="s">
        <v>927</v>
      </c>
    </row>
    <row r="97" spans="1:32" x14ac:dyDescent="0.25">
      <c r="A97">
        <v>96</v>
      </c>
      <c r="B97" t="s">
        <v>256</v>
      </c>
      <c r="C97">
        <v>38</v>
      </c>
      <c r="D97" t="s">
        <v>113</v>
      </c>
      <c r="E97" t="s">
        <v>72</v>
      </c>
      <c r="F97">
        <v>5</v>
      </c>
      <c r="G97">
        <v>4</v>
      </c>
      <c r="H97">
        <v>32.200000000000003</v>
      </c>
      <c r="I97">
        <v>2.8</v>
      </c>
      <c r="J97">
        <v>6</v>
      </c>
      <c r="K97">
        <v>0.46700000000000003</v>
      </c>
      <c r="L97">
        <v>1</v>
      </c>
      <c r="M97">
        <v>2.4</v>
      </c>
      <c r="N97">
        <v>0.41699999999999998</v>
      </c>
      <c r="O97">
        <v>1.8</v>
      </c>
      <c r="P97">
        <v>3.6</v>
      </c>
      <c r="Q97">
        <v>0.5</v>
      </c>
      <c r="R97">
        <v>0.55000000000000004</v>
      </c>
      <c r="S97">
        <v>0.4</v>
      </c>
      <c r="T97">
        <v>0.6</v>
      </c>
      <c r="U97">
        <v>0.66700000000000004</v>
      </c>
      <c r="V97">
        <v>1.6</v>
      </c>
      <c r="W97">
        <v>5.2</v>
      </c>
      <c r="X97">
        <v>6.8</v>
      </c>
      <c r="Y97">
        <v>2.6</v>
      </c>
      <c r="Z97">
        <v>0.4</v>
      </c>
      <c r="AA97">
        <v>1.8</v>
      </c>
      <c r="AB97">
        <v>0.8</v>
      </c>
      <c r="AC97">
        <v>2.2000000000000002</v>
      </c>
      <c r="AD97">
        <v>7</v>
      </c>
      <c r="AE97">
        <f t="shared" si="1"/>
        <v>7</v>
      </c>
      <c r="AF97" t="s">
        <v>927</v>
      </c>
    </row>
    <row r="98" spans="1:32" x14ac:dyDescent="0.25">
      <c r="A98">
        <v>97</v>
      </c>
      <c r="B98" t="s">
        <v>1163</v>
      </c>
      <c r="C98">
        <v>34</v>
      </c>
      <c r="D98" t="s">
        <v>105</v>
      </c>
      <c r="E98" t="s">
        <v>56</v>
      </c>
      <c r="F98">
        <v>3</v>
      </c>
      <c r="G98">
        <v>3</v>
      </c>
      <c r="H98">
        <v>25</v>
      </c>
      <c r="I98">
        <v>2</v>
      </c>
      <c r="J98">
        <v>9</v>
      </c>
      <c r="K98">
        <v>0.222</v>
      </c>
      <c r="L98">
        <v>1</v>
      </c>
      <c r="M98">
        <v>5.3</v>
      </c>
      <c r="N98">
        <v>0.188</v>
      </c>
      <c r="O98">
        <v>1</v>
      </c>
      <c r="P98">
        <v>3.7</v>
      </c>
      <c r="Q98">
        <v>0.27300000000000002</v>
      </c>
      <c r="R98">
        <v>0.27800000000000002</v>
      </c>
      <c r="S98">
        <v>2</v>
      </c>
      <c r="T98">
        <v>2.2999999999999998</v>
      </c>
      <c r="U98">
        <v>0.85699999999999998</v>
      </c>
      <c r="V98">
        <v>0.3</v>
      </c>
      <c r="W98">
        <v>2.2999999999999998</v>
      </c>
      <c r="X98">
        <v>2.7</v>
      </c>
      <c r="Y98">
        <v>4.7</v>
      </c>
      <c r="Z98">
        <v>0.7</v>
      </c>
      <c r="AA98">
        <v>0.7</v>
      </c>
      <c r="AB98">
        <v>1</v>
      </c>
      <c r="AC98">
        <v>2.7</v>
      </c>
      <c r="AD98">
        <v>7</v>
      </c>
      <c r="AE98">
        <f t="shared" si="1"/>
        <v>7</v>
      </c>
      <c r="AF98" t="s">
        <v>927</v>
      </c>
    </row>
    <row r="99" spans="1:32" x14ac:dyDescent="0.25">
      <c r="A99">
        <v>98</v>
      </c>
      <c r="B99" t="s">
        <v>2697</v>
      </c>
      <c r="C99">
        <v>28</v>
      </c>
      <c r="D99" t="s">
        <v>1223</v>
      </c>
      <c r="E99" t="s">
        <v>56</v>
      </c>
      <c r="F99">
        <v>4</v>
      </c>
      <c r="G99">
        <v>0</v>
      </c>
      <c r="H99">
        <v>7</v>
      </c>
      <c r="I99">
        <v>3.3</v>
      </c>
      <c r="J99">
        <v>4.3</v>
      </c>
      <c r="K99">
        <v>0.76500000000000001</v>
      </c>
      <c r="L99">
        <v>0.3</v>
      </c>
      <c r="M99">
        <v>0.5</v>
      </c>
      <c r="N99">
        <v>0.5</v>
      </c>
      <c r="O99">
        <v>3</v>
      </c>
      <c r="P99">
        <v>3.8</v>
      </c>
      <c r="Q99">
        <v>0.8</v>
      </c>
      <c r="R99">
        <v>0.79400000000000004</v>
      </c>
      <c r="S99">
        <v>0.3</v>
      </c>
      <c r="T99">
        <v>0.3</v>
      </c>
      <c r="U99">
        <v>1</v>
      </c>
      <c r="V99">
        <v>0.5</v>
      </c>
      <c r="W99">
        <v>1</v>
      </c>
      <c r="X99">
        <v>1.5</v>
      </c>
      <c r="Y99">
        <v>1</v>
      </c>
      <c r="Z99">
        <v>0.3</v>
      </c>
      <c r="AA99">
        <v>0</v>
      </c>
      <c r="AB99">
        <v>0.5</v>
      </c>
      <c r="AC99">
        <v>1</v>
      </c>
      <c r="AD99">
        <v>7</v>
      </c>
      <c r="AE99">
        <f t="shared" si="1"/>
        <v>7.2</v>
      </c>
      <c r="AF99" t="s">
        <v>927</v>
      </c>
    </row>
    <row r="100" spans="1:32" x14ac:dyDescent="0.25">
      <c r="A100">
        <v>99</v>
      </c>
      <c r="B100" t="s">
        <v>109</v>
      </c>
      <c r="C100">
        <v>25</v>
      </c>
      <c r="D100" t="s">
        <v>48</v>
      </c>
      <c r="E100" t="s">
        <v>47</v>
      </c>
      <c r="F100">
        <v>4</v>
      </c>
      <c r="G100">
        <v>4</v>
      </c>
      <c r="H100">
        <v>29.5</v>
      </c>
      <c r="I100">
        <v>2</v>
      </c>
      <c r="J100">
        <v>6.5</v>
      </c>
      <c r="K100">
        <v>0.308</v>
      </c>
      <c r="L100">
        <v>1.5</v>
      </c>
      <c r="M100">
        <v>5.8</v>
      </c>
      <c r="N100">
        <v>0.26100000000000001</v>
      </c>
      <c r="O100">
        <v>0.5</v>
      </c>
      <c r="P100">
        <v>0.8</v>
      </c>
      <c r="Q100">
        <v>0.66700000000000004</v>
      </c>
      <c r="R100">
        <v>0.42299999999999999</v>
      </c>
      <c r="S100">
        <v>1</v>
      </c>
      <c r="T100">
        <v>1.5</v>
      </c>
      <c r="U100">
        <v>0.66700000000000004</v>
      </c>
      <c r="V100">
        <v>1.5</v>
      </c>
      <c r="W100">
        <v>3.5</v>
      </c>
      <c r="X100">
        <v>5</v>
      </c>
      <c r="Y100">
        <v>0.5</v>
      </c>
      <c r="Z100">
        <v>1</v>
      </c>
      <c r="AA100">
        <v>0.5</v>
      </c>
      <c r="AB100">
        <v>0.5</v>
      </c>
      <c r="AC100">
        <v>3</v>
      </c>
      <c r="AD100">
        <v>6.5</v>
      </c>
      <c r="AE100">
        <f t="shared" si="1"/>
        <v>6.5</v>
      </c>
      <c r="AF100" t="s">
        <v>927</v>
      </c>
    </row>
    <row r="101" spans="1:32" x14ac:dyDescent="0.25">
      <c r="A101">
        <v>100</v>
      </c>
      <c r="B101" t="s">
        <v>1907</v>
      </c>
      <c r="C101">
        <v>32</v>
      </c>
      <c r="D101" t="s">
        <v>79</v>
      </c>
      <c r="E101" t="s">
        <v>63</v>
      </c>
      <c r="F101">
        <v>7</v>
      </c>
      <c r="G101">
        <v>0</v>
      </c>
      <c r="H101">
        <v>16.7</v>
      </c>
      <c r="I101">
        <v>2.2999999999999998</v>
      </c>
      <c r="J101">
        <v>6.3</v>
      </c>
      <c r="K101">
        <v>0.36399999999999999</v>
      </c>
      <c r="L101">
        <v>1</v>
      </c>
      <c r="M101">
        <v>3.4</v>
      </c>
      <c r="N101">
        <v>0.29199999999999998</v>
      </c>
      <c r="O101">
        <v>1.3</v>
      </c>
      <c r="P101">
        <v>2.9</v>
      </c>
      <c r="Q101">
        <v>0.45</v>
      </c>
      <c r="R101">
        <v>0.443</v>
      </c>
      <c r="S101">
        <v>0.9</v>
      </c>
      <c r="T101">
        <v>1</v>
      </c>
      <c r="U101">
        <v>0.85699999999999998</v>
      </c>
      <c r="V101">
        <v>0.7</v>
      </c>
      <c r="W101">
        <v>2.1</v>
      </c>
      <c r="X101">
        <v>2.9</v>
      </c>
      <c r="Y101">
        <v>2.1</v>
      </c>
      <c r="Z101">
        <v>0.4</v>
      </c>
      <c r="AA101">
        <v>0</v>
      </c>
      <c r="AB101">
        <v>1.6</v>
      </c>
      <c r="AC101">
        <v>3.6</v>
      </c>
      <c r="AD101">
        <v>6.4</v>
      </c>
      <c r="AE101">
        <f t="shared" si="1"/>
        <v>6.5</v>
      </c>
      <c r="AF101" t="s">
        <v>927</v>
      </c>
    </row>
    <row r="102" spans="1:32" x14ac:dyDescent="0.25">
      <c r="A102">
        <v>101</v>
      </c>
      <c r="B102" t="s">
        <v>204</v>
      </c>
      <c r="C102">
        <v>30</v>
      </c>
      <c r="D102" t="s">
        <v>79</v>
      </c>
      <c r="E102" t="s">
        <v>56</v>
      </c>
      <c r="F102">
        <v>7</v>
      </c>
      <c r="G102">
        <v>6</v>
      </c>
      <c r="H102">
        <v>21.9</v>
      </c>
      <c r="I102">
        <v>2.4</v>
      </c>
      <c r="J102">
        <v>6.3</v>
      </c>
      <c r="K102">
        <v>0.38600000000000001</v>
      </c>
      <c r="L102">
        <v>1.4</v>
      </c>
      <c r="M102">
        <v>4</v>
      </c>
      <c r="N102">
        <v>0.35699999999999998</v>
      </c>
      <c r="O102">
        <v>1</v>
      </c>
      <c r="P102">
        <v>2.2999999999999998</v>
      </c>
      <c r="Q102">
        <v>0.438</v>
      </c>
      <c r="R102">
        <v>0.5</v>
      </c>
      <c r="S102">
        <v>0</v>
      </c>
      <c r="T102">
        <v>0</v>
      </c>
      <c r="V102">
        <v>1.4</v>
      </c>
      <c r="W102">
        <v>2</v>
      </c>
      <c r="X102">
        <v>3.4</v>
      </c>
      <c r="Y102">
        <v>1.3</v>
      </c>
      <c r="Z102">
        <v>1.1000000000000001</v>
      </c>
      <c r="AA102">
        <v>0.6</v>
      </c>
      <c r="AB102">
        <v>0.1</v>
      </c>
      <c r="AC102">
        <v>2.6</v>
      </c>
      <c r="AD102">
        <v>6.3</v>
      </c>
      <c r="AE102">
        <f t="shared" si="1"/>
        <v>6.1999999999999993</v>
      </c>
      <c r="AF102" t="s">
        <v>927</v>
      </c>
    </row>
    <row r="103" spans="1:32" x14ac:dyDescent="0.25">
      <c r="A103">
        <v>102</v>
      </c>
      <c r="B103" t="s">
        <v>273</v>
      </c>
      <c r="C103">
        <v>22</v>
      </c>
      <c r="D103" t="s">
        <v>156</v>
      </c>
      <c r="E103" t="s">
        <v>72</v>
      </c>
      <c r="F103">
        <v>4</v>
      </c>
      <c r="G103">
        <v>4</v>
      </c>
      <c r="H103">
        <v>27</v>
      </c>
      <c r="I103">
        <v>2.5</v>
      </c>
      <c r="J103">
        <v>3.8</v>
      </c>
      <c r="K103">
        <v>0.66700000000000004</v>
      </c>
      <c r="L103">
        <v>0</v>
      </c>
      <c r="M103">
        <v>0</v>
      </c>
      <c r="O103">
        <v>2.5</v>
      </c>
      <c r="P103">
        <v>3.8</v>
      </c>
      <c r="Q103">
        <v>0.66700000000000004</v>
      </c>
      <c r="R103">
        <v>0.66700000000000004</v>
      </c>
      <c r="S103">
        <v>1.3</v>
      </c>
      <c r="T103">
        <v>1.8</v>
      </c>
      <c r="U103">
        <v>0.71399999999999997</v>
      </c>
      <c r="V103">
        <v>2.8</v>
      </c>
      <c r="W103">
        <v>5</v>
      </c>
      <c r="X103">
        <v>7.8</v>
      </c>
      <c r="Y103">
        <v>1.8</v>
      </c>
      <c r="Z103">
        <v>0</v>
      </c>
      <c r="AA103">
        <v>2.5</v>
      </c>
      <c r="AB103">
        <v>1.5</v>
      </c>
      <c r="AC103">
        <v>3</v>
      </c>
      <c r="AD103">
        <v>6.3</v>
      </c>
      <c r="AE103">
        <f t="shared" si="1"/>
        <v>6.3</v>
      </c>
      <c r="AF103" t="s">
        <v>927</v>
      </c>
    </row>
    <row r="104" spans="1:32" x14ac:dyDescent="0.25">
      <c r="A104">
        <v>103</v>
      </c>
      <c r="B104" t="s">
        <v>2337</v>
      </c>
      <c r="C104">
        <v>32</v>
      </c>
      <c r="D104" t="s">
        <v>1223</v>
      </c>
      <c r="E104" t="s">
        <v>63</v>
      </c>
      <c r="F104">
        <v>6</v>
      </c>
      <c r="G104">
        <v>1</v>
      </c>
      <c r="H104">
        <v>16</v>
      </c>
      <c r="I104">
        <v>2.7</v>
      </c>
      <c r="J104">
        <v>5.3</v>
      </c>
      <c r="K104">
        <v>0.5</v>
      </c>
      <c r="L104">
        <v>1</v>
      </c>
      <c r="M104">
        <v>2.5</v>
      </c>
      <c r="N104">
        <v>0.4</v>
      </c>
      <c r="O104">
        <v>1.7</v>
      </c>
      <c r="P104">
        <v>2.8</v>
      </c>
      <c r="Q104">
        <v>0.58799999999999997</v>
      </c>
      <c r="R104">
        <v>0.59399999999999997</v>
      </c>
      <c r="S104">
        <v>0</v>
      </c>
      <c r="T104">
        <v>0</v>
      </c>
      <c r="V104">
        <v>0.7</v>
      </c>
      <c r="W104">
        <v>1.7</v>
      </c>
      <c r="X104">
        <v>2.2999999999999998</v>
      </c>
      <c r="Y104">
        <v>1.7</v>
      </c>
      <c r="Z104">
        <v>0.8</v>
      </c>
      <c r="AA104">
        <v>0</v>
      </c>
      <c r="AB104">
        <v>0.5</v>
      </c>
      <c r="AC104">
        <v>2</v>
      </c>
      <c r="AD104">
        <v>6.3</v>
      </c>
      <c r="AE104">
        <f t="shared" si="1"/>
        <v>6.4</v>
      </c>
      <c r="AF104" t="s">
        <v>927</v>
      </c>
    </row>
    <row r="105" spans="1:32" x14ac:dyDescent="0.25">
      <c r="A105">
        <v>104</v>
      </c>
      <c r="B105" t="s">
        <v>216</v>
      </c>
      <c r="C105">
        <v>31</v>
      </c>
      <c r="D105" t="s">
        <v>1014</v>
      </c>
      <c r="E105" t="s">
        <v>93</v>
      </c>
      <c r="F105">
        <v>5</v>
      </c>
      <c r="G105">
        <v>1</v>
      </c>
      <c r="H105">
        <v>34</v>
      </c>
      <c r="I105">
        <v>2.4</v>
      </c>
      <c r="J105">
        <v>5.8</v>
      </c>
      <c r="K105">
        <v>0.41399999999999998</v>
      </c>
      <c r="L105">
        <v>1.4</v>
      </c>
      <c r="M105">
        <v>3.8</v>
      </c>
      <c r="N105">
        <v>0.36799999999999999</v>
      </c>
      <c r="O105">
        <v>1</v>
      </c>
      <c r="P105">
        <v>2</v>
      </c>
      <c r="Q105">
        <v>0.5</v>
      </c>
      <c r="R105">
        <v>0.53400000000000003</v>
      </c>
      <c r="S105">
        <v>0</v>
      </c>
      <c r="T105">
        <v>0</v>
      </c>
      <c r="V105">
        <v>2</v>
      </c>
      <c r="W105">
        <v>2.2000000000000002</v>
      </c>
      <c r="X105">
        <v>4.2</v>
      </c>
      <c r="Y105">
        <v>2.6</v>
      </c>
      <c r="Z105">
        <v>0.2</v>
      </c>
      <c r="AA105">
        <v>0.4</v>
      </c>
      <c r="AB105">
        <v>1</v>
      </c>
      <c r="AC105">
        <v>3.4</v>
      </c>
      <c r="AD105">
        <v>6.2</v>
      </c>
      <c r="AE105">
        <f t="shared" si="1"/>
        <v>6.1999999999999993</v>
      </c>
      <c r="AF105" t="s">
        <v>927</v>
      </c>
    </row>
    <row r="106" spans="1:32" x14ac:dyDescent="0.25">
      <c r="A106">
        <v>105</v>
      </c>
      <c r="B106" t="s">
        <v>2037</v>
      </c>
      <c r="C106">
        <v>26</v>
      </c>
      <c r="D106" t="s">
        <v>102</v>
      </c>
      <c r="E106" t="s">
        <v>63</v>
      </c>
      <c r="F106">
        <v>5</v>
      </c>
      <c r="G106">
        <v>0</v>
      </c>
      <c r="H106">
        <v>20</v>
      </c>
      <c r="I106">
        <v>1.8</v>
      </c>
      <c r="J106">
        <v>6.8</v>
      </c>
      <c r="K106">
        <v>0.26500000000000001</v>
      </c>
      <c r="L106">
        <v>1</v>
      </c>
      <c r="M106">
        <v>4.5999999999999996</v>
      </c>
      <c r="N106">
        <v>0.217</v>
      </c>
      <c r="O106">
        <v>0.8</v>
      </c>
      <c r="P106">
        <v>2.2000000000000002</v>
      </c>
      <c r="Q106">
        <v>0.36399999999999999</v>
      </c>
      <c r="R106">
        <v>0.33800000000000002</v>
      </c>
      <c r="S106">
        <v>1.4</v>
      </c>
      <c r="T106">
        <v>1.6</v>
      </c>
      <c r="U106">
        <v>0.875</v>
      </c>
      <c r="V106">
        <v>0</v>
      </c>
      <c r="W106">
        <v>1.6</v>
      </c>
      <c r="X106">
        <v>1.6</v>
      </c>
      <c r="Y106">
        <v>2.2000000000000002</v>
      </c>
      <c r="Z106">
        <v>0.4</v>
      </c>
      <c r="AA106">
        <v>0.2</v>
      </c>
      <c r="AB106">
        <v>1.4</v>
      </c>
      <c r="AC106">
        <v>1.4</v>
      </c>
      <c r="AD106">
        <v>6</v>
      </c>
      <c r="AE106">
        <f t="shared" si="1"/>
        <v>6</v>
      </c>
      <c r="AF106" t="s">
        <v>927</v>
      </c>
    </row>
    <row r="107" spans="1:32" x14ac:dyDescent="0.25">
      <c r="A107">
        <v>106</v>
      </c>
      <c r="B107" t="s">
        <v>377</v>
      </c>
      <c r="C107">
        <v>33</v>
      </c>
      <c r="D107" t="s">
        <v>133</v>
      </c>
      <c r="E107" t="s">
        <v>63</v>
      </c>
      <c r="F107">
        <v>1</v>
      </c>
      <c r="G107">
        <v>1</v>
      </c>
      <c r="H107">
        <v>15</v>
      </c>
      <c r="I107">
        <v>2</v>
      </c>
      <c r="J107">
        <v>3</v>
      </c>
      <c r="K107">
        <v>0.66700000000000004</v>
      </c>
      <c r="L107">
        <v>2</v>
      </c>
      <c r="M107">
        <v>3</v>
      </c>
      <c r="N107">
        <v>0.66700000000000004</v>
      </c>
      <c r="O107">
        <v>0</v>
      </c>
      <c r="P107">
        <v>0</v>
      </c>
      <c r="R107">
        <v>1</v>
      </c>
      <c r="S107">
        <v>0</v>
      </c>
      <c r="T107">
        <v>0</v>
      </c>
      <c r="V107">
        <v>0</v>
      </c>
      <c r="W107">
        <v>2</v>
      </c>
      <c r="X107">
        <v>2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6</v>
      </c>
      <c r="AE107">
        <f t="shared" si="1"/>
        <v>6</v>
      </c>
      <c r="AF107" t="s">
        <v>927</v>
      </c>
    </row>
    <row r="108" spans="1:32" x14ac:dyDescent="0.25">
      <c r="A108">
        <v>107</v>
      </c>
      <c r="B108" t="s">
        <v>2500</v>
      </c>
      <c r="C108">
        <v>21</v>
      </c>
      <c r="D108" t="s">
        <v>142</v>
      </c>
      <c r="E108" t="s">
        <v>47</v>
      </c>
      <c r="F108">
        <v>1</v>
      </c>
      <c r="G108">
        <v>0</v>
      </c>
      <c r="H108">
        <v>4</v>
      </c>
      <c r="I108">
        <v>2</v>
      </c>
      <c r="J108">
        <v>2</v>
      </c>
      <c r="K108">
        <v>1</v>
      </c>
      <c r="L108">
        <v>2</v>
      </c>
      <c r="M108">
        <v>2</v>
      </c>
      <c r="N108">
        <v>1</v>
      </c>
      <c r="O108">
        <v>0</v>
      </c>
      <c r="P108">
        <v>0</v>
      </c>
      <c r="R108">
        <v>1.5</v>
      </c>
      <c r="S108">
        <v>0</v>
      </c>
      <c r="T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6</v>
      </c>
      <c r="AE108">
        <f t="shared" si="1"/>
        <v>6</v>
      </c>
      <c r="AF108" t="s">
        <v>927</v>
      </c>
    </row>
    <row r="109" spans="1:32" x14ac:dyDescent="0.25">
      <c r="A109">
        <v>108</v>
      </c>
      <c r="B109" t="s">
        <v>1640</v>
      </c>
      <c r="C109">
        <v>22</v>
      </c>
      <c r="D109" t="s">
        <v>1223</v>
      </c>
      <c r="E109" t="s">
        <v>93</v>
      </c>
      <c r="F109">
        <v>3</v>
      </c>
      <c r="G109">
        <v>1</v>
      </c>
      <c r="H109">
        <v>16.7</v>
      </c>
      <c r="I109">
        <v>2.2999999999999998</v>
      </c>
      <c r="J109">
        <v>7.7</v>
      </c>
      <c r="K109">
        <v>0.30399999999999999</v>
      </c>
      <c r="L109">
        <v>0.7</v>
      </c>
      <c r="M109">
        <v>2</v>
      </c>
      <c r="N109">
        <v>0.33300000000000002</v>
      </c>
      <c r="O109">
        <v>1.7</v>
      </c>
      <c r="P109">
        <v>5.7</v>
      </c>
      <c r="Q109">
        <v>0.29399999999999998</v>
      </c>
      <c r="R109">
        <v>0.34799999999999998</v>
      </c>
      <c r="S109">
        <v>0.7</v>
      </c>
      <c r="T109">
        <v>1.3</v>
      </c>
      <c r="U109">
        <v>0.5</v>
      </c>
      <c r="V109">
        <v>1</v>
      </c>
      <c r="W109">
        <v>0.7</v>
      </c>
      <c r="X109">
        <v>1.7</v>
      </c>
      <c r="Y109">
        <v>1.3</v>
      </c>
      <c r="Z109">
        <v>0.3</v>
      </c>
      <c r="AA109">
        <v>0.3</v>
      </c>
      <c r="AB109">
        <v>1</v>
      </c>
      <c r="AC109">
        <v>1.7</v>
      </c>
      <c r="AD109">
        <v>6</v>
      </c>
      <c r="AE109">
        <f t="shared" si="1"/>
        <v>5.9999999999999991</v>
      </c>
      <c r="AF109" t="s">
        <v>927</v>
      </c>
    </row>
    <row r="110" spans="1:32" x14ac:dyDescent="0.25">
      <c r="A110">
        <v>109</v>
      </c>
      <c r="B110" t="s">
        <v>233</v>
      </c>
      <c r="C110">
        <v>29</v>
      </c>
      <c r="D110" t="s">
        <v>105</v>
      </c>
      <c r="E110" t="s">
        <v>93</v>
      </c>
      <c r="F110">
        <v>5</v>
      </c>
      <c r="G110">
        <v>4</v>
      </c>
      <c r="H110">
        <v>20.399999999999999</v>
      </c>
      <c r="I110">
        <v>2.4</v>
      </c>
      <c r="J110">
        <v>7</v>
      </c>
      <c r="K110">
        <v>0.34300000000000003</v>
      </c>
      <c r="L110">
        <v>0.4</v>
      </c>
      <c r="M110">
        <v>2</v>
      </c>
      <c r="N110">
        <v>0.2</v>
      </c>
      <c r="O110">
        <v>2</v>
      </c>
      <c r="P110">
        <v>5</v>
      </c>
      <c r="Q110">
        <v>0.4</v>
      </c>
      <c r="R110">
        <v>0.371</v>
      </c>
      <c r="S110">
        <v>0.6</v>
      </c>
      <c r="T110">
        <v>1.2</v>
      </c>
      <c r="U110">
        <v>0.5</v>
      </c>
      <c r="V110">
        <v>0.6</v>
      </c>
      <c r="W110">
        <v>1.6</v>
      </c>
      <c r="X110">
        <v>2.2000000000000002</v>
      </c>
      <c r="Y110">
        <v>0.8</v>
      </c>
      <c r="Z110">
        <v>0</v>
      </c>
      <c r="AA110">
        <v>0.2</v>
      </c>
      <c r="AB110">
        <v>0.6</v>
      </c>
      <c r="AC110">
        <v>2.4</v>
      </c>
      <c r="AD110">
        <v>5.8</v>
      </c>
      <c r="AE110">
        <f t="shared" si="1"/>
        <v>5.8</v>
      </c>
      <c r="AF110" t="s">
        <v>927</v>
      </c>
    </row>
    <row r="111" spans="1:32" x14ac:dyDescent="0.25">
      <c r="A111">
        <v>110</v>
      </c>
      <c r="B111" t="s">
        <v>2583</v>
      </c>
      <c r="C111">
        <v>31</v>
      </c>
      <c r="D111" t="s">
        <v>65</v>
      </c>
      <c r="E111" t="s">
        <v>72</v>
      </c>
      <c r="F111">
        <v>7</v>
      </c>
      <c r="G111">
        <v>0</v>
      </c>
      <c r="H111">
        <v>22.1</v>
      </c>
      <c r="I111">
        <v>1.7</v>
      </c>
      <c r="J111">
        <v>2.9</v>
      </c>
      <c r="K111">
        <v>0.6</v>
      </c>
      <c r="L111">
        <v>0</v>
      </c>
      <c r="M111">
        <v>0</v>
      </c>
      <c r="O111">
        <v>1.7</v>
      </c>
      <c r="P111">
        <v>2.9</v>
      </c>
      <c r="Q111">
        <v>0.6</v>
      </c>
      <c r="R111">
        <v>0.6</v>
      </c>
      <c r="S111">
        <v>2.2999999999999998</v>
      </c>
      <c r="T111">
        <v>4.3</v>
      </c>
      <c r="U111">
        <v>0.53300000000000003</v>
      </c>
      <c r="V111">
        <v>3.3</v>
      </c>
      <c r="W111">
        <v>3.3</v>
      </c>
      <c r="X111">
        <v>6.6</v>
      </c>
      <c r="Y111">
        <v>0.6</v>
      </c>
      <c r="Z111">
        <v>0.4</v>
      </c>
      <c r="AA111">
        <v>1.1000000000000001</v>
      </c>
      <c r="AB111">
        <v>0.7</v>
      </c>
      <c r="AC111">
        <v>1</v>
      </c>
      <c r="AD111">
        <v>5.7</v>
      </c>
      <c r="AE111">
        <f t="shared" si="1"/>
        <v>5.6999999999999993</v>
      </c>
      <c r="AF111" t="s">
        <v>927</v>
      </c>
    </row>
    <row r="112" spans="1:32" x14ac:dyDescent="0.25">
      <c r="A112">
        <v>111</v>
      </c>
      <c r="B112" t="s">
        <v>2574</v>
      </c>
      <c r="C112">
        <v>36</v>
      </c>
      <c r="D112" t="s">
        <v>79</v>
      </c>
      <c r="E112" t="s">
        <v>93</v>
      </c>
      <c r="F112">
        <v>7</v>
      </c>
      <c r="G112">
        <v>0</v>
      </c>
      <c r="H112">
        <v>24.6</v>
      </c>
      <c r="I112">
        <v>1.9</v>
      </c>
      <c r="J112">
        <v>4.7</v>
      </c>
      <c r="K112">
        <v>0.39400000000000002</v>
      </c>
      <c r="L112">
        <v>1.9</v>
      </c>
      <c r="M112">
        <v>4.7</v>
      </c>
      <c r="N112">
        <v>0.39400000000000002</v>
      </c>
      <c r="O112">
        <v>0</v>
      </c>
      <c r="P112">
        <v>0</v>
      </c>
      <c r="R112">
        <v>0.59099999999999997</v>
      </c>
      <c r="S112">
        <v>0</v>
      </c>
      <c r="T112">
        <v>0</v>
      </c>
      <c r="V112">
        <v>0.6</v>
      </c>
      <c r="W112">
        <v>3.3</v>
      </c>
      <c r="X112">
        <v>3.9</v>
      </c>
      <c r="Y112">
        <v>2</v>
      </c>
      <c r="Z112">
        <v>0.9</v>
      </c>
      <c r="AA112">
        <v>1.7</v>
      </c>
      <c r="AB112">
        <v>0.4</v>
      </c>
      <c r="AC112">
        <v>1.9</v>
      </c>
      <c r="AD112">
        <v>5.6</v>
      </c>
      <c r="AE112">
        <f t="shared" si="1"/>
        <v>5.6999999999999993</v>
      </c>
      <c r="AF112" t="s">
        <v>927</v>
      </c>
    </row>
    <row r="113" spans="1:32" x14ac:dyDescent="0.25">
      <c r="A113">
        <v>112</v>
      </c>
      <c r="B113" t="s">
        <v>2175</v>
      </c>
      <c r="C113">
        <v>37</v>
      </c>
      <c r="D113" t="s">
        <v>102</v>
      </c>
      <c r="E113" t="s">
        <v>56</v>
      </c>
      <c r="F113">
        <v>5</v>
      </c>
      <c r="G113">
        <v>5</v>
      </c>
      <c r="H113">
        <v>24</v>
      </c>
      <c r="I113">
        <v>2</v>
      </c>
      <c r="J113">
        <v>5.6</v>
      </c>
      <c r="K113">
        <v>0.35699999999999998</v>
      </c>
      <c r="L113">
        <v>1</v>
      </c>
      <c r="M113">
        <v>3.4</v>
      </c>
      <c r="N113">
        <v>0.29399999999999998</v>
      </c>
      <c r="O113">
        <v>1</v>
      </c>
      <c r="P113">
        <v>2.2000000000000002</v>
      </c>
      <c r="Q113">
        <v>0.45500000000000002</v>
      </c>
      <c r="R113">
        <v>0.44600000000000001</v>
      </c>
      <c r="S113">
        <v>0.6</v>
      </c>
      <c r="T113">
        <v>0.6</v>
      </c>
      <c r="U113">
        <v>1</v>
      </c>
      <c r="V113">
        <v>1</v>
      </c>
      <c r="W113">
        <v>2.4</v>
      </c>
      <c r="X113">
        <v>3.4</v>
      </c>
      <c r="Y113">
        <v>2.6</v>
      </c>
      <c r="Z113">
        <v>0.8</v>
      </c>
      <c r="AA113">
        <v>0.2</v>
      </c>
      <c r="AB113">
        <v>0.6</v>
      </c>
      <c r="AC113">
        <v>0.8</v>
      </c>
      <c r="AD113">
        <v>5.6</v>
      </c>
      <c r="AE113">
        <f t="shared" si="1"/>
        <v>5.6</v>
      </c>
      <c r="AF113" t="s">
        <v>927</v>
      </c>
    </row>
    <row r="114" spans="1:32" x14ac:dyDescent="0.25">
      <c r="A114">
        <v>113</v>
      </c>
      <c r="B114" t="s">
        <v>485</v>
      </c>
      <c r="C114">
        <v>28</v>
      </c>
      <c r="D114" t="s">
        <v>85</v>
      </c>
      <c r="E114" t="s">
        <v>63</v>
      </c>
      <c r="F114">
        <v>5</v>
      </c>
      <c r="G114">
        <v>3</v>
      </c>
      <c r="H114">
        <v>20</v>
      </c>
      <c r="I114">
        <v>1.8</v>
      </c>
      <c r="J114">
        <v>4.5999999999999996</v>
      </c>
      <c r="K114">
        <v>0.39100000000000001</v>
      </c>
      <c r="L114">
        <v>1.8</v>
      </c>
      <c r="M114">
        <v>4.5999999999999996</v>
      </c>
      <c r="N114">
        <v>0.39100000000000001</v>
      </c>
      <c r="O114">
        <v>0</v>
      </c>
      <c r="P114">
        <v>0</v>
      </c>
      <c r="R114">
        <v>0.58699999999999997</v>
      </c>
      <c r="S114">
        <v>0</v>
      </c>
      <c r="T114">
        <v>0</v>
      </c>
      <c r="V114">
        <v>0.8</v>
      </c>
      <c r="W114">
        <v>1.6</v>
      </c>
      <c r="X114">
        <v>2.4</v>
      </c>
      <c r="Y114">
        <v>2.2000000000000002</v>
      </c>
      <c r="Z114">
        <v>0.4</v>
      </c>
      <c r="AA114">
        <v>0.4</v>
      </c>
      <c r="AB114">
        <v>0.4</v>
      </c>
      <c r="AC114">
        <v>1.6</v>
      </c>
      <c r="AD114">
        <v>5.4</v>
      </c>
      <c r="AE114">
        <f t="shared" si="1"/>
        <v>5.4</v>
      </c>
      <c r="AF114" t="s">
        <v>927</v>
      </c>
    </row>
    <row r="115" spans="1:32" x14ac:dyDescent="0.25">
      <c r="A115">
        <v>114</v>
      </c>
      <c r="B115" t="s">
        <v>2739</v>
      </c>
      <c r="C115">
        <v>25</v>
      </c>
      <c r="D115" t="s">
        <v>79</v>
      </c>
      <c r="E115" t="s">
        <v>93</v>
      </c>
      <c r="F115">
        <v>3</v>
      </c>
      <c r="G115">
        <v>0</v>
      </c>
      <c r="H115">
        <v>5</v>
      </c>
      <c r="I115">
        <v>2.2999999999999998</v>
      </c>
      <c r="J115">
        <v>2.7</v>
      </c>
      <c r="K115">
        <v>0.875</v>
      </c>
      <c r="L115">
        <v>0.3</v>
      </c>
      <c r="M115">
        <v>0.3</v>
      </c>
      <c r="N115">
        <v>1</v>
      </c>
      <c r="O115">
        <v>2</v>
      </c>
      <c r="P115">
        <v>2.2999999999999998</v>
      </c>
      <c r="Q115">
        <v>0.85699999999999998</v>
      </c>
      <c r="R115">
        <v>0.93799999999999994</v>
      </c>
      <c r="S115">
        <v>0.3</v>
      </c>
      <c r="T115">
        <v>0.3</v>
      </c>
      <c r="U115">
        <v>1</v>
      </c>
      <c r="V115">
        <v>0</v>
      </c>
      <c r="W115">
        <v>0.3</v>
      </c>
      <c r="X115">
        <v>0.3</v>
      </c>
      <c r="Y115">
        <v>1.3</v>
      </c>
      <c r="Z115">
        <v>0</v>
      </c>
      <c r="AA115">
        <v>0</v>
      </c>
      <c r="AB115">
        <v>0</v>
      </c>
      <c r="AC115">
        <v>0</v>
      </c>
      <c r="AD115">
        <v>5.3</v>
      </c>
      <c r="AE115">
        <f t="shared" si="1"/>
        <v>5.1999999999999993</v>
      </c>
      <c r="AF115" t="s">
        <v>927</v>
      </c>
    </row>
    <row r="116" spans="1:32" x14ac:dyDescent="0.25">
      <c r="A116">
        <v>115</v>
      </c>
      <c r="B116" t="s">
        <v>2636</v>
      </c>
      <c r="C116">
        <v>25</v>
      </c>
      <c r="D116" t="s">
        <v>1223</v>
      </c>
      <c r="E116" t="s">
        <v>47</v>
      </c>
      <c r="F116">
        <v>3</v>
      </c>
      <c r="G116">
        <v>0</v>
      </c>
      <c r="H116">
        <v>8</v>
      </c>
      <c r="I116">
        <v>2</v>
      </c>
      <c r="J116">
        <v>5.3</v>
      </c>
      <c r="K116">
        <v>0.375</v>
      </c>
      <c r="L116">
        <v>0.3</v>
      </c>
      <c r="M116">
        <v>1.7</v>
      </c>
      <c r="N116">
        <v>0.2</v>
      </c>
      <c r="O116">
        <v>1.7</v>
      </c>
      <c r="P116">
        <v>3.7</v>
      </c>
      <c r="Q116">
        <v>0.45500000000000002</v>
      </c>
      <c r="R116">
        <v>0.40600000000000003</v>
      </c>
      <c r="S116">
        <v>1</v>
      </c>
      <c r="T116">
        <v>1</v>
      </c>
      <c r="U116">
        <v>1</v>
      </c>
      <c r="V116">
        <v>0.7</v>
      </c>
      <c r="W116">
        <v>1</v>
      </c>
      <c r="X116">
        <v>1.7</v>
      </c>
      <c r="Y116">
        <v>1</v>
      </c>
      <c r="Z116">
        <v>0</v>
      </c>
      <c r="AA116">
        <v>0.3</v>
      </c>
      <c r="AB116">
        <v>0.3</v>
      </c>
      <c r="AC116">
        <v>0</v>
      </c>
      <c r="AD116">
        <v>5.3</v>
      </c>
      <c r="AE116">
        <f t="shared" si="1"/>
        <v>5.3</v>
      </c>
      <c r="AF116" t="s">
        <v>927</v>
      </c>
    </row>
    <row r="117" spans="1:32" x14ac:dyDescent="0.25">
      <c r="A117">
        <v>116</v>
      </c>
      <c r="B117" t="s">
        <v>2181</v>
      </c>
      <c r="C117">
        <v>24</v>
      </c>
      <c r="D117" t="s">
        <v>1223</v>
      </c>
      <c r="E117" t="s">
        <v>93</v>
      </c>
      <c r="F117">
        <v>7</v>
      </c>
      <c r="G117">
        <v>1</v>
      </c>
      <c r="H117">
        <v>17</v>
      </c>
      <c r="I117">
        <v>1.9</v>
      </c>
      <c r="J117">
        <v>5.7</v>
      </c>
      <c r="K117">
        <v>0.32500000000000001</v>
      </c>
      <c r="L117">
        <v>1.1000000000000001</v>
      </c>
      <c r="M117">
        <v>3.7</v>
      </c>
      <c r="N117">
        <v>0.308</v>
      </c>
      <c r="O117">
        <v>0.7</v>
      </c>
      <c r="P117">
        <v>2</v>
      </c>
      <c r="Q117">
        <v>0.35699999999999998</v>
      </c>
      <c r="R117">
        <v>0.42499999999999999</v>
      </c>
      <c r="S117">
        <v>0.4</v>
      </c>
      <c r="T117">
        <v>0.6</v>
      </c>
      <c r="U117">
        <v>0.75</v>
      </c>
      <c r="V117">
        <v>0.7</v>
      </c>
      <c r="W117">
        <v>2.4</v>
      </c>
      <c r="X117">
        <v>3.1</v>
      </c>
      <c r="Y117">
        <v>1.6</v>
      </c>
      <c r="Z117">
        <v>0.4</v>
      </c>
      <c r="AA117">
        <v>0.4</v>
      </c>
      <c r="AB117">
        <v>0.6</v>
      </c>
      <c r="AC117">
        <v>2.4</v>
      </c>
      <c r="AD117">
        <v>5.3</v>
      </c>
      <c r="AE117">
        <f t="shared" si="1"/>
        <v>5.3000000000000007</v>
      </c>
      <c r="AF117" t="s">
        <v>927</v>
      </c>
    </row>
    <row r="118" spans="1:32" x14ac:dyDescent="0.25">
      <c r="A118">
        <v>117</v>
      </c>
      <c r="B118" t="s">
        <v>166</v>
      </c>
      <c r="C118">
        <v>31</v>
      </c>
      <c r="D118" t="s">
        <v>142</v>
      </c>
      <c r="E118" t="s">
        <v>63</v>
      </c>
      <c r="F118">
        <v>5</v>
      </c>
      <c r="G118">
        <v>5</v>
      </c>
      <c r="H118">
        <v>32.6</v>
      </c>
      <c r="I118">
        <v>1.6</v>
      </c>
      <c r="J118">
        <v>6</v>
      </c>
      <c r="K118">
        <v>0.26700000000000002</v>
      </c>
      <c r="L118">
        <v>1.2</v>
      </c>
      <c r="M118">
        <v>4.5999999999999996</v>
      </c>
      <c r="N118">
        <v>0.26100000000000001</v>
      </c>
      <c r="O118">
        <v>0.4</v>
      </c>
      <c r="P118">
        <v>1.4</v>
      </c>
      <c r="Q118">
        <v>0.28599999999999998</v>
      </c>
      <c r="R118">
        <v>0.36699999999999999</v>
      </c>
      <c r="S118">
        <v>0.6</v>
      </c>
      <c r="T118">
        <v>0.8</v>
      </c>
      <c r="U118">
        <v>0.75</v>
      </c>
      <c r="V118">
        <v>0.2</v>
      </c>
      <c r="W118">
        <v>2.8</v>
      </c>
      <c r="X118">
        <v>3</v>
      </c>
      <c r="Y118">
        <v>1.8</v>
      </c>
      <c r="Z118">
        <v>1.4</v>
      </c>
      <c r="AA118">
        <v>0.6</v>
      </c>
      <c r="AB118">
        <v>0.4</v>
      </c>
      <c r="AC118">
        <v>2.2000000000000002</v>
      </c>
      <c r="AD118">
        <v>5</v>
      </c>
      <c r="AE118">
        <f t="shared" si="1"/>
        <v>5</v>
      </c>
      <c r="AF118" t="s">
        <v>927</v>
      </c>
    </row>
    <row r="119" spans="1:32" x14ac:dyDescent="0.25">
      <c r="A119">
        <v>118</v>
      </c>
      <c r="B119" t="s">
        <v>336</v>
      </c>
      <c r="C119">
        <v>33</v>
      </c>
      <c r="D119" t="s">
        <v>142</v>
      </c>
      <c r="E119" t="s">
        <v>56</v>
      </c>
      <c r="F119">
        <v>5</v>
      </c>
      <c r="G119">
        <v>5</v>
      </c>
      <c r="H119">
        <v>24.8</v>
      </c>
      <c r="I119">
        <v>2</v>
      </c>
      <c r="J119">
        <v>4.8</v>
      </c>
      <c r="K119">
        <v>0.41699999999999998</v>
      </c>
      <c r="L119">
        <v>1</v>
      </c>
      <c r="M119">
        <v>3.2</v>
      </c>
      <c r="N119">
        <v>0.313</v>
      </c>
      <c r="O119">
        <v>1</v>
      </c>
      <c r="P119">
        <v>1.6</v>
      </c>
      <c r="Q119">
        <v>0.625</v>
      </c>
      <c r="R119">
        <v>0.52100000000000002</v>
      </c>
      <c r="S119">
        <v>0</v>
      </c>
      <c r="T119">
        <v>0</v>
      </c>
      <c r="V119">
        <v>0.2</v>
      </c>
      <c r="W119">
        <v>1.6</v>
      </c>
      <c r="X119">
        <v>1.8</v>
      </c>
      <c r="Y119">
        <v>3</v>
      </c>
      <c r="Z119">
        <v>1</v>
      </c>
      <c r="AA119">
        <v>0.4</v>
      </c>
      <c r="AB119">
        <v>0.4</v>
      </c>
      <c r="AC119">
        <v>2</v>
      </c>
      <c r="AD119">
        <v>5</v>
      </c>
      <c r="AE119">
        <f t="shared" si="1"/>
        <v>5</v>
      </c>
      <c r="AF119" t="s">
        <v>927</v>
      </c>
    </row>
    <row r="120" spans="1:32" x14ac:dyDescent="0.25">
      <c r="A120">
        <v>119</v>
      </c>
      <c r="B120" t="s">
        <v>2491</v>
      </c>
      <c r="C120">
        <v>23</v>
      </c>
      <c r="D120" t="s">
        <v>133</v>
      </c>
      <c r="E120" t="s">
        <v>63</v>
      </c>
      <c r="F120">
        <v>4</v>
      </c>
      <c r="G120">
        <v>0</v>
      </c>
      <c r="H120">
        <v>13</v>
      </c>
      <c r="I120">
        <v>2</v>
      </c>
      <c r="J120">
        <v>3.8</v>
      </c>
      <c r="K120">
        <v>0.53300000000000003</v>
      </c>
      <c r="L120">
        <v>0.8</v>
      </c>
      <c r="M120">
        <v>2</v>
      </c>
      <c r="N120">
        <v>0.375</v>
      </c>
      <c r="O120">
        <v>1.3</v>
      </c>
      <c r="P120">
        <v>1.8</v>
      </c>
      <c r="Q120">
        <v>0.71399999999999997</v>
      </c>
      <c r="R120">
        <v>0.63300000000000001</v>
      </c>
      <c r="S120">
        <v>0.3</v>
      </c>
      <c r="T120">
        <v>0.8</v>
      </c>
      <c r="U120">
        <v>0.33300000000000002</v>
      </c>
      <c r="V120">
        <v>0.5</v>
      </c>
      <c r="W120">
        <v>1.8</v>
      </c>
      <c r="X120">
        <v>2.2999999999999998</v>
      </c>
      <c r="Y120">
        <v>1</v>
      </c>
      <c r="Z120">
        <v>0.3</v>
      </c>
      <c r="AA120">
        <v>0</v>
      </c>
      <c r="AB120">
        <v>0.5</v>
      </c>
      <c r="AC120">
        <v>1.5</v>
      </c>
      <c r="AD120">
        <v>5</v>
      </c>
      <c r="AE120">
        <f t="shared" si="1"/>
        <v>5.1000000000000005</v>
      </c>
      <c r="AF120" t="s">
        <v>927</v>
      </c>
    </row>
    <row r="121" spans="1:32" x14ac:dyDescent="0.25">
      <c r="A121">
        <v>120</v>
      </c>
      <c r="B121" t="s">
        <v>263</v>
      </c>
      <c r="C121">
        <v>36</v>
      </c>
      <c r="D121" t="s">
        <v>105</v>
      </c>
      <c r="E121" t="s">
        <v>72</v>
      </c>
      <c r="F121">
        <v>5</v>
      </c>
      <c r="G121">
        <v>4</v>
      </c>
      <c r="H121">
        <v>14.8</v>
      </c>
      <c r="I121">
        <v>1.6</v>
      </c>
      <c r="J121">
        <v>4.4000000000000004</v>
      </c>
      <c r="K121">
        <v>0.36399999999999999</v>
      </c>
      <c r="L121">
        <v>0.8</v>
      </c>
      <c r="M121">
        <v>3</v>
      </c>
      <c r="N121">
        <v>0.26700000000000002</v>
      </c>
      <c r="O121">
        <v>0.8</v>
      </c>
      <c r="P121">
        <v>1.4</v>
      </c>
      <c r="Q121">
        <v>0.57099999999999995</v>
      </c>
      <c r="R121">
        <v>0.45500000000000002</v>
      </c>
      <c r="S121">
        <v>1</v>
      </c>
      <c r="T121">
        <v>1</v>
      </c>
      <c r="U121">
        <v>1</v>
      </c>
      <c r="V121">
        <v>0.6</v>
      </c>
      <c r="W121">
        <v>1</v>
      </c>
      <c r="X121">
        <v>1.6</v>
      </c>
      <c r="Y121">
        <v>0.8</v>
      </c>
      <c r="Z121">
        <v>0.2</v>
      </c>
      <c r="AA121">
        <v>1</v>
      </c>
      <c r="AB121">
        <v>0.8</v>
      </c>
      <c r="AC121">
        <v>2.2000000000000002</v>
      </c>
      <c r="AD121">
        <v>5</v>
      </c>
      <c r="AE121">
        <f t="shared" si="1"/>
        <v>5</v>
      </c>
      <c r="AF121" t="s">
        <v>927</v>
      </c>
    </row>
    <row r="122" spans="1:32" x14ac:dyDescent="0.25">
      <c r="A122">
        <v>121</v>
      </c>
      <c r="B122" t="s">
        <v>372</v>
      </c>
      <c r="C122">
        <v>20</v>
      </c>
      <c r="D122" t="s">
        <v>133</v>
      </c>
      <c r="E122" t="s">
        <v>72</v>
      </c>
      <c r="F122">
        <v>4</v>
      </c>
      <c r="G122">
        <v>4</v>
      </c>
      <c r="H122">
        <v>18.3</v>
      </c>
      <c r="I122">
        <v>2</v>
      </c>
      <c r="J122">
        <v>4.5</v>
      </c>
      <c r="K122">
        <v>0.44400000000000001</v>
      </c>
      <c r="L122">
        <v>0.8</v>
      </c>
      <c r="M122">
        <v>2.8</v>
      </c>
      <c r="N122">
        <v>0.27300000000000002</v>
      </c>
      <c r="O122">
        <v>1.3</v>
      </c>
      <c r="P122">
        <v>1.8</v>
      </c>
      <c r="Q122">
        <v>0.71399999999999997</v>
      </c>
      <c r="R122">
        <v>0.52800000000000002</v>
      </c>
      <c r="S122">
        <v>0</v>
      </c>
      <c r="T122">
        <v>0</v>
      </c>
      <c r="V122">
        <v>1</v>
      </c>
      <c r="W122">
        <v>3.8</v>
      </c>
      <c r="X122">
        <v>4.8</v>
      </c>
      <c r="Y122">
        <v>1</v>
      </c>
      <c r="Z122">
        <v>0.3</v>
      </c>
      <c r="AA122">
        <v>0.5</v>
      </c>
      <c r="AB122">
        <v>0.5</v>
      </c>
      <c r="AC122">
        <v>0.8</v>
      </c>
      <c r="AD122">
        <v>4.8</v>
      </c>
      <c r="AE122">
        <f t="shared" si="1"/>
        <v>4.8000000000000007</v>
      </c>
      <c r="AF122" t="s">
        <v>927</v>
      </c>
    </row>
    <row r="123" spans="1:32" x14ac:dyDescent="0.25">
      <c r="A123">
        <v>122</v>
      </c>
      <c r="B123" t="s">
        <v>277</v>
      </c>
      <c r="C123">
        <v>24</v>
      </c>
      <c r="D123" t="s">
        <v>156</v>
      </c>
      <c r="E123" t="s">
        <v>63</v>
      </c>
      <c r="F123">
        <v>3</v>
      </c>
      <c r="G123">
        <v>0</v>
      </c>
      <c r="H123">
        <v>12.7</v>
      </c>
      <c r="I123">
        <v>1.3</v>
      </c>
      <c r="J123">
        <v>2.2999999999999998</v>
      </c>
      <c r="K123">
        <v>0.57099999999999995</v>
      </c>
      <c r="L123">
        <v>1.3</v>
      </c>
      <c r="M123">
        <v>2.2999999999999998</v>
      </c>
      <c r="N123">
        <v>0.57099999999999995</v>
      </c>
      <c r="O123">
        <v>0</v>
      </c>
      <c r="P123">
        <v>0</v>
      </c>
      <c r="R123">
        <v>0.85699999999999998</v>
      </c>
      <c r="S123">
        <v>0.7</v>
      </c>
      <c r="T123">
        <v>0.7</v>
      </c>
      <c r="U123">
        <v>1</v>
      </c>
      <c r="V123">
        <v>0.3</v>
      </c>
      <c r="W123">
        <v>2</v>
      </c>
      <c r="X123">
        <v>2.2999999999999998</v>
      </c>
      <c r="Y123">
        <v>1.3</v>
      </c>
      <c r="Z123">
        <v>0.7</v>
      </c>
      <c r="AA123">
        <v>0.3</v>
      </c>
      <c r="AB123">
        <v>1</v>
      </c>
      <c r="AC123">
        <v>1</v>
      </c>
      <c r="AD123">
        <v>4.7</v>
      </c>
      <c r="AE123">
        <f t="shared" si="1"/>
        <v>4.6000000000000005</v>
      </c>
      <c r="AF123" t="s">
        <v>927</v>
      </c>
    </row>
    <row r="124" spans="1:32" x14ac:dyDescent="0.25">
      <c r="A124">
        <v>123</v>
      </c>
      <c r="B124" t="s">
        <v>2100</v>
      </c>
      <c r="C124">
        <v>28</v>
      </c>
      <c r="D124" t="s">
        <v>156</v>
      </c>
      <c r="E124" t="s">
        <v>63</v>
      </c>
      <c r="F124">
        <v>4</v>
      </c>
      <c r="G124">
        <v>0</v>
      </c>
      <c r="H124">
        <v>20</v>
      </c>
      <c r="I124">
        <v>2</v>
      </c>
      <c r="J124">
        <v>4.5</v>
      </c>
      <c r="K124">
        <v>0.44400000000000001</v>
      </c>
      <c r="L124">
        <v>0.5</v>
      </c>
      <c r="M124">
        <v>2.2999999999999998</v>
      </c>
      <c r="N124">
        <v>0.222</v>
      </c>
      <c r="O124">
        <v>1.5</v>
      </c>
      <c r="P124">
        <v>2.2999999999999998</v>
      </c>
      <c r="Q124">
        <v>0.66700000000000004</v>
      </c>
      <c r="R124">
        <v>0.5</v>
      </c>
      <c r="S124">
        <v>0</v>
      </c>
      <c r="T124">
        <v>0</v>
      </c>
      <c r="V124">
        <v>0.5</v>
      </c>
      <c r="W124">
        <v>3</v>
      </c>
      <c r="X124">
        <v>3.5</v>
      </c>
      <c r="Y124">
        <v>2</v>
      </c>
      <c r="Z124">
        <v>1</v>
      </c>
      <c r="AA124">
        <v>0.3</v>
      </c>
      <c r="AB124">
        <v>1.5</v>
      </c>
      <c r="AC124">
        <v>0.8</v>
      </c>
      <c r="AD124">
        <v>4.5</v>
      </c>
      <c r="AE124">
        <f t="shared" si="1"/>
        <v>4.5</v>
      </c>
      <c r="AF124" t="s">
        <v>927</v>
      </c>
    </row>
    <row r="125" spans="1:32" x14ac:dyDescent="0.25">
      <c r="A125">
        <v>124</v>
      </c>
      <c r="B125" t="s">
        <v>371</v>
      </c>
      <c r="C125">
        <v>22</v>
      </c>
      <c r="D125" t="s">
        <v>148</v>
      </c>
      <c r="E125" t="s">
        <v>47</v>
      </c>
      <c r="F125">
        <v>7</v>
      </c>
      <c r="G125">
        <v>0</v>
      </c>
      <c r="H125">
        <v>13.6</v>
      </c>
      <c r="I125">
        <v>1.9</v>
      </c>
      <c r="J125">
        <v>3.4</v>
      </c>
      <c r="K125">
        <v>0.54200000000000004</v>
      </c>
      <c r="L125">
        <v>0.3</v>
      </c>
      <c r="M125">
        <v>0.6</v>
      </c>
      <c r="N125">
        <v>0.5</v>
      </c>
      <c r="O125">
        <v>1.6</v>
      </c>
      <c r="P125">
        <v>2.9</v>
      </c>
      <c r="Q125">
        <v>0.55000000000000004</v>
      </c>
      <c r="R125">
        <v>0.58299999999999996</v>
      </c>
      <c r="S125">
        <v>0.4</v>
      </c>
      <c r="T125">
        <v>0.6</v>
      </c>
      <c r="U125">
        <v>0.75</v>
      </c>
      <c r="V125">
        <v>0.7</v>
      </c>
      <c r="W125">
        <v>1.9</v>
      </c>
      <c r="X125">
        <v>2.6</v>
      </c>
      <c r="Y125">
        <v>0.3</v>
      </c>
      <c r="Z125">
        <v>0.7</v>
      </c>
      <c r="AA125">
        <v>0.4</v>
      </c>
      <c r="AB125">
        <v>0.4</v>
      </c>
      <c r="AC125">
        <v>1.1000000000000001</v>
      </c>
      <c r="AD125">
        <v>4.4000000000000004</v>
      </c>
      <c r="AE125">
        <f t="shared" si="1"/>
        <v>4.5</v>
      </c>
      <c r="AF125" t="s">
        <v>927</v>
      </c>
    </row>
    <row r="126" spans="1:32" x14ac:dyDescent="0.25">
      <c r="A126">
        <v>125</v>
      </c>
      <c r="B126" t="s">
        <v>486</v>
      </c>
      <c r="C126">
        <v>31</v>
      </c>
      <c r="D126" t="s">
        <v>85</v>
      </c>
      <c r="E126" t="s">
        <v>63</v>
      </c>
      <c r="F126">
        <v>3</v>
      </c>
      <c r="G126">
        <v>0</v>
      </c>
      <c r="H126">
        <v>6.3</v>
      </c>
      <c r="I126">
        <v>1.3</v>
      </c>
      <c r="J126">
        <v>2.2999999999999998</v>
      </c>
      <c r="K126">
        <v>0.57099999999999995</v>
      </c>
      <c r="L126">
        <v>0.3</v>
      </c>
      <c r="M126">
        <v>1.3</v>
      </c>
      <c r="N126">
        <v>0.25</v>
      </c>
      <c r="O126">
        <v>1</v>
      </c>
      <c r="P126">
        <v>1</v>
      </c>
      <c r="Q126">
        <v>1</v>
      </c>
      <c r="R126">
        <v>0.64300000000000002</v>
      </c>
      <c r="S126">
        <v>1.3</v>
      </c>
      <c r="T126">
        <v>1.3</v>
      </c>
      <c r="U126">
        <v>1</v>
      </c>
      <c r="V126">
        <v>0.3</v>
      </c>
      <c r="W126">
        <v>1.3</v>
      </c>
      <c r="X126">
        <v>1.7</v>
      </c>
      <c r="Y126">
        <v>0.3</v>
      </c>
      <c r="Z126">
        <v>1</v>
      </c>
      <c r="AA126">
        <v>0</v>
      </c>
      <c r="AB126">
        <v>0.3</v>
      </c>
      <c r="AC126">
        <v>0.3</v>
      </c>
      <c r="AD126">
        <v>4.3</v>
      </c>
      <c r="AE126">
        <f t="shared" si="1"/>
        <v>4.2</v>
      </c>
      <c r="AF126" t="s">
        <v>927</v>
      </c>
    </row>
    <row r="127" spans="1:32" x14ac:dyDescent="0.25">
      <c r="A127">
        <v>126</v>
      </c>
      <c r="B127" t="s">
        <v>225</v>
      </c>
      <c r="C127">
        <v>30</v>
      </c>
      <c r="D127" t="s">
        <v>133</v>
      </c>
      <c r="E127" t="s">
        <v>47</v>
      </c>
      <c r="F127">
        <v>4</v>
      </c>
      <c r="G127">
        <v>0</v>
      </c>
      <c r="H127">
        <v>14.8</v>
      </c>
      <c r="I127">
        <v>1.3</v>
      </c>
      <c r="J127">
        <v>3.5</v>
      </c>
      <c r="K127">
        <v>0.35699999999999998</v>
      </c>
      <c r="L127">
        <v>1</v>
      </c>
      <c r="M127">
        <v>3</v>
      </c>
      <c r="N127">
        <v>0.33300000000000002</v>
      </c>
      <c r="O127">
        <v>0.3</v>
      </c>
      <c r="P127">
        <v>0.5</v>
      </c>
      <c r="Q127">
        <v>0.5</v>
      </c>
      <c r="R127">
        <v>0.5</v>
      </c>
      <c r="S127">
        <v>0.8</v>
      </c>
      <c r="T127">
        <v>1</v>
      </c>
      <c r="U127">
        <v>0.75</v>
      </c>
      <c r="V127">
        <v>0</v>
      </c>
      <c r="W127">
        <v>1</v>
      </c>
      <c r="X127">
        <v>1</v>
      </c>
      <c r="Y127">
        <v>0.3</v>
      </c>
      <c r="Z127">
        <v>0</v>
      </c>
      <c r="AA127">
        <v>0</v>
      </c>
      <c r="AB127">
        <v>1.5</v>
      </c>
      <c r="AC127">
        <v>1.5</v>
      </c>
      <c r="AD127">
        <v>4.3</v>
      </c>
      <c r="AE127">
        <f t="shared" si="1"/>
        <v>4.4000000000000004</v>
      </c>
      <c r="AF127" t="s">
        <v>927</v>
      </c>
    </row>
    <row r="128" spans="1:32" x14ac:dyDescent="0.25">
      <c r="A128">
        <v>127</v>
      </c>
      <c r="B128" t="s">
        <v>481</v>
      </c>
      <c r="C128">
        <v>22</v>
      </c>
      <c r="D128" t="s">
        <v>85</v>
      </c>
      <c r="E128" t="s">
        <v>63</v>
      </c>
      <c r="F128">
        <v>3</v>
      </c>
      <c r="G128">
        <v>0</v>
      </c>
      <c r="H128">
        <v>6.3</v>
      </c>
      <c r="I128">
        <v>1.7</v>
      </c>
      <c r="J128">
        <v>3</v>
      </c>
      <c r="K128">
        <v>0.55600000000000005</v>
      </c>
      <c r="L128">
        <v>1</v>
      </c>
      <c r="M128">
        <v>2</v>
      </c>
      <c r="N128">
        <v>0.5</v>
      </c>
      <c r="O128">
        <v>0.7</v>
      </c>
      <c r="P128">
        <v>1</v>
      </c>
      <c r="Q128">
        <v>0.66700000000000004</v>
      </c>
      <c r="R128">
        <v>0.72199999999999998</v>
      </c>
      <c r="S128">
        <v>0</v>
      </c>
      <c r="T128">
        <v>0</v>
      </c>
      <c r="V128">
        <v>0.3</v>
      </c>
      <c r="W128">
        <v>1.3</v>
      </c>
      <c r="X128">
        <v>1.7</v>
      </c>
      <c r="Y128">
        <v>1.3</v>
      </c>
      <c r="Z128">
        <v>0.3</v>
      </c>
      <c r="AA128">
        <v>0.3</v>
      </c>
      <c r="AB128">
        <v>0</v>
      </c>
      <c r="AC128">
        <v>0.7</v>
      </c>
      <c r="AD128">
        <v>4.3</v>
      </c>
      <c r="AE128">
        <f t="shared" si="1"/>
        <v>4.4000000000000004</v>
      </c>
      <c r="AF128" t="s">
        <v>927</v>
      </c>
    </row>
    <row r="129" spans="1:32" x14ac:dyDescent="0.25">
      <c r="A129">
        <v>128</v>
      </c>
      <c r="B129" t="s">
        <v>2422</v>
      </c>
      <c r="C129">
        <v>28</v>
      </c>
      <c r="D129" t="s">
        <v>65</v>
      </c>
      <c r="E129" t="s">
        <v>56</v>
      </c>
      <c r="F129">
        <v>3</v>
      </c>
      <c r="G129">
        <v>0</v>
      </c>
      <c r="H129">
        <v>9</v>
      </c>
      <c r="I129">
        <v>1.3</v>
      </c>
      <c r="J129">
        <v>3.3</v>
      </c>
      <c r="K129">
        <v>0.4</v>
      </c>
      <c r="L129">
        <v>0.7</v>
      </c>
      <c r="M129">
        <v>1.7</v>
      </c>
      <c r="N129">
        <v>0.4</v>
      </c>
      <c r="O129">
        <v>0.7</v>
      </c>
      <c r="P129">
        <v>1.7</v>
      </c>
      <c r="Q129">
        <v>0.4</v>
      </c>
      <c r="R129">
        <v>0.5</v>
      </c>
      <c r="S129">
        <v>0.7</v>
      </c>
      <c r="T129">
        <v>1.3</v>
      </c>
      <c r="U129">
        <v>0.5</v>
      </c>
      <c r="V129">
        <v>0.3</v>
      </c>
      <c r="W129">
        <v>0.3</v>
      </c>
      <c r="X129">
        <v>0.7</v>
      </c>
      <c r="Y129">
        <v>1</v>
      </c>
      <c r="Z129">
        <v>0</v>
      </c>
      <c r="AA129">
        <v>0</v>
      </c>
      <c r="AB129">
        <v>0.3</v>
      </c>
      <c r="AC129">
        <v>1</v>
      </c>
      <c r="AD129">
        <v>4</v>
      </c>
      <c r="AE129">
        <f t="shared" si="1"/>
        <v>4</v>
      </c>
      <c r="AF129" t="s">
        <v>927</v>
      </c>
    </row>
    <row r="130" spans="1:32" x14ac:dyDescent="0.25">
      <c r="A130">
        <v>129</v>
      </c>
      <c r="B130" t="s">
        <v>2279</v>
      </c>
      <c r="C130">
        <v>26</v>
      </c>
      <c r="D130" t="s">
        <v>156</v>
      </c>
      <c r="E130" t="s">
        <v>72</v>
      </c>
      <c r="F130">
        <v>2</v>
      </c>
      <c r="G130">
        <v>0</v>
      </c>
      <c r="H130">
        <v>9</v>
      </c>
      <c r="I130">
        <v>1</v>
      </c>
      <c r="J130">
        <v>2</v>
      </c>
      <c r="K130">
        <v>0.5</v>
      </c>
      <c r="L130">
        <v>0</v>
      </c>
      <c r="M130">
        <v>0.5</v>
      </c>
      <c r="N130">
        <v>0</v>
      </c>
      <c r="O130">
        <v>1</v>
      </c>
      <c r="P130">
        <v>1.5</v>
      </c>
      <c r="Q130">
        <v>0.66700000000000004</v>
      </c>
      <c r="R130">
        <v>0.5</v>
      </c>
      <c r="S130">
        <v>2</v>
      </c>
      <c r="T130">
        <v>2</v>
      </c>
      <c r="U130">
        <v>1</v>
      </c>
      <c r="V130">
        <v>0.5</v>
      </c>
      <c r="W130">
        <v>1</v>
      </c>
      <c r="X130">
        <v>1.5</v>
      </c>
      <c r="Y130">
        <v>0.5</v>
      </c>
      <c r="Z130">
        <v>0</v>
      </c>
      <c r="AA130">
        <v>1.5</v>
      </c>
      <c r="AB130">
        <v>0.5</v>
      </c>
      <c r="AC130">
        <v>0.5</v>
      </c>
      <c r="AD130">
        <v>4</v>
      </c>
      <c r="AE130">
        <f t="shared" ref="AE130:AE193" si="2">(L130 * 3) + ((I130 - L130) * 2) + S130</f>
        <v>4</v>
      </c>
      <c r="AF130" t="s">
        <v>927</v>
      </c>
    </row>
    <row r="131" spans="1:32" x14ac:dyDescent="0.25">
      <c r="A131">
        <v>130</v>
      </c>
      <c r="B131" t="s">
        <v>484</v>
      </c>
      <c r="C131">
        <v>24</v>
      </c>
      <c r="D131" t="s">
        <v>85</v>
      </c>
      <c r="E131" t="s">
        <v>63</v>
      </c>
      <c r="F131">
        <v>5</v>
      </c>
      <c r="G131">
        <v>0</v>
      </c>
      <c r="H131">
        <v>11.8</v>
      </c>
      <c r="I131">
        <v>1.6</v>
      </c>
      <c r="J131">
        <v>3.8</v>
      </c>
      <c r="K131">
        <v>0.42099999999999999</v>
      </c>
      <c r="L131">
        <v>0.8</v>
      </c>
      <c r="M131">
        <v>2.6</v>
      </c>
      <c r="N131">
        <v>0.308</v>
      </c>
      <c r="O131">
        <v>0.8</v>
      </c>
      <c r="P131">
        <v>1.2</v>
      </c>
      <c r="Q131">
        <v>0.66700000000000004</v>
      </c>
      <c r="R131">
        <v>0.52600000000000002</v>
      </c>
      <c r="S131">
        <v>0</v>
      </c>
      <c r="T131">
        <v>0</v>
      </c>
      <c r="V131">
        <v>0.8</v>
      </c>
      <c r="W131">
        <v>0.6</v>
      </c>
      <c r="X131">
        <v>1.4</v>
      </c>
      <c r="Y131">
        <v>0.8</v>
      </c>
      <c r="Z131">
        <v>0.2</v>
      </c>
      <c r="AA131">
        <v>0.2</v>
      </c>
      <c r="AB131">
        <v>0.2</v>
      </c>
      <c r="AC131">
        <v>1.4</v>
      </c>
      <c r="AD131">
        <v>4</v>
      </c>
      <c r="AE131">
        <f t="shared" si="2"/>
        <v>4</v>
      </c>
      <c r="AF131" t="s">
        <v>927</v>
      </c>
    </row>
    <row r="132" spans="1:32" x14ac:dyDescent="0.25">
      <c r="A132">
        <v>131</v>
      </c>
      <c r="B132" t="s">
        <v>2465</v>
      </c>
      <c r="C132">
        <v>25</v>
      </c>
      <c r="D132" t="s">
        <v>113</v>
      </c>
      <c r="E132" t="s">
        <v>72</v>
      </c>
      <c r="F132">
        <v>1</v>
      </c>
      <c r="G132">
        <v>0</v>
      </c>
      <c r="H132">
        <v>4</v>
      </c>
      <c r="I132">
        <v>2</v>
      </c>
      <c r="J132">
        <v>2</v>
      </c>
      <c r="K132">
        <v>1</v>
      </c>
      <c r="L132">
        <v>0</v>
      </c>
      <c r="M132">
        <v>0</v>
      </c>
      <c r="O132">
        <v>2</v>
      </c>
      <c r="P132">
        <v>2</v>
      </c>
      <c r="Q132">
        <v>1</v>
      </c>
      <c r="R132">
        <v>1</v>
      </c>
      <c r="S132">
        <v>0</v>
      </c>
      <c r="T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4</v>
      </c>
      <c r="AE132">
        <f t="shared" si="2"/>
        <v>4</v>
      </c>
      <c r="AF132" t="s">
        <v>927</v>
      </c>
    </row>
    <row r="133" spans="1:32" x14ac:dyDescent="0.25">
      <c r="A133">
        <v>132</v>
      </c>
      <c r="B133" t="s">
        <v>2157</v>
      </c>
      <c r="C133">
        <v>21</v>
      </c>
      <c r="D133" t="s">
        <v>48</v>
      </c>
      <c r="E133" t="s">
        <v>63</v>
      </c>
      <c r="F133">
        <v>4</v>
      </c>
      <c r="G133">
        <v>0</v>
      </c>
      <c r="H133">
        <v>20.5</v>
      </c>
      <c r="I133">
        <v>1.8</v>
      </c>
      <c r="J133">
        <v>4.3</v>
      </c>
      <c r="K133">
        <v>0.41199999999999998</v>
      </c>
      <c r="L133">
        <v>0.5</v>
      </c>
      <c r="M133">
        <v>2</v>
      </c>
      <c r="N133">
        <v>0.25</v>
      </c>
      <c r="O133">
        <v>1.3</v>
      </c>
      <c r="P133">
        <v>2.2999999999999998</v>
      </c>
      <c r="Q133">
        <v>0.55600000000000005</v>
      </c>
      <c r="R133">
        <v>0.47099999999999997</v>
      </c>
      <c r="S133">
        <v>0</v>
      </c>
      <c r="T133">
        <v>0.3</v>
      </c>
      <c r="U133">
        <v>0</v>
      </c>
      <c r="V133">
        <v>1</v>
      </c>
      <c r="W133">
        <v>1.5</v>
      </c>
      <c r="X133">
        <v>2.5</v>
      </c>
      <c r="Y133">
        <v>2.5</v>
      </c>
      <c r="Z133">
        <v>0.8</v>
      </c>
      <c r="AA133">
        <v>0.5</v>
      </c>
      <c r="AB133">
        <v>0.3</v>
      </c>
      <c r="AC133">
        <v>3</v>
      </c>
      <c r="AD133">
        <v>4</v>
      </c>
      <c r="AE133">
        <f t="shared" si="2"/>
        <v>4.0999999999999996</v>
      </c>
      <c r="AF133" t="s">
        <v>927</v>
      </c>
    </row>
    <row r="134" spans="1:32" x14ac:dyDescent="0.25">
      <c r="A134">
        <v>133</v>
      </c>
      <c r="B134" t="s">
        <v>2372</v>
      </c>
      <c r="C134">
        <v>29</v>
      </c>
      <c r="D134" t="s">
        <v>113</v>
      </c>
      <c r="E134" t="s">
        <v>72</v>
      </c>
      <c r="F134">
        <v>5</v>
      </c>
      <c r="G134">
        <v>0</v>
      </c>
      <c r="H134">
        <v>16.399999999999999</v>
      </c>
      <c r="I134">
        <v>1.4</v>
      </c>
      <c r="J134">
        <v>2.2000000000000002</v>
      </c>
      <c r="K134">
        <v>0.63600000000000001</v>
      </c>
      <c r="L134">
        <v>0</v>
      </c>
      <c r="M134">
        <v>0</v>
      </c>
      <c r="O134">
        <v>1.4</v>
      </c>
      <c r="P134">
        <v>2.2000000000000002</v>
      </c>
      <c r="Q134">
        <v>0.63600000000000001</v>
      </c>
      <c r="R134">
        <v>0.63600000000000001</v>
      </c>
      <c r="S134">
        <v>1</v>
      </c>
      <c r="T134">
        <v>1</v>
      </c>
      <c r="U134">
        <v>1</v>
      </c>
      <c r="V134">
        <v>1.2</v>
      </c>
      <c r="W134">
        <v>1.6</v>
      </c>
      <c r="X134">
        <v>2.8</v>
      </c>
      <c r="Y134">
        <v>0.6</v>
      </c>
      <c r="Z134">
        <v>0.8</v>
      </c>
      <c r="AA134">
        <v>0.4</v>
      </c>
      <c r="AB134">
        <v>0.4</v>
      </c>
      <c r="AC134">
        <v>0.8</v>
      </c>
      <c r="AD134">
        <v>3.8</v>
      </c>
      <c r="AE134">
        <f t="shared" si="2"/>
        <v>3.8</v>
      </c>
      <c r="AF134" t="s">
        <v>927</v>
      </c>
    </row>
    <row r="135" spans="1:32" x14ac:dyDescent="0.25">
      <c r="A135">
        <v>134</v>
      </c>
      <c r="B135" t="s">
        <v>2033</v>
      </c>
      <c r="C135">
        <v>24</v>
      </c>
      <c r="D135" t="s">
        <v>129</v>
      </c>
      <c r="E135" t="s">
        <v>56</v>
      </c>
      <c r="F135">
        <v>6</v>
      </c>
      <c r="G135">
        <v>0</v>
      </c>
      <c r="H135">
        <v>16</v>
      </c>
      <c r="I135">
        <v>1.3</v>
      </c>
      <c r="J135">
        <v>5</v>
      </c>
      <c r="K135">
        <v>0.26700000000000002</v>
      </c>
      <c r="L135">
        <v>0.8</v>
      </c>
      <c r="M135">
        <v>3.2</v>
      </c>
      <c r="N135">
        <v>0.26300000000000001</v>
      </c>
      <c r="O135">
        <v>0.5</v>
      </c>
      <c r="P135">
        <v>1.8</v>
      </c>
      <c r="Q135">
        <v>0.27300000000000002</v>
      </c>
      <c r="R135">
        <v>0.35</v>
      </c>
      <c r="S135">
        <v>0.3</v>
      </c>
      <c r="T135">
        <v>0.7</v>
      </c>
      <c r="U135">
        <v>0.5</v>
      </c>
      <c r="V135">
        <v>0</v>
      </c>
      <c r="W135">
        <v>1.2</v>
      </c>
      <c r="X135">
        <v>1.2</v>
      </c>
      <c r="Y135">
        <v>1</v>
      </c>
      <c r="Z135">
        <v>0.3</v>
      </c>
      <c r="AA135">
        <v>0</v>
      </c>
      <c r="AB135">
        <v>0.7</v>
      </c>
      <c r="AC135">
        <v>1.3</v>
      </c>
      <c r="AD135">
        <v>3.8</v>
      </c>
      <c r="AE135">
        <f t="shared" si="2"/>
        <v>3.7</v>
      </c>
      <c r="AF135" t="s">
        <v>927</v>
      </c>
    </row>
    <row r="136" spans="1:32" x14ac:dyDescent="0.25">
      <c r="A136">
        <v>135</v>
      </c>
      <c r="B136" t="s">
        <v>2282</v>
      </c>
      <c r="C136">
        <v>30</v>
      </c>
      <c r="D136" t="s">
        <v>129</v>
      </c>
      <c r="E136" t="s">
        <v>56</v>
      </c>
      <c r="F136">
        <v>6</v>
      </c>
      <c r="G136">
        <v>0</v>
      </c>
      <c r="H136">
        <v>8.8000000000000007</v>
      </c>
      <c r="I136">
        <v>1.5</v>
      </c>
      <c r="J136">
        <v>3.2</v>
      </c>
      <c r="K136">
        <v>0.47399999999999998</v>
      </c>
      <c r="L136">
        <v>0.5</v>
      </c>
      <c r="M136">
        <v>1.2</v>
      </c>
      <c r="N136">
        <v>0.42899999999999999</v>
      </c>
      <c r="O136">
        <v>1</v>
      </c>
      <c r="P136">
        <v>2</v>
      </c>
      <c r="Q136">
        <v>0.5</v>
      </c>
      <c r="R136">
        <v>0.55300000000000005</v>
      </c>
      <c r="S136">
        <v>0.2</v>
      </c>
      <c r="T136">
        <v>0.2</v>
      </c>
      <c r="U136">
        <v>1</v>
      </c>
      <c r="V136">
        <v>0</v>
      </c>
      <c r="W136">
        <v>0.7</v>
      </c>
      <c r="X136">
        <v>0.7</v>
      </c>
      <c r="Y136">
        <v>0.5</v>
      </c>
      <c r="Z136">
        <v>0.7</v>
      </c>
      <c r="AA136">
        <v>0</v>
      </c>
      <c r="AB136">
        <v>0.7</v>
      </c>
      <c r="AC136">
        <v>2</v>
      </c>
      <c r="AD136">
        <v>3.7</v>
      </c>
      <c r="AE136">
        <f t="shared" si="2"/>
        <v>3.7</v>
      </c>
      <c r="AF136" t="s">
        <v>927</v>
      </c>
    </row>
    <row r="137" spans="1:32" x14ac:dyDescent="0.25">
      <c r="A137">
        <v>136</v>
      </c>
      <c r="B137" t="s">
        <v>423</v>
      </c>
      <c r="C137">
        <v>26</v>
      </c>
      <c r="D137" t="s">
        <v>129</v>
      </c>
      <c r="E137" t="s">
        <v>72</v>
      </c>
      <c r="F137">
        <v>6</v>
      </c>
      <c r="G137">
        <v>0</v>
      </c>
      <c r="H137">
        <v>16.5</v>
      </c>
      <c r="I137">
        <v>1.5</v>
      </c>
      <c r="J137">
        <v>3</v>
      </c>
      <c r="K137">
        <v>0.5</v>
      </c>
      <c r="L137">
        <v>0</v>
      </c>
      <c r="M137">
        <v>0</v>
      </c>
      <c r="O137">
        <v>1.5</v>
      </c>
      <c r="P137">
        <v>3</v>
      </c>
      <c r="Q137">
        <v>0.5</v>
      </c>
      <c r="R137">
        <v>0.5</v>
      </c>
      <c r="S137">
        <v>0.7</v>
      </c>
      <c r="T137">
        <v>2.5</v>
      </c>
      <c r="U137">
        <v>0.26700000000000002</v>
      </c>
      <c r="V137">
        <v>3.7</v>
      </c>
      <c r="W137">
        <v>2</v>
      </c>
      <c r="X137">
        <v>5.7</v>
      </c>
      <c r="Y137">
        <v>0.2</v>
      </c>
      <c r="Z137">
        <v>0.8</v>
      </c>
      <c r="AA137">
        <v>0.7</v>
      </c>
      <c r="AB137">
        <v>0.7</v>
      </c>
      <c r="AC137">
        <v>2.2000000000000002</v>
      </c>
      <c r="AD137">
        <v>3.7</v>
      </c>
      <c r="AE137">
        <f t="shared" si="2"/>
        <v>3.7</v>
      </c>
      <c r="AF137" t="s">
        <v>927</v>
      </c>
    </row>
    <row r="138" spans="1:32" x14ac:dyDescent="0.25">
      <c r="A138">
        <v>137</v>
      </c>
      <c r="B138" t="s">
        <v>2367</v>
      </c>
      <c r="C138">
        <v>21</v>
      </c>
      <c r="D138" t="s">
        <v>170</v>
      </c>
      <c r="E138" t="s">
        <v>93</v>
      </c>
      <c r="F138">
        <v>6</v>
      </c>
      <c r="G138">
        <v>0</v>
      </c>
      <c r="H138">
        <v>12.5</v>
      </c>
      <c r="I138">
        <v>1.3</v>
      </c>
      <c r="J138">
        <v>2.8</v>
      </c>
      <c r="K138">
        <v>0.47099999999999997</v>
      </c>
      <c r="L138">
        <v>1</v>
      </c>
      <c r="M138">
        <v>1.7</v>
      </c>
      <c r="N138">
        <v>0.6</v>
      </c>
      <c r="O138">
        <v>0.3</v>
      </c>
      <c r="P138">
        <v>1.2</v>
      </c>
      <c r="Q138">
        <v>0.28599999999999998</v>
      </c>
      <c r="R138">
        <v>0.64700000000000002</v>
      </c>
      <c r="S138">
        <v>0</v>
      </c>
      <c r="T138">
        <v>0</v>
      </c>
      <c r="V138">
        <v>0</v>
      </c>
      <c r="W138">
        <v>2.7</v>
      </c>
      <c r="X138">
        <v>2.7</v>
      </c>
      <c r="Y138">
        <v>0.7</v>
      </c>
      <c r="Z138">
        <v>0.2</v>
      </c>
      <c r="AA138">
        <v>0.2</v>
      </c>
      <c r="AB138">
        <v>0.5</v>
      </c>
      <c r="AC138">
        <v>1.3</v>
      </c>
      <c r="AD138">
        <v>3.7</v>
      </c>
      <c r="AE138">
        <f t="shared" si="2"/>
        <v>3.6</v>
      </c>
      <c r="AF138" t="s">
        <v>927</v>
      </c>
    </row>
    <row r="139" spans="1:32" x14ac:dyDescent="0.25">
      <c r="A139">
        <v>138</v>
      </c>
      <c r="B139" t="s">
        <v>2427</v>
      </c>
      <c r="C139">
        <v>27</v>
      </c>
      <c r="D139" t="s">
        <v>142</v>
      </c>
      <c r="E139" t="s">
        <v>93</v>
      </c>
      <c r="F139">
        <v>5</v>
      </c>
      <c r="G139">
        <v>0</v>
      </c>
      <c r="H139">
        <v>13.8</v>
      </c>
      <c r="I139">
        <v>1.4</v>
      </c>
      <c r="J139">
        <v>2.4</v>
      </c>
      <c r="K139">
        <v>0.58299999999999996</v>
      </c>
      <c r="L139">
        <v>0.2</v>
      </c>
      <c r="M139">
        <v>0.8</v>
      </c>
      <c r="N139">
        <v>0.25</v>
      </c>
      <c r="O139">
        <v>1.2</v>
      </c>
      <c r="P139">
        <v>1.6</v>
      </c>
      <c r="Q139">
        <v>0.75</v>
      </c>
      <c r="R139">
        <v>0.625</v>
      </c>
      <c r="S139">
        <v>0.6</v>
      </c>
      <c r="T139">
        <v>1</v>
      </c>
      <c r="U139">
        <v>0.6</v>
      </c>
      <c r="V139">
        <v>1</v>
      </c>
      <c r="W139">
        <v>1</v>
      </c>
      <c r="X139">
        <v>2</v>
      </c>
      <c r="Y139">
        <v>0.4</v>
      </c>
      <c r="Z139">
        <v>0.4</v>
      </c>
      <c r="AA139">
        <v>0.2</v>
      </c>
      <c r="AB139">
        <v>0.4</v>
      </c>
      <c r="AC139">
        <v>0.6</v>
      </c>
      <c r="AD139">
        <v>3.6</v>
      </c>
      <c r="AE139">
        <f t="shared" si="2"/>
        <v>3.6</v>
      </c>
      <c r="AF139" t="s">
        <v>927</v>
      </c>
    </row>
    <row r="140" spans="1:32" x14ac:dyDescent="0.25">
      <c r="A140">
        <v>139</v>
      </c>
      <c r="B140" t="s">
        <v>307</v>
      </c>
      <c r="C140">
        <v>22</v>
      </c>
      <c r="D140" t="s">
        <v>105</v>
      </c>
      <c r="E140" t="s">
        <v>56</v>
      </c>
      <c r="F140">
        <v>3</v>
      </c>
      <c r="G140">
        <v>1</v>
      </c>
      <c r="H140">
        <v>10</v>
      </c>
      <c r="I140">
        <v>1.3</v>
      </c>
      <c r="J140">
        <v>4.3</v>
      </c>
      <c r="K140">
        <v>0.308</v>
      </c>
      <c r="L140">
        <v>0.7</v>
      </c>
      <c r="M140">
        <v>2.2999999999999998</v>
      </c>
      <c r="N140">
        <v>0.28599999999999998</v>
      </c>
      <c r="O140">
        <v>0.7</v>
      </c>
      <c r="P140">
        <v>2</v>
      </c>
      <c r="Q140">
        <v>0.33300000000000002</v>
      </c>
      <c r="R140">
        <v>0.38500000000000001</v>
      </c>
      <c r="S140">
        <v>0</v>
      </c>
      <c r="T140">
        <v>0</v>
      </c>
      <c r="V140">
        <v>0.3</v>
      </c>
      <c r="W140">
        <v>0.3</v>
      </c>
      <c r="X140">
        <v>0.7</v>
      </c>
      <c r="Y140">
        <v>1.3</v>
      </c>
      <c r="Z140">
        <v>0.3</v>
      </c>
      <c r="AA140">
        <v>0</v>
      </c>
      <c r="AB140">
        <v>0</v>
      </c>
      <c r="AC140">
        <v>1.3</v>
      </c>
      <c r="AD140">
        <v>3.3</v>
      </c>
      <c r="AE140">
        <f t="shared" si="2"/>
        <v>3.3</v>
      </c>
      <c r="AF140" t="s">
        <v>927</v>
      </c>
    </row>
    <row r="141" spans="1:32" x14ac:dyDescent="0.25">
      <c r="A141">
        <v>140</v>
      </c>
      <c r="B141" t="s">
        <v>2144</v>
      </c>
      <c r="C141">
        <v>27</v>
      </c>
      <c r="D141" t="s">
        <v>113</v>
      </c>
      <c r="E141" t="s">
        <v>93</v>
      </c>
      <c r="F141">
        <v>5</v>
      </c>
      <c r="G141">
        <v>0</v>
      </c>
      <c r="H141">
        <v>14.8</v>
      </c>
      <c r="I141">
        <v>1.2</v>
      </c>
      <c r="J141">
        <v>2.2000000000000002</v>
      </c>
      <c r="K141">
        <v>0.54500000000000004</v>
      </c>
      <c r="L141">
        <v>0.8</v>
      </c>
      <c r="M141">
        <v>1.8</v>
      </c>
      <c r="N141">
        <v>0.44400000000000001</v>
      </c>
      <c r="O141">
        <v>0.4</v>
      </c>
      <c r="P141">
        <v>0.4</v>
      </c>
      <c r="Q141">
        <v>1</v>
      </c>
      <c r="R141">
        <v>0.72699999999999998</v>
      </c>
      <c r="S141">
        <v>0</v>
      </c>
      <c r="T141">
        <v>0</v>
      </c>
      <c r="V141">
        <v>0</v>
      </c>
      <c r="W141">
        <v>1.6</v>
      </c>
      <c r="X141">
        <v>1.6</v>
      </c>
      <c r="Y141">
        <v>0.4</v>
      </c>
      <c r="Z141">
        <v>0.2</v>
      </c>
      <c r="AA141">
        <v>0.2</v>
      </c>
      <c r="AB141">
        <v>0.6</v>
      </c>
      <c r="AC141">
        <v>1.2</v>
      </c>
      <c r="AD141">
        <v>3.2</v>
      </c>
      <c r="AE141">
        <f t="shared" si="2"/>
        <v>3.2</v>
      </c>
      <c r="AF141" t="s">
        <v>927</v>
      </c>
    </row>
    <row r="142" spans="1:32" x14ac:dyDescent="0.25">
      <c r="A142">
        <v>141</v>
      </c>
      <c r="B142" t="s">
        <v>2590</v>
      </c>
      <c r="C142">
        <v>36</v>
      </c>
      <c r="D142" t="s">
        <v>79</v>
      </c>
      <c r="E142" t="s">
        <v>56</v>
      </c>
      <c r="F142">
        <v>1</v>
      </c>
      <c r="G142">
        <v>0</v>
      </c>
      <c r="H142">
        <v>4</v>
      </c>
      <c r="I142">
        <v>1</v>
      </c>
      <c r="J142">
        <v>2</v>
      </c>
      <c r="K142">
        <v>0.5</v>
      </c>
      <c r="L142">
        <v>1</v>
      </c>
      <c r="M142">
        <v>1</v>
      </c>
      <c r="N142">
        <v>1</v>
      </c>
      <c r="O142">
        <v>0</v>
      </c>
      <c r="P142">
        <v>1</v>
      </c>
      <c r="Q142">
        <v>0</v>
      </c>
      <c r="R142">
        <v>0.75</v>
      </c>
      <c r="S142">
        <v>0</v>
      </c>
      <c r="T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3</v>
      </c>
      <c r="AE142">
        <f t="shared" si="2"/>
        <v>3</v>
      </c>
      <c r="AF142" t="s">
        <v>927</v>
      </c>
    </row>
    <row r="143" spans="1:32" x14ac:dyDescent="0.25">
      <c r="A143">
        <v>142</v>
      </c>
      <c r="B143" t="s">
        <v>2335</v>
      </c>
      <c r="C143">
        <v>22</v>
      </c>
      <c r="D143" t="s">
        <v>48</v>
      </c>
      <c r="E143" t="s">
        <v>63</v>
      </c>
      <c r="F143">
        <v>2</v>
      </c>
      <c r="G143">
        <v>0</v>
      </c>
      <c r="H143">
        <v>8.5</v>
      </c>
      <c r="I143">
        <v>1</v>
      </c>
      <c r="J143">
        <v>3</v>
      </c>
      <c r="K143">
        <v>0.33300000000000002</v>
      </c>
      <c r="L143">
        <v>0.5</v>
      </c>
      <c r="M143">
        <v>2</v>
      </c>
      <c r="N143">
        <v>0.25</v>
      </c>
      <c r="O143">
        <v>0.5</v>
      </c>
      <c r="P143">
        <v>1</v>
      </c>
      <c r="Q143">
        <v>0.5</v>
      </c>
      <c r="R143">
        <v>0.41699999999999998</v>
      </c>
      <c r="S143">
        <v>0.5</v>
      </c>
      <c r="T143">
        <v>1</v>
      </c>
      <c r="U143">
        <v>0.5</v>
      </c>
      <c r="V143">
        <v>0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3</v>
      </c>
      <c r="AE143">
        <f t="shared" si="2"/>
        <v>3</v>
      </c>
      <c r="AF143" t="s">
        <v>927</v>
      </c>
    </row>
    <row r="144" spans="1:32" x14ac:dyDescent="0.25">
      <c r="A144">
        <v>143</v>
      </c>
      <c r="B144" t="s">
        <v>2613</v>
      </c>
      <c r="C144">
        <v>24</v>
      </c>
      <c r="D144" t="s">
        <v>113</v>
      </c>
      <c r="E144" t="s">
        <v>63</v>
      </c>
      <c r="F144">
        <v>1</v>
      </c>
      <c r="G144">
        <v>0</v>
      </c>
      <c r="H144">
        <v>4</v>
      </c>
      <c r="I144">
        <v>1</v>
      </c>
      <c r="J144">
        <v>2</v>
      </c>
      <c r="K144">
        <v>0.5</v>
      </c>
      <c r="L144">
        <v>1</v>
      </c>
      <c r="M144">
        <v>1</v>
      </c>
      <c r="N144">
        <v>1</v>
      </c>
      <c r="O144">
        <v>0</v>
      </c>
      <c r="P144">
        <v>1</v>
      </c>
      <c r="Q144">
        <v>0</v>
      </c>
      <c r="R144">
        <v>0.75</v>
      </c>
      <c r="S144">
        <v>0</v>
      </c>
      <c r="T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3</v>
      </c>
      <c r="AE144">
        <f t="shared" si="2"/>
        <v>3</v>
      </c>
      <c r="AF144" t="s">
        <v>927</v>
      </c>
    </row>
    <row r="145" spans="1:32" x14ac:dyDescent="0.25">
      <c r="A145">
        <v>144</v>
      </c>
      <c r="B145" t="s">
        <v>2357</v>
      </c>
      <c r="C145">
        <v>30</v>
      </c>
      <c r="D145" t="s">
        <v>48</v>
      </c>
      <c r="E145" t="s">
        <v>93</v>
      </c>
      <c r="F145">
        <v>2</v>
      </c>
      <c r="G145">
        <v>0</v>
      </c>
      <c r="H145">
        <v>8.5</v>
      </c>
      <c r="I145">
        <v>1.5</v>
      </c>
      <c r="J145">
        <v>5</v>
      </c>
      <c r="K145">
        <v>0.3</v>
      </c>
      <c r="L145">
        <v>0</v>
      </c>
      <c r="M145">
        <v>2.5</v>
      </c>
      <c r="N145">
        <v>0</v>
      </c>
      <c r="O145">
        <v>1.5</v>
      </c>
      <c r="P145">
        <v>2.5</v>
      </c>
      <c r="Q145">
        <v>0.6</v>
      </c>
      <c r="R145">
        <v>0.3</v>
      </c>
      <c r="S145">
        <v>0</v>
      </c>
      <c r="T145">
        <v>0</v>
      </c>
      <c r="V145">
        <v>1</v>
      </c>
      <c r="W145">
        <v>3.5</v>
      </c>
      <c r="X145">
        <v>4.5</v>
      </c>
      <c r="Y145">
        <v>0.5</v>
      </c>
      <c r="Z145">
        <v>1</v>
      </c>
      <c r="AA145">
        <v>0</v>
      </c>
      <c r="AB145">
        <v>0.5</v>
      </c>
      <c r="AC145">
        <v>0.5</v>
      </c>
      <c r="AD145">
        <v>3</v>
      </c>
      <c r="AE145">
        <f t="shared" si="2"/>
        <v>3</v>
      </c>
      <c r="AF145" t="s">
        <v>927</v>
      </c>
    </row>
    <row r="146" spans="1:32" x14ac:dyDescent="0.25">
      <c r="A146">
        <v>145</v>
      </c>
      <c r="B146" t="s">
        <v>2704</v>
      </c>
      <c r="C146">
        <v>28</v>
      </c>
      <c r="D146" t="s">
        <v>156</v>
      </c>
      <c r="E146" t="s">
        <v>63</v>
      </c>
      <c r="F146">
        <v>4</v>
      </c>
      <c r="G146">
        <v>0</v>
      </c>
      <c r="H146">
        <v>17.3</v>
      </c>
      <c r="I146">
        <v>0.8</v>
      </c>
      <c r="J146">
        <v>2.2999999999999998</v>
      </c>
      <c r="K146">
        <v>0.33300000000000002</v>
      </c>
      <c r="L146">
        <v>0.3</v>
      </c>
      <c r="M146">
        <v>1.5</v>
      </c>
      <c r="N146">
        <v>0.16700000000000001</v>
      </c>
      <c r="O146">
        <v>0.5</v>
      </c>
      <c r="P146">
        <v>0.8</v>
      </c>
      <c r="Q146">
        <v>0.66700000000000004</v>
      </c>
      <c r="R146">
        <v>0.38900000000000001</v>
      </c>
      <c r="S146">
        <v>1</v>
      </c>
      <c r="T146">
        <v>1</v>
      </c>
      <c r="U146">
        <v>1</v>
      </c>
      <c r="V146">
        <v>0.8</v>
      </c>
      <c r="W146">
        <v>2.5</v>
      </c>
      <c r="X146">
        <v>3.3</v>
      </c>
      <c r="Y146">
        <v>1.5</v>
      </c>
      <c r="Z146">
        <v>0.5</v>
      </c>
      <c r="AA146">
        <v>0.5</v>
      </c>
      <c r="AB146">
        <v>0.5</v>
      </c>
      <c r="AC146">
        <v>2</v>
      </c>
      <c r="AD146">
        <v>2.8</v>
      </c>
      <c r="AE146">
        <f t="shared" si="2"/>
        <v>2.9</v>
      </c>
      <c r="AF146" t="s">
        <v>927</v>
      </c>
    </row>
    <row r="147" spans="1:32" x14ac:dyDescent="0.25">
      <c r="A147">
        <v>146</v>
      </c>
      <c r="B147" t="s">
        <v>2566</v>
      </c>
      <c r="C147">
        <v>25</v>
      </c>
      <c r="D147" t="s">
        <v>97</v>
      </c>
      <c r="E147" t="s">
        <v>72</v>
      </c>
      <c r="F147">
        <v>5</v>
      </c>
      <c r="G147">
        <v>0</v>
      </c>
      <c r="H147">
        <v>10.6</v>
      </c>
      <c r="I147">
        <v>1</v>
      </c>
      <c r="J147">
        <v>1.6</v>
      </c>
      <c r="K147">
        <v>0.625</v>
      </c>
      <c r="L147">
        <v>0</v>
      </c>
      <c r="M147">
        <v>0</v>
      </c>
      <c r="O147">
        <v>1</v>
      </c>
      <c r="P147">
        <v>1.6</v>
      </c>
      <c r="Q147">
        <v>0.625</v>
      </c>
      <c r="R147">
        <v>0.625</v>
      </c>
      <c r="S147">
        <v>0.8</v>
      </c>
      <c r="T147">
        <v>1.2</v>
      </c>
      <c r="U147">
        <v>0.66700000000000004</v>
      </c>
      <c r="V147">
        <v>1.4</v>
      </c>
      <c r="W147">
        <v>1.6</v>
      </c>
      <c r="X147">
        <v>3</v>
      </c>
      <c r="Y147">
        <v>0.2</v>
      </c>
      <c r="Z147">
        <v>1</v>
      </c>
      <c r="AA147">
        <v>0.6</v>
      </c>
      <c r="AB147">
        <v>1</v>
      </c>
      <c r="AC147">
        <v>1.6</v>
      </c>
      <c r="AD147">
        <v>2.8</v>
      </c>
      <c r="AE147">
        <f t="shared" si="2"/>
        <v>2.8</v>
      </c>
      <c r="AF147" t="s">
        <v>927</v>
      </c>
    </row>
    <row r="148" spans="1:32" x14ac:dyDescent="0.25">
      <c r="A148">
        <v>147</v>
      </c>
      <c r="B148" t="s">
        <v>2568</v>
      </c>
      <c r="C148">
        <v>22</v>
      </c>
      <c r="D148" t="s">
        <v>1223</v>
      </c>
      <c r="E148" t="s">
        <v>93</v>
      </c>
      <c r="F148">
        <v>6</v>
      </c>
      <c r="G148">
        <v>0</v>
      </c>
      <c r="H148">
        <v>6.5</v>
      </c>
      <c r="I148">
        <v>0.8</v>
      </c>
      <c r="J148">
        <v>1.5</v>
      </c>
      <c r="K148">
        <v>0.55600000000000005</v>
      </c>
      <c r="L148">
        <v>0.5</v>
      </c>
      <c r="M148">
        <v>1</v>
      </c>
      <c r="N148">
        <v>0.5</v>
      </c>
      <c r="O148">
        <v>0.3</v>
      </c>
      <c r="P148">
        <v>0.5</v>
      </c>
      <c r="Q148">
        <v>0.66700000000000004</v>
      </c>
      <c r="R148">
        <v>0.72199999999999998</v>
      </c>
      <c r="S148">
        <v>0.7</v>
      </c>
      <c r="T148">
        <v>1</v>
      </c>
      <c r="U148">
        <v>0.66700000000000004</v>
      </c>
      <c r="V148">
        <v>0</v>
      </c>
      <c r="W148">
        <v>0.7</v>
      </c>
      <c r="X148">
        <v>0.7</v>
      </c>
      <c r="Y148">
        <v>0.7</v>
      </c>
      <c r="Z148">
        <v>0</v>
      </c>
      <c r="AA148">
        <v>0</v>
      </c>
      <c r="AB148">
        <v>0.5</v>
      </c>
      <c r="AC148">
        <v>1</v>
      </c>
      <c r="AD148">
        <v>2.8</v>
      </c>
      <c r="AE148">
        <f t="shared" si="2"/>
        <v>2.8</v>
      </c>
      <c r="AF148" t="s">
        <v>927</v>
      </c>
    </row>
    <row r="149" spans="1:32" x14ac:dyDescent="0.25">
      <c r="A149">
        <v>148</v>
      </c>
      <c r="B149" t="s">
        <v>2748</v>
      </c>
      <c r="C149">
        <v>26</v>
      </c>
      <c r="D149" t="s">
        <v>105</v>
      </c>
      <c r="E149" t="s">
        <v>72</v>
      </c>
      <c r="F149">
        <v>5</v>
      </c>
      <c r="G149">
        <v>0</v>
      </c>
      <c r="H149">
        <v>11.6</v>
      </c>
      <c r="I149">
        <v>1.2</v>
      </c>
      <c r="J149">
        <v>1.2</v>
      </c>
      <c r="K149">
        <v>1</v>
      </c>
      <c r="L149">
        <v>0</v>
      </c>
      <c r="M149">
        <v>0</v>
      </c>
      <c r="O149">
        <v>1.2</v>
      </c>
      <c r="P149">
        <v>1.2</v>
      </c>
      <c r="Q149">
        <v>1</v>
      </c>
      <c r="R149">
        <v>1</v>
      </c>
      <c r="S149">
        <v>0.4</v>
      </c>
      <c r="T149">
        <v>0.6</v>
      </c>
      <c r="U149">
        <v>0.66700000000000004</v>
      </c>
      <c r="V149">
        <v>2.2000000000000002</v>
      </c>
      <c r="W149">
        <v>1.8</v>
      </c>
      <c r="X149">
        <v>4</v>
      </c>
      <c r="Y149">
        <v>0.2</v>
      </c>
      <c r="Z149">
        <v>0</v>
      </c>
      <c r="AA149">
        <v>0.2</v>
      </c>
      <c r="AB149">
        <v>1</v>
      </c>
      <c r="AC149">
        <v>1</v>
      </c>
      <c r="AD149">
        <v>2.8</v>
      </c>
      <c r="AE149">
        <f t="shared" si="2"/>
        <v>2.8</v>
      </c>
      <c r="AF149" t="s">
        <v>927</v>
      </c>
    </row>
    <row r="150" spans="1:32" x14ac:dyDescent="0.25">
      <c r="A150">
        <v>149</v>
      </c>
      <c r="B150" t="s">
        <v>192</v>
      </c>
      <c r="C150">
        <v>28</v>
      </c>
      <c r="D150" t="s">
        <v>1014</v>
      </c>
      <c r="E150" t="s">
        <v>56</v>
      </c>
      <c r="F150">
        <v>5</v>
      </c>
      <c r="G150">
        <v>0</v>
      </c>
      <c r="H150">
        <v>19.8</v>
      </c>
      <c r="I150">
        <v>1</v>
      </c>
      <c r="J150">
        <v>2.8</v>
      </c>
      <c r="K150">
        <v>0.35699999999999998</v>
      </c>
      <c r="L150">
        <v>0.8</v>
      </c>
      <c r="M150">
        <v>2.6</v>
      </c>
      <c r="N150">
        <v>0.308</v>
      </c>
      <c r="O150">
        <v>0.2</v>
      </c>
      <c r="P150">
        <v>0.2</v>
      </c>
      <c r="Q150">
        <v>1</v>
      </c>
      <c r="R150">
        <v>0.5</v>
      </c>
      <c r="S150">
        <v>0</v>
      </c>
      <c r="T150">
        <v>0</v>
      </c>
      <c r="V150">
        <v>0</v>
      </c>
      <c r="W150">
        <v>1</v>
      </c>
      <c r="X150">
        <v>1</v>
      </c>
      <c r="Y150">
        <v>1</v>
      </c>
      <c r="Z150">
        <v>0.2</v>
      </c>
      <c r="AA150">
        <v>0.4</v>
      </c>
      <c r="AB150">
        <v>0.2</v>
      </c>
      <c r="AC150">
        <v>1.6</v>
      </c>
      <c r="AD150">
        <v>2.8</v>
      </c>
      <c r="AE150">
        <f t="shared" si="2"/>
        <v>2.8000000000000003</v>
      </c>
      <c r="AF150" t="s">
        <v>927</v>
      </c>
    </row>
    <row r="151" spans="1:32" x14ac:dyDescent="0.25">
      <c r="A151">
        <v>150</v>
      </c>
      <c r="B151" t="s">
        <v>2066</v>
      </c>
      <c r="C151">
        <v>23</v>
      </c>
      <c r="D151" t="s">
        <v>1014</v>
      </c>
      <c r="E151" t="s">
        <v>47</v>
      </c>
      <c r="F151">
        <v>2</v>
      </c>
      <c r="G151">
        <v>0</v>
      </c>
      <c r="H151">
        <v>2</v>
      </c>
      <c r="I151">
        <v>1</v>
      </c>
      <c r="J151">
        <v>2.5</v>
      </c>
      <c r="K151">
        <v>0.4</v>
      </c>
      <c r="L151">
        <v>0.5</v>
      </c>
      <c r="M151">
        <v>2</v>
      </c>
      <c r="N151">
        <v>0.25</v>
      </c>
      <c r="O151">
        <v>0.5</v>
      </c>
      <c r="P151">
        <v>0.5</v>
      </c>
      <c r="Q151">
        <v>1</v>
      </c>
      <c r="R151">
        <v>0.5</v>
      </c>
      <c r="S151">
        <v>0</v>
      </c>
      <c r="T151">
        <v>0</v>
      </c>
      <c r="V151">
        <v>1</v>
      </c>
      <c r="W151">
        <v>0.5</v>
      </c>
      <c r="X151">
        <v>1.5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2.5</v>
      </c>
      <c r="AE151">
        <f t="shared" si="2"/>
        <v>2.5</v>
      </c>
      <c r="AF151" t="s">
        <v>927</v>
      </c>
    </row>
    <row r="152" spans="1:32" x14ac:dyDescent="0.25">
      <c r="A152">
        <v>151</v>
      </c>
      <c r="B152" t="s">
        <v>2563</v>
      </c>
      <c r="C152">
        <v>25</v>
      </c>
      <c r="D152" t="s">
        <v>79</v>
      </c>
      <c r="E152" t="s">
        <v>47</v>
      </c>
      <c r="F152">
        <v>3</v>
      </c>
      <c r="G152">
        <v>0</v>
      </c>
      <c r="H152">
        <v>4.3</v>
      </c>
      <c r="I152">
        <v>1</v>
      </c>
      <c r="J152">
        <v>2.2999999999999998</v>
      </c>
      <c r="K152">
        <v>0.42899999999999999</v>
      </c>
      <c r="L152">
        <v>0</v>
      </c>
      <c r="M152">
        <v>0.3</v>
      </c>
      <c r="N152">
        <v>0</v>
      </c>
      <c r="O152">
        <v>1</v>
      </c>
      <c r="P152">
        <v>2</v>
      </c>
      <c r="Q152">
        <v>0.5</v>
      </c>
      <c r="R152">
        <v>0.42899999999999999</v>
      </c>
      <c r="S152">
        <v>0.3</v>
      </c>
      <c r="T152">
        <v>0.7</v>
      </c>
      <c r="U152">
        <v>0.5</v>
      </c>
      <c r="V152">
        <v>0</v>
      </c>
      <c r="W152">
        <v>0.7</v>
      </c>
      <c r="X152">
        <v>0.7</v>
      </c>
      <c r="Y152">
        <v>1.3</v>
      </c>
      <c r="Z152">
        <v>1</v>
      </c>
      <c r="AA152">
        <v>0</v>
      </c>
      <c r="AB152">
        <v>0</v>
      </c>
      <c r="AC152">
        <v>0</v>
      </c>
      <c r="AD152">
        <v>2.2999999999999998</v>
      </c>
      <c r="AE152">
        <f t="shared" si="2"/>
        <v>2.2999999999999998</v>
      </c>
      <c r="AF152" t="s">
        <v>927</v>
      </c>
    </row>
    <row r="153" spans="1:32" x14ac:dyDescent="0.25">
      <c r="A153">
        <v>152</v>
      </c>
      <c r="B153" t="s">
        <v>2399</v>
      </c>
      <c r="C153">
        <v>22</v>
      </c>
      <c r="D153" t="s">
        <v>48</v>
      </c>
      <c r="E153" t="s">
        <v>93</v>
      </c>
      <c r="F153">
        <v>4</v>
      </c>
      <c r="G153">
        <v>0</v>
      </c>
      <c r="H153">
        <v>7.3</v>
      </c>
      <c r="I153">
        <v>0.8</v>
      </c>
      <c r="J153">
        <v>1.5</v>
      </c>
      <c r="K153">
        <v>0.5</v>
      </c>
      <c r="L153">
        <v>0.5</v>
      </c>
      <c r="M153">
        <v>1.3</v>
      </c>
      <c r="N153">
        <v>0.4</v>
      </c>
      <c r="O153">
        <v>0.3</v>
      </c>
      <c r="P153">
        <v>0.3</v>
      </c>
      <c r="Q153">
        <v>1</v>
      </c>
      <c r="R153">
        <v>0.66700000000000004</v>
      </c>
      <c r="S153">
        <v>0.3</v>
      </c>
      <c r="T153">
        <v>0.3</v>
      </c>
      <c r="U153">
        <v>1</v>
      </c>
      <c r="V153">
        <v>0</v>
      </c>
      <c r="W153">
        <v>1.8</v>
      </c>
      <c r="X153">
        <v>1.8</v>
      </c>
      <c r="Y153">
        <v>0.8</v>
      </c>
      <c r="Z153">
        <v>0.3</v>
      </c>
      <c r="AA153">
        <v>0.5</v>
      </c>
      <c r="AB153">
        <v>0.8</v>
      </c>
      <c r="AC153">
        <v>1.3</v>
      </c>
      <c r="AD153">
        <v>2.2999999999999998</v>
      </c>
      <c r="AE153">
        <f t="shared" si="2"/>
        <v>2.4</v>
      </c>
      <c r="AF153" t="s">
        <v>927</v>
      </c>
    </row>
    <row r="154" spans="1:32" x14ac:dyDescent="0.25">
      <c r="A154">
        <v>153</v>
      </c>
      <c r="B154" t="s">
        <v>2039</v>
      </c>
      <c r="C154">
        <v>24</v>
      </c>
      <c r="D154" t="s">
        <v>142</v>
      </c>
      <c r="E154" t="s">
        <v>56</v>
      </c>
      <c r="F154">
        <v>5</v>
      </c>
      <c r="G154">
        <v>0</v>
      </c>
      <c r="H154">
        <v>10.199999999999999</v>
      </c>
      <c r="I154">
        <v>0.8</v>
      </c>
      <c r="J154">
        <v>2.8</v>
      </c>
      <c r="K154">
        <v>0.28599999999999998</v>
      </c>
      <c r="L154">
        <v>0</v>
      </c>
      <c r="M154">
        <v>1.2</v>
      </c>
      <c r="N154">
        <v>0</v>
      </c>
      <c r="O154">
        <v>0.8</v>
      </c>
      <c r="P154">
        <v>1.6</v>
      </c>
      <c r="Q154">
        <v>0.5</v>
      </c>
      <c r="R154">
        <v>0.28599999999999998</v>
      </c>
      <c r="S154">
        <v>0.6</v>
      </c>
      <c r="T154">
        <v>0.8</v>
      </c>
      <c r="U154">
        <v>0.75</v>
      </c>
      <c r="V154">
        <v>0.6</v>
      </c>
      <c r="W154">
        <v>0.8</v>
      </c>
      <c r="X154">
        <v>1.4</v>
      </c>
      <c r="Y154">
        <v>1.2</v>
      </c>
      <c r="Z154">
        <v>0</v>
      </c>
      <c r="AA154">
        <v>0.2</v>
      </c>
      <c r="AB154">
        <v>1.8</v>
      </c>
      <c r="AC154">
        <v>2.4</v>
      </c>
      <c r="AD154">
        <v>2.2000000000000002</v>
      </c>
      <c r="AE154">
        <f t="shared" si="2"/>
        <v>2.2000000000000002</v>
      </c>
      <c r="AF154" t="s">
        <v>927</v>
      </c>
    </row>
    <row r="155" spans="1:32" x14ac:dyDescent="0.25">
      <c r="A155">
        <v>154</v>
      </c>
      <c r="B155" t="s">
        <v>2558</v>
      </c>
      <c r="C155">
        <v>23</v>
      </c>
      <c r="D155" t="s">
        <v>102</v>
      </c>
      <c r="E155" t="s">
        <v>63</v>
      </c>
      <c r="F155">
        <v>1</v>
      </c>
      <c r="G155">
        <v>0</v>
      </c>
      <c r="H155">
        <v>3</v>
      </c>
      <c r="I155">
        <v>0</v>
      </c>
      <c r="J155">
        <v>0</v>
      </c>
      <c r="L155">
        <v>0</v>
      </c>
      <c r="M155">
        <v>0</v>
      </c>
      <c r="O155">
        <v>0</v>
      </c>
      <c r="P155">
        <v>0</v>
      </c>
      <c r="S155">
        <v>2</v>
      </c>
      <c r="T155">
        <v>2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1</v>
      </c>
      <c r="AD155">
        <v>2</v>
      </c>
      <c r="AE155">
        <f t="shared" si="2"/>
        <v>2</v>
      </c>
      <c r="AF155" t="s">
        <v>927</v>
      </c>
    </row>
    <row r="156" spans="1:32" x14ac:dyDescent="0.25">
      <c r="A156">
        <v>155</v>
      </c>
      <c r="B156" t="s">
        <v>2440</v>
      </c>
      <c r="C156">
        <v>32</v>
      </c>
      <c r="D156" t="s">
        <v>105</v>
      </c>
      <c r="E156" t="s">
        <v>63</v>
      </c>
      <c r="F156">
        <v>3</v>
      </c>
      <c r="G156">
        <v>0</v>
      </c>
      <c r="H156">
        <v>4.7</v>
      </c>
      <c r="I156">
        <v>0.7</v>
      </c>
      <c r="J156">
        <v>2.7</v>
      </c>
      <c r="K156">
        <v>0.25</v>
      </c>
      <c r="L156">
        <v>0.3</v>
      </c>
      <c r="M156">
        <v>1.3</v>
      </c>
      <c r="N156">
        <v>0.25</v>
      </c>
      <c r="O156">
        <v>0.3</v>
      </c>
      <c r="P156">
        <v>1.3</v>
      </c>
      <c r="Q156">
        <v>0.25</v>
      </c>
      <c r="R156">
        <v>0.313</v>
      </c>
      <c r="S156">
        <v>0.3</v>
      </c>
      <c r="T156">
        <v>0.7</v>
      </c>
      <c r="U156">
        <v>0.5</v>
      </c>
      <c r="V156">
        <v>0</v>
      </c>
      <c r="W156">
        <v>0.7</v>
      </c>
      <c r="X156">
        <v>0.7</v>
      </c>
      <c r="Y156">
        <v>0.3</v>
      </c>
      <c r="Z156">
        <v>0</v>
      </c>
      <c r="AA156">
        <v>0</v>
      </c>
      <c r="AB156">
        <v>0.3</v>
      </c>
      <c r="AC156">
        <v>0.3</v>
      </c>
      <c r="AD156">
        <v>2</v>
      </c>
      <c r="AE156">
        <f t="shared" si="2"/>
        <v>1.9999999999999998</v>
      </c>
      <c r="AF156" t="s">
        <v>927</v>
      </c>
    </row>
    <row r="157" spans="1:32" x14ac:dyDescent="0.25">
      <c r="A157">
        <v>156</v>
      </c>
      <c r="B157" t="s">
        <v>2620</v>
      </c>
      <c r="C157">
        <v>26</v>
      </c>
      <c r="D157" t="s">
        <v>102</v>
      </c>
      <c r="E157" t="s">
        <v>72</v>
      </c>
      <c r="F157">
        <v>1</v>
      </c>
      <c r="G157">
        <v>0</v>
      </c>
      <c r="H157">
        <v>3</v>
      </c>
      <c r="I157">
        <v>1</v>
      </c>
      <c r="J157">
        <v>1</v>
      </c>
      <c r="K157">
        <v>1</v>
      </c>
      <c r="L157">
        <v>0</v>
      </c>
      <c r="M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f t="shared" si="2"/>
        <v>2</v>
      </c>
      <c r="AF157" t="s">
        <v>927</v>
      </c>
    </row>
    <row r="158" spans="1:32" x14ac:dyDescent="0.25">
      <c r="A158">
        <v>157</v>
      </c>
      <c r="B158" t="s">
        <v>2695</v>
      </c>
      <c r="C158">
        <v>23</v>
      </c>
      <c r="D158" t="s">
        <v>48</v>
      </c>
      <c r="E158" t="s">
        <v>47</v>
      </c>
      <c r="F158">
        <v>1</v>
      </c>
      <c r="G158">
        <v>0</v>
      </c>
      <c r="H158">
        <v>8</v>
      </c>
      <c r="I158">
        <v>1</v>
      </c>
      <c r="J158">
        <v>2</v>
      </c>
      <c r="K158">
        <v>0.5</v>
      </c>
      <c r="L158">
        <v>0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0.5</v>
      </c>
      <c r="S158">
        <v>0</v>
      </c>
      <c r="T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2</v>
      </c>
      <c r="AC158">
        <v>0</v>
      </c>
      <c r="AD158">
        <v>2</v>
      </c>
      <c r="AE158">
        <f t="shared" si="2"/>
        <v>2</v>
      </c>
      <c r="AF158" t="s">
        <v>927</v>
      </c>
    </row>
    <row r="159" spans="1:32" x14ac:dyDescent="0.25">
      <c r="A159">
        <v>158</v>
      </c>
      <c r="B159" t="s">
        <v>2656</v>
      </c>
      <c r="C159">
        <v>33</v>
      </c>
      <c r="D159" t="s">
        <v>1014</v>
      </c>
      <c r="E159" t="s">
        <v>93</v>
      </c>
      <c r="F159">
        <v>1</v>
      </c>
      <c r="G159">
        <v>0</v>
      </c>
      <c r="H159">
        <v>5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R159">
        <v>0</v>
      </c>
      <c r="S159">
        <v>2</v>
      </c>
      <c r="T159">
        <v>2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2</v>
      </c>
      <c r="AE159">
        <f t="shared" si="2"/>
        <v>2</v>
      </c>
      <c r="AF159" t="s">
        <v>927</v>
      </c>
    </row>
    <row r="160" spans="1:32" x14ac:dyDescent="0.25">
      <c r="A160">
        <v>159</v>
      </c>
      <c r="B160" t="s">
        <v>2477</v>
      </c>
      <c r="C160">
        <v>29</v>
      </c>
      <c r="D160" t="s">
        <v>65</v>
      </c>
      <c r="E160" t="s">
        <v>72</v>
      </c>
      <c r="F160">
        <v>1</v>
      </c>
      <c r="G160">
        <v>0</v>
      </c>
      <c r="H160">
        <v>5</v>
      </c>
      <c r="I160">
        <v>1</v>
      </c>
      <c r="J160">
        <v>2</v>
      </c>
      <c r="K160">
        <v>0.5</v>
      </c>
      <c r="L160">
        <v>0</v>
      </c>
      <c r="M160">
        <v>0</v>
      </c>
      <c r="O160">
        <v>1</v>
      </c>
      <c r="P160">
        <v>2</v>
      </c>
      <c r="Q160">
        <v>0.5</v>
      </c>
      <c r="R160">
        <v>0.5</v>
      </c>
      <c r="S160">
        <v>0</v>
      </c>
      <c r="T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f t="shared" si="2"/>
        <v>2</v>
      </c>
      <c r="AF160" t="s">
        <v>927</v>
      </c>
    </row>
    <row r="161" spans="1:32" x14ac:dyDescent="0.25">
      <c r="A161">
        <v>160</v>
      </c>
      <c r="B161" t="s">
        <v>2444</v>
      </c>
      <c r="C161">
        <v>23</v>
      </c>
      <c r="D161" t="s">
        <v>170</v>
      </c>
      <c r="E161" t="s">
        <v>63</v>
      </c>
      <c r="F161">
        <v>4</v>
      </c>
      <c r="G161">
        <v>0</v>
      </c>
      <c r="H161">
        <v>12.8</v>
      </c>
      <c r="I161">
        <v>0.8</v>
      </c>
      <c r="J161">
        <v>2.5</v>
      </c>
      <c r="K161">
        <v>0.3</v>
      </c>
      <c r="L161">
        <v>0.5</v>
      </c>
      <c r="M161">
        <v>2.2999999999999998</v>
      </c>
      <c r="N161">
        <v>0.222</v>
      </c>
      <c r="O161">
        <v>0.3</v>
      </c>
      <c r="P161">
        <v>0.3</v>
      </c>
      <c r="Q161">
        <v>1</v>
      </c>
      <c r="R161">
        <v>0.4</v>
      </c>
      <c r="S161">
        <v>0</v>
      </c>
      <c r="T161">
        <v>0</v>
      </c>
      <c r="V161">
        <v>0.8</v>
      </c>
      <c r="W161">
        <v>0.8</v>
      </c>
      <c r="X161">
        <v>1.5</v>
      </c>
      <c r="Y161">
        <v>0.3</v>
      </c>
      <c r="Z161">
        <v>0</v>
      </c>
      <c r="AA161">
        <v>0</v>
      </c>
      <c r="AB161">
        <v>0</v>
      </c>
      <c r="AC161">
        <v>0.8</v>
      </c>
      <c r="AD161">
        <v>2</v>
      </c>
      <c r="AE161">
        <f t="shared" si="2"/>
        <v>2.1</v>
      </c>
      <c r="AF161" t="s">
        <v>927</v>
      </c>
    </row>
    <row r="162" spans="1:32" x14ac:dyDescent="0.25">
      <c r="A162">
        <v>161</v>
      </c>
      <c r="B162" t="s">
        <v>2522</v>
      </c>
      <c r="C162">
        <v>27</v>
      </c>
      <c r="D162" t="s">
        <v>156</v>
      </c>
      <c r="E162" t="s">
        <v>93</v>
      </c>
      <c r="F162">
        <v>2</v>
      </c>
      <c r="G162">
        <v>0</v>
      </c>
      <c r="H162">
        <v>6</v>
      </c>
      <c r="I162">
        <v>1</v>
      </c>
      <c r="J162">
        <v>4.5</v>
      </c>
      <c r="K162">
        <v>0.222</v>
      </c>
      <c r="L162">
        <v>0</v>
      </c>
      <c r="M162">
        <v>1.5</v>
      </c>
      <c r="N162">
        <v>0</v>
      </c>
      <c r="O162">
        <v>1</v>
      </c>
      <c r="P162">
        <v>3</v>
      </c>
      <c r="Q162">
        <v>0.33300000000000002</v>
      </c>
      <c r="R162">
        <v>0.222</v>
      </c>
      <c r="S162">
        <v>0</v>
      </c>
      <c r="T162">
        <v>0</v>
      </c>
      <c r="V162">
        <v>0</v>
      </c>
      <c r="W162">
        <v>2</v>
      </c>
      <c r="X162">
        <v>2</v>
      </c>
      <c r="Y162">
        <v>0.5</v>
      </c>
      <c r="Z162">
        <v>0</v>
      </c>
      <c r="AA162">
        <v>0</v>
      </c>
      <c r="AB162">
        <v>0.5</v>
      </c>
      <c r="AC162">
        <v>0.5</v>
      </c>
      <c r="AD162">
        <v>2</v>
      </c>
      <c r="AE162">
        <f t="shared" si="2"/>
        <v>2</v>
      </c>
      <c r="AF162" t="s">
        <v>927</v>
      </c>
    </row>
    <row r="163" spans="1:32" x14ac:dyDescent="0.25">
      <c r="A163">
        <v>162</v>
      </c>
      <c r="B163" t="s">
        <v>2376</v>
      </c>
      <c r="C163">
        <v>23</v>
      </c>
      <c r="D163" t="s">
        <v>97</v>
      </c>
      <c r="E163" t="s">
        <v>72</v>
      </c>
      <c r="F163">
        <v>1</v>
      </c>
      <c r="G163">
        <v>0</v>
      </c>
      <c r="H163">
        <v>19</v>
      </c>
      <c r="I163">
        <v>1</v>
      </c>
      <c r="J163">
        <v>2</v>
      </c>
      <c r="K163">
        <v>0.5</v>
      </c>
      <c r="L163">
        <v>0</v>
      </c>
      <c r="M163">
        <v>0</v>
      </c>
      <c r="O163">
        <v>1</v>
      </c>
      <c r="P163">
        <v>2</v>
      </c>
      <c r="Q163">
        <v>0.5</v>
      </c>
      <c r="R163">
        <v>0.5</v>
      </c>
      <c r="S163">
        <v>0</v>
      </c>
      <c r="T163">
        <v>0</v>
      </c>
      <c r="V163">
        <v>1</v>
      </c>
      <c r="W163">
        <v>4</v>
      </c>
      <c r="X163">
        <v>5</v>
      </c>
      <c r="Y163">
        <v>1</v>
      </c>
      <c r="Z163">
        <v>0</v>
      </c>
      <c r="AA163">
        <v>2</v>
      </c>
      <c r="AB163">
        <v>0</v>
      </c>
      <c r="AC163">
        <v>5</v>
      </c>
      <c r="AD163">
        <v>2</v>
      </c>
      <c r="AE163">
        <f t="shared" si="2"/>
        <v>2</v>
      </c>
      <c r="AF163" t="s">
        <v>927</v>
      </c>
    </row>
    <row r="164" spans="1:32" x14ac:dyDescent="0.25">
      <c r="A164">
        <v>163</v>
      </c>
      <c r="B164" t="s">
        <v>489</v>
      </c>
      <c r="C164">
        <v>33</v>
      </c>
      <c r="D164" t="s">
        <v>85</v>
      </c>
      <c r="E164" t="s">
        <v>72</v>
      </c>
      <c r="F164">
        <v>2</v>
      </c>
      <c r="G164">
        <v>0</v>
      </c>
      <c r="H164">
        <v>8.5</v>
      </c>
      <c r="I164">
        <v>1</v>
      </c>
      <c r="J164">
        <v>2</v>
      </c>
      <c r="K164">
        <v>0.5</v>
      </c>
      <c r="L164">
        <v>0</v>
      </c>
      <c r="M164">
        <v>0</v>
      </c>
      <c r="O164">
        <v>1</v>
      </c>
      <c r="P164">
        <v>2</v>
      </c>
      <c r="Q164">
        <v>0.5</v>
      </c>
      <c r="R164">
        <v>0.5</v>
      </c>
      <c r="S164">
        <v>0</v>
      </c>
      <c r="T164">
        <v>0.5</v>
      </c>
      <c r="U164">
        <v>0</v>
      </c>
      <c r="V164">
        <v>1</v>
      </c>
      <c r="W164">
        <v>3.5</v>
      </c>
      <c r="X164">
        <v>4.5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2</v>
      </c>
      <c r="AE164">
        <f t="shared" si="2"/>
        <v>2</v>
      </c>
      <c r="AF164" t="s">
        <v>927</v>
      </c>
    </row>
    <row r="165" spans="1:32" x14ac:dyDescent="0.25">
      <c r="A165">
        <v>164</v>
      </c>
      <c r="B165" t="s">
        <v>2316</v>
      </c>
      <c r="C165">
        <v>27</v>
      </c>
      <c r="D165" t="s">
        <v>170</v>
      </c>
      <c r="E165" t="s">
        <v>72</v>
      </c>
      <c r="F165">
        <v>6</v>
      </c>
      <c r="G165">
        <v>0</v>
      </c>
      <c r="H165">
        <v>9.1999999999999993</v>
      </c>
      <c r="I165">
        <v>0.5</v>
      </c>
      <c r="J165">
        <v>1.2</v>
      </c>
      <c r="K165">
        <v>0.42899999999999999</v>
      </c>
      <c r="L165">
        <v>0.3</v>
      </c>
      <c r="M165">
        <v>0.8</v>
      </c>
      <c r="N165">
        <v>0.4</v>
      </c>
      <c r="O165">
        <v>0.2</v>
      </c>
      <c r="P165">
        <v>0.3</v>
      </c>
      <c r="Q165">
        <v>0.5</v>
      </c>
      <c r="R165">
        <v>0.57099999999999995</v>
      </c>
      <c r="S165">
        <v>0.5</v>
      </c>
      <c r="T165">
        <v>0.7</v>
      </c>
      <c r="U165">
        <v>0.75</v>
      </c>
      <c r="V165">
        <v>0.7</v>
      </c>
      <c r="W165">
        <v>1.3</v>
      </c>
      <c r="X165">
        <v>2</v>
      </c>
      <c r="Y165">
        <v>0.5</v>
      </c>
      <c r="Z165">
        <v>0.3</v>
      </c>
      <c r="AA165">
        <v>0.5</v>
      </c>
      <c r="AB165">
        <v>0.8</v>
      </c>
      <c r="AC165">
        <v>0.8</v>
      </c>
      <c r="AD165">
        <v>1.8</v>
      </c>
      <c r="AE165">
        <f t="shared" si="2"/>
        <v>1.7999999999999998</v>
      </c>
      <c r="AF165" t="s">
        <v>927</v>
      </c>
    </row>
    <row r="166" spans="1:32" x14ac:dyDescent="0.25">
      <c r="A166">
        <v>165</v>
      </c>
      <c r="B166" t="s">
        <v>293</v>
      </c>
      <c r="C166">
        <v>24</v>
      </c>
      <c r="D166" t="s">
        <v>1014</v>
      </c>
      <c r="E166" t="s">
        <v>72</v>
      </c>
      <c r="F166">
        <v>4</v>
      </c>
      <c r="G166">
        <v>4</v>
      </c>
      <c r="H166">
        <v>7.8</v>
      </c>
      <c r="I166">
        <v>0.8</v>
      </c>
      <c r="J166">
        <v>2</v>
      </c>
      <c r="K166">
        <v>0.375</v>
      </c>
      <c r="L166">
        <v>0</v>
      </c>
      <c r="M166">
        <v>0</v>
      </c>
      <c r="O166">
        <v>0.8</v>
      </c>
      <c r="P166">
        <v>2</v>
      </c>
      <c r="Q166">
        <v>0.375</v>
      </c>
      <c r="R166">
        <v>0.375</v>
      </c>
      <c r="S166">
        <v>0.3</v>
      </c>
      <c r="T166">
        <v>0.5</v>
      </c>
      <c r="U166">
        <v>0.5</v>
      </c>
      <c r="V166">
        <v>1.3</v>
      </c>
      <c r="W166">
        <v>0.8</v>
      </c>
      <c r="X166">
        <v>2</v>
      </c>
      <c r="Y166">
        <v>0.3</v>
      </c>
      <c r="Z166">
        <v>0</v>
      </c>
      <c r="AA166">
        <v>0.3</v>
      </c>
      <c r="AB166">
        <v>0.3</v>
      </c>
      <c r="AC166">
        <v>2</v>
      </c>
      <c r="AD166">
        <v>1.8</v>
      </c>
      <c r="AE166">
        <f t="shared" si="2"/>
        <v>1.9000000000000001</v>
      </c>
      <c r="AF166" t="s">
        <v>927</v>
      </c>
    </row>
    <row r="167" spans="1:32" x14ac:dyDescent="0.25">
      <c r="A167">
        <v>166</v>
      </c>
      <c r="B167" t="s">
        <v>2345</v>
      </c>
      <c r="C167">
        <v>19</v>
      </c>
      <c r="D167" t="s">
        <v>97</v>
      </c>
      <c r="E167" t="s">
        <v>47</v>
      </c>
      <c r="F167">
        <v>5</v>
      </c>
      <c r="G167">
        <v>0</v>
      </c>
      <c r="H167">
        <v>6.8</v>
      </c>
      <c r="I167">
        <v>0</v>
      </c>
      <c r="J167">
        <v>1</v>
      </c>
      <c r="K167">
        <v>0</v>
      </c>
      <c r="L167">
        <v>0</v>
      </c>
      <c r="M167">
        <v>0.6</v>
      </c>
      <c r="N167">
        <v>0</v>
      </c>
      <c r="O167">
        <v>0</v>
      </c>
      <c r="P167">
        <v>0.4</v>
      </c>
      <c r="Q167">
        <v>0</v>
      </c>
      <c r="R167">
        <v>0</v>
      </c>
      <c r="S167">
        <v>1.8</v>
      </c>
      <c r="T167">
        <v>2</v>
      </c>
      <c r="U167">
        <v>0.9</v>
      </c>
      <c r="V167">
        <v>0.6</v>
      </c>
      <c r="W167">
        <v>0.6</v>
      </c>
      <c r="X167">
        <v>1.2</v>
      </c>
      <c r="Y167">
        <v>0</v>
      </c>
      <c r="Z167">
        <v>0</v>
      </c>
      <c r="AA167">
        <v>0.2</v>
      </c>
      <c r="AB167">
        <v>1.2</v>
      </c>
      <c r="AC167">
        <v>1</v>
      </c>
      <c r="AD167">
        <v>1.8</v>
      </c>
      <c r="AE167">
        <f t="shared" si="2"/>
        <v>1.8</v>
      </c>
      <c r="AF167" t="s">
        <v>927</v>
      </c>
    </row>
    <row r="168" spans="1:32" x14ac:dyDescent="0.25">
      <c r="A168">
        <v>167</v>
      </c>
      <c r="B168" t="s">
        <v>2797</v>
      </c>
      <c r="C168">
        <v>19</v>
      </c>
      <c r="D168" t="s">
        <v>79</v>
      </c>
      <c r="E168" t="s">
        <v>63</v>
      </c>
      <c r="F168">
        <v>3</v>
      </c>
      <c r="G168">
        <v>0</v>
      </c>
      <c r="H168">
        <v>4.3</v>
      </c>
      <c r="I168">
        <v>0.7</v>
      </c>
      <c r="J168">
        <v>1</v>
      </c>
      <c r="K168">
        <v>0.66700000000000004</v>
      </c>
      <c r="L168">
        <v>0.3</v>
      </c>
      <c r="M168">
        <v>0.7</v>
      </c>
      <c r="N168">
        <v>0.5</v>
      </c>
      <c r="O168">
        <v>0.3</v>
      </c>
      <c r="P168">
        <v>0.3</v>
      </c>
      <c r="Q168">
        <v>1</v>
      </c>
      <c r="R168">
        <v>0.83299999999999996</v>
      </c>
      <c r="S168">
        <v>0</v>
      </c>
      <c r="T168">
        <v>0</v>
      </c>
      <c r="V168">
        <v>0</v>
      </c>
      <c r="W168">
        <v>0.7</v>
      </c>
      <c r="X168">
        <v>0.7</v>
      </c>
      <c r="Y168">
        <v>0</v>
      </c>
      <c r="Z168">
        <v>0.3</v>
      </c>
      <c r="AA168">
        <v>0</v>
      </c>
      <c r="AB168">
        <v>0.3</v>
      </c>
      <c r="AC168">
        <v>0</v>
      </c>
      <c r="AD168">
        <v>1.7</v>
      </c>
      <c r="AE168">
        <f t="shared" si="2"/>
        <v>1.6999999999999997</v>
      </c>
      <c r="AF168" t="s">
        <v>927</v>
      </c>
    </row>
    <row r="169" spans="1:32" x14ac:dyDescent="0.25">
      <c r="A169">
        <v>168</v>
      </c>
      <c r="B169" t="s">
        <v>2502</v>
      </c>
      <c r="C169">
        <v>28</v>
      </c>
      <c r="D169" t="s">
        <v>1223</v>
      </c>
      <c r="E169" t="s">
        <v>72</v>
      </c>
      <c r="F169">
        <v>7</v>
      </c>
      <c r="G169">
        <v>0</v>
      </c>
      <c r="H169">
        <v>9.3000000000000007</v>
      </c>
      <c r="I169">
        <v>0.7</v>
      </c>
      <c r="J169">
        <v>1.7</v>
      </c>
      <c r="K169">
        <v>0.41699999999999998</v>
      </c>
      <c r="L169">
        <v>0</v>
      </c>
      <c r="M169">
        <v>0</v>
      </c>
      <c r="O169">
        <v>0.7</v>
      </c>
      <c r="P169">
        <v>1.7</v>
      </c>
      <c r="Q169">
        <v>0.41699999999999998</v>
      </c>
      <c r="R169">
        <v>0.41699999999999998</v>
      </c>
      <c r="S169">
        <v>0.3</v>
      </c>
      <c r="T169">
        <v>0.6</v>
      </c>
      <c r="U169">
        <v>0.5</v>
      </c>
      <c r="V169">
        <v>1</v>
      </c>
      <c r="W169">
        <v>1.9</v>
      </c>
      <c r="X169">
        <v>2.9</v>
      </c>
      <c r="Y169">
        <v>0.4</v>
      </c>
      <c r="Z169">
        <v>0.1</v>
      </c>
      <c r="AA169">
        <v>0.1</v>
      </c>
      <c r="AB169">
        <v>0</v>
      </c>
      <c r="AC169">
        <v>2.2999999999999998</v>
      </c>
      <c r="AD169">
        <v>1.7</v>
      </c>
      <c r="AE169">
        <f t="shared" si="2"/>
        <v>1.7</v>
      </c>
      <c r="AF169" t="s">
        <v>927</v>
      </c>
    </row>
    <row r="170" spans="1:32" x14ac:dyDescent="0.25">
      <c r="A170">
        <v>169</v>
      </c>
      <c r="B170" t="s">
        <v>2311</v>
      </c>
      <c r="C170">
        <v>24</v>
      </c>
      <c r="D170" t="s">
        <v>1223</v>
      </c>
      <c r="E170" t="s">
        <v>72</v>
      </c>
      <c r="F170">
        <v>5</v>
      </c>
      <c r="G170">
        <v>0</v>
      </c>
      <c r="H170">
        <v>4.8</v>
      </c>
      <c r="I170">
        <v>0.8</v>
      </c>
      <c r="J170">
        <v>1</v>
      </c>
      <c r="K170">
        <v>0.8</v>
      </c>
      <c r="L170">
        <v>0</v>
      </c>
      <c r="M170">
        <v>0</v>
      </c>
      <c r="O170">
        <v>0.8</v>
      </c>
      <c r="P170">
        <v>1</v>
      </c>
      <c r="Q170">
        <v>0.8</v>
      </c>
      <c r="R170">
        <v>0.8</v>
      </c>
      <c r="S170">
        <v>0</v>
      </c>
      <c r="T170">
        <v>0.8</v>
      </c>
      <c r="U170">
        <v>0</v>
      </c>
      <c r="V170">
        <v>0.6</v>
      </c>
      <c r="W170">
        <v>1</v>
      </c>
      <c r="X170">
        <v>1.6</v>
      </c>
      <c r="Y170">
        <v>0</v>
      </c>
      <c r="Z170">
        <v>0.2</v>
      </c>
      <c r="AA170">
        <v>0</v>
      </c>
      <c r="AB170">
        <v>0</v>
      </c>
      <c r="AC170">
        <v>1.2</v>
      </c>
      <c r="AD170">
        <v>1.6</v>
      </c>
      <c r="AE170">
        <f t="shared" si="2"/>
        <v>1.6</v>
      </c>
      <c r="AF170" t="s">
        <v>927</v>
      </c>
    </row>
    <row r="171" spans="1:32" x14ac:dyDescent="0.25">
      <c r="A171">
        <v>170</v>
      </c>
      <c r="B171" t="s">
        <v>2537</v>
      </c>
      <c r="C171">
        <v>34</v>
      </c>
      <c r="D171" t="s">
        <v>113</v>
      </c>
      <c r="E171" t="s">
        <v>47</v>
      </c>
      <c r="F171">
        <v>2</v>
      </c>
      <c r="G171">
        <v>0</v>
      </c>
      <c r="H171">
        <v>3</v>
      </c>
      <c r="I171">
        <v>0.5</v>
      </c>
      <c r="J171">
        <v>0.5</v>
      </c>
      <c r="K171">
        <v>1</v>
      </c>
      <c r="L171">
        <v>0.5</v>
      </c>
      <c r="M171">
        <v>0.5</v>
      </c>
      <c r="N171">
        <v>1</v>
      </c>
      <c r="O171">
        <v>0</v>
      </c>
      <c r="P171">
        <v>0</v>
      </c>
      <c r="R171">
        <v>1.5</v>
      </c>
      <c r="S171">
        <v>0</v>
      </c>
      <c r="T171">
        <v>0</v>
      </c>
      <c r="V171">
        <v>0</v>
      </c>
      <c r="W171">
        <v>0</v>
      </c>
      <c r="X171">
        <v>0</v>
      </c>
      <c r="Y171">
        <v>0</v>
      </c>
      <c r="Z171">
        <v>0.5</v>
      </c>
      <c r="AA171">
        <v>0</v>
      </c>
      <c r="AB171">
        <v>0.5</v>
      </c>
      <c r="AC171">
        <v>0</v>
      </c>
      <c r="AD171">
        <v>1.5</v>
      </c>
      <c r="AE171">
        <f t="shared" si="2"/>
        <v>1.5</v>
      </c>
      <c r="AF171" t="s">
        <v>927</v>
      </c>
    </row>
    <row r="172" spans="1:32" x14ac:dyDescent="0.25">
      <c r="A172">
        <v>171</v>
      </c>
      <c r="B172" t="s">
        <v>2654</v>
      </c>
      <c r="C172">
        <v>30</v>
      </c>
      <c r="D172" t="s">
        <v>142</v>
      </c>
      <c r="E172" t="s">
        <v>63</v>
      </c>
      <c r="F172">
        <v>5</v>
      </c>
      <c r="G172">
        <v>0</v>
      </c>
      <c r="H172">
        <v>16.600000000000001</v>
      </c>
      <c r="I172">
        <v>0.6</v>
      </c>
      <c r="J172">
        <v>1.6</v>
      </c>
      <c r="K172">
        <v>0.375</v>
      </c>
      <c r="L172">
        <v>0.2</v>
      </c>
      <c r="M172">
        <v>1.2</v>
      </c>
      <c r="N172">
        <v>0.16700000000000001</v>
      </c>
      <c r="O172">
        <v>0.4</v>
      </c>
      <c r="P172">
        <v>0.4</v>
      </c>
      <c r="Q172">
        <v>1</v>
      </c>
      <c r="R172">
        <v>0.438</v>
      </c>
      <c r="S172">
        <v>0</v>
      </c>
      <c r="T172">
        <v>0</v>
      </c>
      <c r="V172">
        <v>0.2</v>
      </c>
      <c r="W172">
        <v>0.8</v>
      </c>
      <c r="X172">
        <v>1</v>
      </c>
      <c r="Y172">
        <v>0.6</v>
      </c>
      <c r="Z172">
        <v>0.6</v>
      </c>
      <c r="AA172">
        <v>0.2</v>
      </c>
      <c r="AB172">
        <v>0</v>
      </c>
      <c r="AC172">
        <v>1.4</v>
      </c>
      <c r="AD172">
        <v>1.4</v>
      </c>
      <c r="AE172">
        <f t="shared" si="2"/>
        <v>1.4</v>
      </c>
      <c r="AF172" t="s">
        <v>927</v>
      </c>
    </row>
    <row r="173" spans="1:32" x14ac:dyDescent="0.25">
      <c r="A173">
        <v>172</v>
      </c>
      <c r="B173" t="s">
        <v>2570</v>
      </c>
      <c r="C173">
        <v>25</v>
      </c>
      <c r="D173" t="s">
        <v>1014</v>
      </c>
      <c r="E173" t="s">
        <v>93</v>
      </c>
      <c r="F173">
        <v>5</v>
      </c>
      <c r="G173">
        <v>0</v>
      </c>
      <c r="H173">
        <v>12</v>
      </c>
      <c r="I173">
        <v>0.4</v>
      </c>
      <c r="J173">
        <v>1.2</v>
      </c>
      <c r="K173">
        <v>0.33300000000000002</v>
      </c>
      <c r="L173">
        <v>0</v>
      </c>
      <c r="M173">
        <v>0.2</v>
      </c>
      <c r="N173">
        <v>0</v>
      </c>
      <c r="O173">
        <v>0.4</v>
      </c>
      <c r="P173">
        <v>1</v>
      </c>
      <c r="Q173">
        <v>0.4</v>
      </c>
      <c r="R173">
        <v>0.33300000000000002</v>
      </c>
      <c r="S173">
        <v>0.6</v>
      </c>
      <c r="T173">
        <v>0.8</v>
      </c>
      <c r="U173">
        <v>0.75</v>
      </c>
      <c r="V173">
        <v>0.8</v>
      </c>
      <c r="W173">
        <v>3</v>
      </c>
      <c r="X173">
        <v>3.8</v>
      </c>
      <c r="Y173">
        <v>1</v>
      </c>
      <c r="Z173">
        <v>0.6</v>
      </c>
      <c r="AA173">
        <v>0.2</v>
      </c>
      <c r="AB173">
        <v>0.6</v>
      </c>
      <c r="AC173">
        <v>1.8</v>
      </c>
      <c r="AD173">
        <v>1.4</v>
      </c>
      <c r="AE173">
        <f t="shared" si="2"/>
        <v>1.4</v>
      </c>
      <c r="AF173" t="s">
        <v>927</v>
      </c>
    </row>
    <row r="174" spans="1:32" x14ac:dyDescent="0.25">
      <c r="A174">
        <v>173</v>
      </c>
      <c r="B174" t="s">
        <v>2488</v>
      </c>
      <c r="C174">
        <v>27</v>
      </c>
      <c r="D174" t="s">
        <v>79</v>
      </c>
      <c r="E174" t="s">
        <v>72</v>
      </c>
      <c r="F174">
        <v>3</v>
      </c>
      <c r="G174">
        <v>0</v>
      </c>
      <c r="H174">
        <v>4.3</v>
      </c>
      <c r="I174">
        <v>0</v>
      </c>
      <c r="J174">
        <v>0.7</v>
      </c>
      <c r="K174">
        <v>0</v>
      </c>
      <c r="L174">
        <v>0</v>
      </c>
      <c r="M174">
        <v>0</v>
      </c>
      <c r="O174">
        <v>0</v>
      </c>
      <c r="P174">
        <v>0.7</v>
      </c>
      <c r="Q174">
        <v>0</v>
      </c>
      <c r="R174">
        <v>0</v>
      </c>
      <c r="S174">
        <v>1.3</v>
      </c>
      <c r="T174">
        <v>2</v>
      </c>
      <c r="U174">
        <v>0.66700000000000004</v>
      </c>
      <c r="V174">
        <v>0</v>
      </c>
      <c r="W174">
        <v>0.3</v>
      </c>
      <c r="X174">
        <v>0.3</v>
      </c>
      <c r="Y174">
        <v>0</v>
      </c>
      <c r="Z174">
        <v>0</v>
      </c>
      <c r="AA174">
        <v>0</v>
      </c>
      <c r="AB174">
        <v>0</v>
      </c>
      <c r="AC174">
        <v>0.7</v>
      </c>
      <c r="AD174">
        <v>1.3</v>
      </c>
      <c r="AE174">
        <f t="shared" si="2"/>
        <v>1.3</v>
      </c>
      <c r="AF174" t="s">
        <v>927</v>
      </c>
    </row>
    <row r="175" spans="1:32" x14ac:dyDescent="0.25">
      <c r="A175">
        <v>174</v>
      </c>
      <c r="B175" t="s">
        <v>2138</v>
      </c>
      <c r="C175">
        <v>23</v>
      </c>
      <c r="D175" t="s">
        <v>133</v>
      </c>
      <c r="E175" t="s">
        <v>47</v>
      </c>
      <c r="F175">
        <v>3</v>
      </c>
      <c r="G175">
        <v>0</v>
      </c>
      <c r="H175">
        <v>6.3</v>
      </c>
      <c r="I175">
        <v>0.3</v>
      </c>
      <c r="J175">
        <v>2</v>
      </c>
      <c r="K175">
        <v>0.16700000000000001</v>
      </c>
      <c r="L175">
        <v>0</v>
      </c>
      <c r="M175">
        <v>0.7</v>
      </c>
      <c r="N175">
        <v>0</v>
      </c>
      <c r="O175">
        <v>0.3</v>
      </c>
      <c r="P175">
        <v>1.3</v>
      </c>
      <c r="Q175">
        <v>0.25</v>
      </c>
      <c r="R175">
        <v>0.16700000000000001</v>
      </c>
      <c r="S175">
        <v>0.7</v>
      </c>
      <c r="T175">
        <v>0.7</v>
      </c>
      <c r="U175">
        <v>1</v>
      </c>
      <c r="V175">
        <v>1</v>
      </c>
      <c r="W175">
        <v>0.3</v>
      </c>
      <c r="X175">
        <v>1.3</v>
      </c>
      <c r="Y175">
        <v>0.3</v>
      </c>
      <c r="Z175">
        <v>0</v>
      </c>
      <c r="AA175">
        <v>0</v>
      </c>
      <c r="AB175">
        <v>0.3</v>
      </c>
      <c r="AC175">
        <v>0.3</v>
      </c>
      <c r="AD175">
        <v>1.3</v>
      </c>
      <c r="AE175">
        <f t="shared" si="2"/>
        <v>1.2999999999999998</v>
      </c>
      <c r="AF175" t="s">
        <v>927</v>
      </c>
    </row>
    <row r="176" spans="1:32" x14ac:dyDescent="0.25">
      <c r="A176">
        <v>175</v>
      </c>
      <c r="B176" t="s">
        <v>487</v>
      </c>
      <c r="C176">
        <v>24</v>
      </c>
      <c r="D176" t="s">
        <v>85</v>
      </c>
      <c r="E176" t="s">
        <v>56</v>
      </c>
      <c r="F176">
        <v>3</v>
      </c>
      <c r="G176">
        <v>0</v>
      </c>
      <c r="H176">
        <v>6.3</v>
      </c>
      <c r="I176">
        <v>0.7</v>
      </c>
      <c r="J176">
        <v>1.7</v>
      </c>
      <c r="K176">
        <v>0.4</v>
      </c>
      <c r="L176">
        <v>0</v>
      </c>
      <c r="M176">
        <v>0.3</v>
      </c>
      <c r="N176">
        <v>0</v>
      </c>
      <c r="O176">
        <v>0.7</v>
      </c>
      <c r="P176">
        <v>1.3</v>
      </c>
      <c r="Q176">
        <v>0.5</v>
      </c>
      <c r="R176">
        <v>0.4</v>
      </c>
      <c r="S176">
        <v>0</v>
      </c>
      <c r="T176">
        <v>0</v>
      </c>
      <c r="V176">
        <v>0.7</v>
      </c>
      <c r="W176">
        <v>0.3</v>
      </c>
      <c r="X176">
        <v>1</v>
      </c>
      <c r="Y176">
        <v>1.7</v>
      </c>
      <c r="Z176">
        <v>0.3</v>
      </c>
      <c r="AA176">
        <v>0.3</v>
      </c>
      <c r="AB176">
        <v>0.7</v>
      </c>
      <c r="AC176">
        <v>0.7</v>
      </c>
      <c r="AD176">
        <v>1.3</v>
      </c>
      <c r="AE176">
        <f t="shared" si="2"/>
        <v>1.4</v>
      </c>
      <c r="AF176" t="s">
        <v>927</v>
      </c>
    </row>
    <row r="177" spans="1:32" x14ac:dyDescent="0.25">
      <c r="A177">
        <v>176</v>
      </c>
      <c r="B177" t="s">
        <v>2561</v>
      </c>
      <c r="C177">
        <v>22</v>
      </c>
      <c r="D177" t="s">
        <v>142</v>
      </c>
      <c r="E177" t="s">
        <v>47</v>
      </c>
      <c r="F177">
        <v>5</v>
      </c>
      <c r="G177">
        <v>0</v>
      </c>
      <c r="H177">
        <v>9.4</v>
      </c>
      <c r="I177">
        <v>0.4</v>
      </c>
      <c r="J177">
        <v>2.8</v>
      </c>
      <c r="K177">
        <v>0.14299999999999999</v>
      </c>
      <c r="L177">
        <v>0.4</v>
      </c>
      <c r="M177">
        <v>2</v>
      </c>
      <c r="N177">
        <v>0.2</v>
      </c>
      <c r="O177">
        <v>0</v>
      </c>
      <c r="P177">
        <v>0.8</v>
      </c>
      <c r="Q177">
        <v>0</v>
      </c>
      <c r="R177">
        <v>0.214</v>
      </c>
      <c r="S177">
        <v>0</v>
      </c>
      <c r="T177">
        <v>0</v>
      </c>
      <c r="V177">
        <v>0.4</v>
      </c>
      <c r="W177">
        <v>0.4</v>
      </c>
      <c r="X177">
        <v>0.8</v>
      </c>
      <c r="Y177">
        <v>0.2</v>
      </c>
      <c r="Z177">
        <v>0</v>
      </c>
      <c r="AA177">
        <v>0.2</v>
      </c>
      <c r="AB177">
        <v>0.4</v>
      </c>
      <c r="AC177">
        <v>0.6</v>
      </c>
      <c r="AD177">
        <v>1.2</v>
      </c>
      <c r="AE177">
        <f t="shared" si="2"/>
        <v>1.2000000000000002</v>
      </c>
      <c r="AF177" t="s">
        <v>927</v>
      </c>
    </row>
    <row r="178" spans="1:32" x14ac:dyDescent="0.25">
      <c r="A178">
        <v>177</v>
      </c>
      <c r="B178" t="s">
        <v>245</v>
      </c>
      <c r="C178">
        <v>30</v>
      </c>
      <c r="D178" t="s">
        <v>105</v>
      </c>
      <c r="E178" t="s">
        <v>47</v>
      </c>
      <c r="F178">
        <v>5</v>
      </c>
      <c r="G178">
        <v>2</v>
      </c>
      <c r="H178">
        <v>12.2</v>
      </c>
      <c r="I178">
        <v>0.4</v>
      </c>
      <c r="J178">
        <v>2</v>
      </c>
      <c r="K178">
        <v>0.2</v>
      </c>
      <c r="L178">
        <v>0.4</v>
      </c>
      <c r="M178">
        <v>1.8</v>
      </c>
      <c r="N178">
        <v>0.222</v>
      </c>
      <c r="O178">
        <v>0</v>
      </c>
      <c r="P178">
        <v>0.2</v>
      </c>
      <c r="Q178">
        <v>0</v>
      </c>
      <c r="R178">
        <v>0.3</v>
      </c>
      <c r="S178">
        <v>0</v>
      </c>
      <c r="T178">
        <v>0</v>
      </c>
      <c r="V178">
        <v>0</v>
      </c>
      <c r="W178">
        <v>1</v>
      </c>
      <c r="X178">
        <v>1</v>
      </c>
      <c r="Y178">
        <v>1.6</v>
      </c>
      <c r="Z178">
        <v>0.4</v>
      </c>
      <c r="AA178">
        <v>0.2</v>
      </c>
      <c r="AB178">
        <v>1</v>
      </c>
      <c r="AC178">
        <v>0.6</v>
      </c>
      <c r="AD178">
        <v>1.2</v>
      </c>
      <c r="AE178">
        <f t="shared" si="2"/>
        <v>1.2000000000000002</v>
      </c>
      <c r="AF178" t="s">
        <v>927</v>
      </c>
    </row>
    <row r="179" spans="1:32" x14ac:dyDescent="0.25">
      <c r="A179">
        <v>178</v>
      </c>
      <c r="B179" t="s">
        <v>2424</v>
      </c>
      <c r="C179">
        <v>38</v>
      </c>
      <c r="D179" t="s">
        <v>65</v>
      </c>
      <c r="E179" t="s">
        <v>93</v>
      </c>
      <c r="F179">
        <v>3</v>
      </c>
      <c r="G179">
        <v>0</v>
      </c>
      <c r="H179">
        <v>1.7</v>
      </c>
      <c r="I179">
        <v>0.3</v>
      </c>
      <c r="J179">
        <v>1</v>
      </c>
      <c r="K179">
        <v>0.33300000000000002</v>
      </c>
      <c r="L179">
        <v>0.3</v>
      </c>
      <c r="M179">
        <v>0.3</v>
      </c>
      <c r="N179">
        <v>1</v>
      </c>
      <c r="O179">
        <v>0</v>
      </c>
      <c r="P179">
        <v>0.7</v>
      </c>
      <c r="Q179">
        <v>0</v>
      </c>
      <c r="R179">
        <v>0.5</v>
      </c>
      <c r="S179">
        <v>0</v>
      </c>
      <c r="T179">
        <v>0</v>
      </c>
      <c r="V179">
        <v>0.3</v>
      </c>
      <c r="W179">
        <v>0</v>
      </c>
      <c r="X179">
        <v>0.3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f t="shared" si="2"/>
        <v>0.89999999999999991</v>
      </c>
      <c r="AF179" t="s">
        <v>927</v>
      </c>
    </row>
    <row r="180" spans="1:32" x14ac:dyDescent="0.25">
      <c r="A180">
        <v>179</v>
      </c>
      <c r="B180" t="s">
        <v>2677</v>
      </c>
      <c r="C180">
        <v>23</v>
      </c>
      <c r="D180" t="s">
        <v>133</v>
      </c>
      <c r="E180" t="s">
        <v>47</v>
      </c>
      <c r="F180">
        <v>2</v>
      </c>
      <c r="G180">
        <v>0</v>
      </c>
      <c r="H180">
        <v>4</v>
      </c>
      <c r="I180">
        <v>0.5</v>
      </c>
      <c r="J180">
        <v>0.5</v>
      </c>
      <c r="K180">
        <v>1</v>
      </c>
      <c r="L180">
        <v>0</v>
      </c>
      <c r="M180">
        <v>0</v>
      </c>
      <c r="O180">
        <v>0.5</v>
      </c>
      <c r="P180">
        <v>0.5</v>
      </c>
      <c r="Q180">
        <v>1</v>
      </c>
      <c r="R180">
        <v>1</v>
      </c>
      <c r="S180">
        <v>0</v>
      </c>
      <c r="T180">
        <v>0</v>
      </c>
      <c r="V180">
        <v>0.5</v>
      </c>
      <c r="W180">
        <v>0</v>
      </c>
      <c r="X180">
        <v>0.5</v>
      </c>
      <c r="Y180">
        <v>0</v>
      </c>
      <c r="Z180">
        <v>0</v>
      </c>
      <c r="AA180">
        <v>0</v>
      </c>
      <c r="AB180">
        <v>0.5</v>
      </c>
      <c r="AC180">
        <v>0.5</v>
      </c>
      <c r="AD180">
        <v>1</v>
      </c>
      <c r="AE180">
        <f t="shared" si="2"/>
        <v>1</v>
      </c>
      <c r="AF180" t="s">
        <v>927</v>
      </c>
    </row>
    <row r="181" spans="1:32" x14ac:dyDescent="0.25">
      <c r="A181">
        <v>180</v>
      </c>
      <c r="B181" t="s">
        <v>2646</v>
      </c>
      <c r="C181">
        <v>24</v>
      </c>
      <c r="D181" t="s">
        <v>148</v>
      </c>
      <c r="E181" t="s">
        <v>93</v>
      </c>
      <c r="F181">
        <v>3</v>
      </c>
      <c r="G181">
        <v>0</v>
      </c>
      <c r="H181">
        <v>3</v>
      </c>
      <c r="I181">
        <v>0</v>
      </c>
      <c r="J181">
        <v>0.7</v>
      </c>
      <c r="K181">
        <v>0</v>
      </c>
      <c r="L181">
        <v>0</v>
      </c>
      <c r="M181">
        <v>0.7</v>
      </c>
      <c r="N181">
        <v>0</v>
      </c>
      <c r="O181">
        <v>0</v>
      </c>
      <c r="P181">
        <v>0</v>
      </c>
      <c r="R181">
        <v>0</v>
      </c>
      <c r="S181">
        <v>1</v>
      </c>
      <c r="T181">
        <v>1.7</v>
      </c>
      <c r="U181">
        <v>0.6</v>
      </c>
      <c r="V181">
        <v>0.7</v>
      </c>
      <c r="W181">
        <v>0</v>
      </c>
      <c r="X181">
        <v>0.7</v>
      </c>
      <c r="Y181">
        <v>0</v>
      </c>
      <c r="Z181">
        <v>0.3</v>
      </c>
      <c r="AA181">
        <v>0.3</v>
      </c>
      <c r="AB181">
        <v>0.3</v>
      </c>
      <c r="AC181">
        <v>0.7</v>
      </c>
      <c r="AD181">
        <v>1</v>
      </c>
      <c r="AE181">
        <f t="shared" si="2"/>
        <v>1</v>
      </c>
      <c r="AF181" t="s">
        <v>927</v>
      </c>
    </row>
    <row r="182" spans="1:32" x14ac:dyDescent="0.25">
      <c r="A182">
        <v>181</v>
      </c>
      <c r="B182" t="s">
        <v>2089</v>
      </c>
      <c r="C182">
        <v>22</v>
      </c>
      <c r="D182" t="s">
        <v>148</v>
      </c>
      <c r="E182" t="s">
        <v>63</v>
      </c>
      <c r="F182">
        <v>3</v>
      </c>
      <c r="G182">
        <v>0</v>
      </c>
      <c r="H182">
        <v>5.3</v>
      </c>
      <c r="I182">
        <v>0.3</v>
      </c>
      <c r="J182">
        <v>1.3</v>
      </c>
      <c r="K182">
        <v>0.25</v>
      </c>
      <c r="L182">
        <v>0.3</v>
      </c>
      <c r="M182">
        <v>0.3</v>
      </c>
      <c r="N182">
        <v>1</v>
      </c>
      <c r="O182">
        <v>0</v>
      </c>
      <c r="P182">
        <v>1</v>
      </c>
      <c r="Q182">
        <v>0</v>
      </c>
      <c r="R182">
        <v>0.375</v>
      </c>
      <c r="S182">
        <v>0</v>
      </c>
      <c r="T182">
        <v>0</v>
      </c>
      <c r="V182">
        <v>0.3</v>
      </c>
      <c r="W182">
        <v>0</v>
      </c>
      <c r="X182">
        <v>0.3</v>
      </c>
      <c r="Y182">
        <v>0</v>
      </c>
      <c r="Z182">
        <v>0</v>
      </c>
      <c r="AA182">
        <v>0.3</v>
      </c>
      <c r="AB182">
        <v>0</v>
      </c>
      <c r="AC182">
        <v>1.3</v>
      </c>
      <c r="AD182">
        <v>1</v>
      </c>
      <c r="AE182">
        <f t="shared" si="2"/>
        <v>0.89999999999999991</v>
      </c>
      <c r="AF182" t="s">
        <v>927</v>
      </c>
    </row>
    <row r="183" spans="1:32" x14ac:dyDescent="0.25">
      <c r="A183">
        <v>182</v>
      </c>
      <c r="B183" t="s">
        <v>2429</v>
      </c>
      <c r="C183">
        <v>28</v>
      </c>
      <c r="D183" t="s">
        <v>85</v>
      </c>
      <c r="E183" t="s">
        <v>93</v>
      </c>
      <c r="F183">
        <v>5</v>
      </c>
      <c r="G183">
        <v>0</v>
      </c>
      <c r="H183">
        <v>13.6</v>
      </c>
      <c r="I183">
        <v>0.4</v>
      </c>
      <c r="J183">
        <v>1.4</v>
      </c>
      <c r="K183">
        <v>0.28599999999999998</v>
      </c>
      <c r="L183">
        <v>0.2</v>
      </c>
      <c r="M183">
        <v>1</v>
      </c>
      <c r="N183">
        <v>0.2</v>
      </c>
      <c r="O183">
        <v>0.2</v>
      </c>
      <c r="P183">
        <v>0.4</v>
      </c>
      <c r="Q183">
        <v>0.5</v>
      </c>
      <c r="R183">
        <v>0.35699999999999998</v>
      </c>
      <c r="S183">
        <v>0</v>
      </c>
      <c r="T183">
        <v>0</v>
      </c>
      <c r="V183">
        <v>0.4</v>
      </c>
      <c r="W183">
        <v>2.6</v>
      </c>
      <c r="X183">
        <v>3</v>
      </c>
      <c r="Y183">
        <v>0.4</v>
      </c>
      <c r="Z183">
        <v>0.2</v>
      </c>
      <c r="AA183">
        <v>0</v>
      </c>
      <c r="AB183">
        <v>0.2</v>
      </c>
      <c r="AC183">
        <v>0.8</v>
      </c>
      <c r="AD183">
        <v>1</v>
      </c>
      <c r="AE183">
        <f t="shared" si="2"/>
        <v>1</v>
      </c>
      <c r="AF183" t="s">
        <v>927</v>
      </c>
    </row>
    <row r="184" spans="1:32" x14ac:dyDescent="0.25">
      <c r="A184">
        <v>183</v>
      </c>
      <c r="B184" t="s">
        <v>2417</v>
      </c>
      <c r="C184">
        <v>26</v>
      </c>
      <c r="D184" t="s">
        <v>1014</v>
      </c>
      <c r="E184" t="s">
        <v>56</v>
      </c>
      <c r="F184">
        <v>4</v>
      </c>
      <c r="G184">
        <v>0</v>
      </c>
      <c r="H184">
        <v>7.8</v>
      </c>
      <c r="I184">
        <v>0.3</v>
      </c>
      <c r="J184">
        <v>1.3</v>
      </c>
      <c r="K184">
        <v>0.2</v>
      </c>
      <c r="L184">
        <v>0</v>
      </c>
      <c r="M184">
        <v>0.5</v>
      </c>
      <c r="N184">
        <v>0</v>
      </c>
      <c r="O184">
        <v>0.3</v>
      </c>
      <c r="P184">
        <v>0.8</v>
      </c>
      <c r="Q184">
        <v>0.33300000000000002</v>
      </c>
      <c r="R184">
        <v>0.2</v>
      </c>
      <c r="S184">
        <v>0.3</v>
      </c>
      <c r="T184">
        <v>0.5</v>
      </c>
      <c r="U184">
        <v>0.5</v>
      </c>
      <c r="V184">
        <v>0.5</v>
      </c>
      <c r="W184">
        <v>0.8</v>
      </c>
      <c r="X184">
        <v>1.3</v>
      </c>
      <c r="Y184">
        <v>0.5</v>
      </c>
      <c r="Z184">
        <v>0.3</v>
      </c>
      <c r="AA184">
        <v>0.3</v>
      </c>
      <c r="AB184">
        <v>0.3</v>
      </c>
      <c r="AC184">
        <v>1.8</v>
      </c>
      <c r="AD184">
        <v>0.8</v>
      </c>
      <c r="AE184">
        <f t="shared" si="2"/>
        <v>0.89999999999999991</v>
      </c>
      <c r="AF184" t="s">
        <v>927</v>
      </c>
    </row>
    <row r="185" spans="1:32" x14ac:dyDescent="0.25">
      <c r="A185">
        <v>184</v>
      </c>
      <c r="B185" t="s">
        <v>2461</v>
      </c>
      <c r="C185">
        <v>28</v>
      </c>
      <c r="D185" t="s">
        <v>79</v>
      </c>
      <c r="E185" t="s">
        <v>56</v>
      </c>
      <c r="F185">
        <v>5</v>
      </c>
      <c r="G185">
        <v>0</v>
      </c>
      <c r="H185">
        <v>8.4</v>
      </c>
      <c r="I185">
        <v>0.4</v>
      </c>
      <c r="J185">
        <v>1.2</v>
      </c>
      <c r="K185">
        <v>0.33300000000000002</v>
      </c>
      <c r="L185">
        <v>0</v>
      </c>
      <c r="M185">
        <v>0</v>
      </c>
      <c r="O185">
        <v>0.4</v>
      </c>
      <c r="P185">
        <v>1.2</v>
      </c>
      <c r="Q185">
        <v>0.33300000000000002</v>
      </c>
      <c r="R185">
        <v>0.33300000000000002</v>
      </c>
      <c r="S185">
        <v>0</v>
      </c>
      <c r="T185">
        <v>0</v>
      </c>
      <c r="V185">
        <v>0.6</v>
      </c>
      <c r="W185">
        <v>0.8</v>
      </c>
      <c r="X185">
        <v>1.4</v>
      </c>
      <c r="Y185">
        <v>0.8</v>
      </c>
      <c r="Z185">
        <v>0.2</v>
      </c>
      <c r="AA185">
        <v>0.8</v>
      </c>
      <c r="AB185">
        <v>0.4</v>
      </c>
      <c r="AC185">
        <v>2.2000000000000002</v>
      </c>
      <c r="AD185">
        <v>0.8</v>
      </c>
      <c r="AE185">
        <f t="shared" si="2"/>
        <v>0.8</v>
      </c>
      <c r="AF185" t="s">
        <v>927</v>
      </c>
    </row>
    <row r="186" spans="1:32" x14ac:dyDescent="0.25">
      <c r="A186">
        <v>185</v>
      </c>
      <c r="B186" t="s">
        <v>374</v>
      </c>
      <c r="C186">
        <v>25</v>
      </c>
      <c r="D186" t="s">
        <v>142</v>
      </c>
      <c r="E186" t="s">
        <v>72</v>
      </c>
      <c r="F186">
        <v>3</v>
      </c>
      <c r="G186">
        <v>0</v>
      </c>
      <c r="H186">
        <v>3.7</v>
      </c>
      <c r="I186">
        <v>0.3</v>
      </c>
      <c r="J186">
        <v>0.3</v>
      </c>
      <c r="K186">
        <v>1</v>
      </c>
      <c r="L186">
        <v>0</v>
      </c>
      <c r="M186">
        <v>0</v>
      </c>
      <c r="O186">
        <v>0.3</v>
      </c>
      <c r="P186">
        <v>0.3</v>
      </c>
      <c r="Q186">
        <v>1</v>
      </c>
      <c r="R186">
        <v>1</v>
      </c>
      <c r="S186">
        <v>0</v>
      </c>
      <c r="T186">
        <v>0</v>
      </c>
      <c r="V186">
        <v>0</v>
      </c>
      <c r="W186">
        <v>1</v>
      </c>
      <c r="X186">
        <v>1</v>
      </c>
      <c r="Y186">
        <v>0.3</v>
      </c>
      <c r="Z186">
        <v>0</v>
      </c>
      <c r="AA186">
        <v>0.3</v>
      </c>
      <c r="AB186">
        <v>0</v>
      </c>
      <c r="AC186">
        <v>2</v>
      </c>
      <c r="AD186">
        <v>0.7</v>
      </c>
      <c r="AE186">
        <f t="shared" si="2"/>
        <v>0.6</v>
      </c>
      <c r="AF186" t="s">
        <v>927</v>
      </c>
    </row>
    <row r="187" spans="1:32" x14ac:dyDescent="0.25">
      <c r="A187">
        <v>186</v>
      </c>
      <c r="B187" t="s">
        <v>2604</v>
      </c>
      <c r="C187">
        <v>36</v>
      </c>
      <c r="D187" t="s">
        <v>148</v>
      </c>
      <c r="E187" t="s">
        <v>72</v>
      </c>
      <c r="F187">
        <v>6</v>
      </c>
      <c r="G187">
        <v>0</v>
      </c>
      <c r="H187">
        <v>5.5</v>
      </c>
      <c r="I187">
        <v>0.3</v>
      </c>
      <c r="J187">
        <v>0.3</v>
      </c>
      <c r="K187">
        <v>1</v>
      </c>
      <c r="L187">
        <v>0</v>
      </c>
      <c r="M187">
        <v>0</v>
      </c>
      <c r="O187">
        <v>0.3</v>
      </c>
      <c r="P187">
        <v>0.3</v>
      </c>
      <c r="Q187">
        <v>1</v>
      </c>
      <c r="R187">
        <v>1</v>
      </c>
      <c r="S187">
        <v>0</v>
      </c>
      <c r="T187">
        <v>0.7</v>
      </c>
      <c r="U187">
        <v>0</v>
      </c>
      <c r="V187">
        <v>0.2</v>
      </c>
      <c r="W187">
        <v>1.3</v>
      </c>
      <c r="X187">
        <v>1.5</v>
      </c>
      <c r="Y187">
        <v>0.3</v>
      </c>
      <c r="Z187">
        <v>0</v>
      </c>
      <c r="AA187">
        <v>0.2</v>
      </c>
      <c r="AB187">
        <v>0.3</v>
      </c>
      <c r="AC187">
        <v>1.2</v>
      </c>
      <c r="AD187">
        <v>0.7</v>
      </c>
      <c r="AE187">
        <f t="shared" si="2"/>
        <v>0.6</v>
      </c>
      <c r="AF187" t="s">
        <v>927</v>
      </c>
    </row>
    <row r="188" spans="1:32" x14ac:dyDescent="0.25">
      <c r="A188">
        <v>187</v>
      </c>
      <c r="B188" t="s">
        <v>310</v>
      </c>
      <c r="C188">
        <v>25</v>
      </c>
      <c r="D188" t="s">
        <v>148</v>
      </c>
      <c r="E188" t="s">
        <v>63</v>
      </c>
      <c r="F188">
        <v>6</v>
      </c>
      <c r="G188">
        <v>0</v>
      </c>
      <c r="H188">
        <v>5.8</v>
      </c>
      <c r="I188">
        <v>0.3</v>
      </c>
      <c r="J188">
        <v>1.2</v>
      </c>
      <c r="K188">
        <v>0.28599999999999998</v>
      </c>
      <c r="L188">
        <v>0</v>
      </c>
      <c r="M188">
        <v>0.3</v>
      </c>
      <c r="N188">
        <v>0</v>
      </c>
      <c r="O188">
        <v>0.3</v>
      </c>
      <c r="P188">
        <v>0.8</v>
      </c>
      <c r="Q188">
        <v>0.4</v>
      </c>
      <c r="R188">
        <v>0.28599999999999998</v>
      </c>
      <c r="S188">
        <v>0</v>
      </c>
      <c r="T188">
        <v>0</v>
      </c>
      <c r="V188">
        <v>0</v>
      </c>
      <c r="W188">
        <v>0.5</v>
      </c>
      <c r="X188">
        <v>0.5</v>
      </c>
      <c r="Y188">
        <v>0.3</v>
      </c>
      <c r="Z188">
        <v>0</v>
      </c>
      <c r="AA188">
        <v>0</v>
      </c>
      <c r="AB188">
        <v>0.7</v>
      </c>
      <c r="AC188">
        <v>0.5</v>
      </c>
      <c r="AD188">
        <v>0.7</v>
      </c>
      <c r="AE188">
        <f t="shared" si="2"/>
        <v>0.6</v>
      </c>
      <c r="AF188" t="s">
        <v>927</v>
      </c>
    </row>
    <row r="189" spans="1:32" x14ac:dyDescent="0.25">
      <c r="A189">
        <v>188</v>
      </c>
      <c r="B189" t="s">
        <v>2533</v>
      </c>
      <c r="C189">
        <v>24</v>
      </c>
      <c r="D189" t="s">
        <v>102</v>
      </c>
      <c r="E189" t="s">
        <v>63</v>
      </c>
      <c r="F189">
        <v>3</v>
      </c>
      <c r="G189">
        <v>0</v>
      </c>
      <c r="H189">
        <v>4.3</v>
      </c>
      <c r="I189">
        <v>0.3</v>
      </c>
      <c r="J189">
        <v>1</v>
      </c>
      <c r="K189">
        <v>0.33300000000000002</v>
      </c>
      <c r="L189">
        <v>0</v>
      </c>
      <c r="M189">
        <v>0</v>
      </c>
      <c r="O189">
        <v>0.3</v>
      </c>
      <c r="P189">
        <v>1</v>
      </c>
      <c r="Q189">
        <v>0.33300000000000002</v>
      </c>
      <c r="R189">
        <v>0.33300000000000002</v>
      </c>
      <c r="S189">
        <v>0</v>
      </c>
      <c r="T189">
        <v>0</v>
      </c>
      <c r="V189">
        <v>0.3</v>
      </c>
      <c r="W189">
        <v>1.3</v>
      </c>
      <c r="X189">
        <v>1.7</v>
      </c>
      <c r="Y189">
        <v>0.3</v>
      </c>
      <c r="Z189">
        <v>0</v>
      </c>
      <c r="AA189">
        <v>0</v>
      </c>
      <c r="AB189">
        <v>0</v>
      </c>
      <c r="AC189">
        <v>0.3</v>
      </c>
      <c r="AD189">
        <v>0.7</v>
      </c>
      <c r="AE189">
        <f t="shared" si="2"/>
        <v>0.6</v>
      </c>
      <c r="AF189" t="s">
        <v>927</v>
      </c>
    </row>
    <row r="190" spans="1:32" x14ac:dyDescent="0.25">
      <c r="A190">
        <v>189</v>
      </c>
      <c r="B190" t="s">
        <v>2686</v>
      </c>
      <c r="C190">
        <v>24</v>
      </c>
      <c r="D190" t="s">
        <v>148</v>
      </c>
      <c r="E190" t="s">
        <v>93</v>
      </c>
      <c r="F190">
        <v>3</v>
      </c>
      <c r="G190">
        <v>0</v>
      </c>
      <c r="H190">
        <v>3</v>
      </c>
      <c r="I190">
        <v>0.3</v>
      </c>
      <c r="J190">
        <v>1</v>
      </c>
      <c r="K190">
        <v>0.33300000000000002</v>
      </c>
      <c r="L190">
        <v>0</v>
      </c>
      <c r="M190">
        <v>0.7</v>
      </c>
      <c r="N190">
        <v>0</v>
      </c>
      <c r="O190">
        <v>0.3</v>
      </c>
      <c r="P190">
        <v>0.3</v>
      </c>
      <c r="Q190">
        <v>1</v>
      </c>
      <c r="R190">
        <v>0.33300000000000002</v>
      </c>
      <c r="S190">
        <v>0</v>
      </c>
      <c r="T190">
        <v>0</v>
      </c>
      <c r="V190">
        <v>0.3</v>
      </c>
      <c r="W190">
        <v>0</v>
      </c>
      <c r="X190">
        <v>0.3</v>
      </c>
      <c r="Y190">
        <v>0</v>
      </c>
      <c r="Z190">
        <v>0</v>
      </c>
      <c r="AA190">
        <v>0</v>
      </c>
      <c r="AB190">
        <v>0.3</v>
      </c>
      <c r="AC190">
        <v>0</v>
      </c>
      <c r="AD190">
        <v>0.7</v>
      </c>
      <c r="AE190">
        <f t="shared" si="2"/>
        <v>0.6</v>
      </c>
      <c r="AF190" t="s">
        <v>927</v>
      </c>
    </row>
    <row r="191" spans="1:32" x14ac:dyDescent="0.25">
      <c r="A191">
        <v>190</v>
      </c>
      <c r="B191" t="s">
        <v>418</v>
      </c>
      <c r="C191">
        <v>27</v>
      </c>
      <c r="D191" t="s">
        <v>129</v>
      </c>
      <c r="E191" t="s">
        <v>63</v>
      </c>
      <c r="F191">
        <v>4</v>
      </c>
      <c r="G191">
        <v>0</v>
      </c>
      <c r="H191">
        <v>4.8</v>
      </c>
      <c r="I191">
        <v>0.3</v>
      </c>
      <c r="J191">
        <v>0.5</v>
      </c>
      <c r="K191">
        <v>0.5</v>
      </c>
      <c r="L191">
        <v>0</v>
      </c>
      <c r="M191">
        <v>0</v>
      </c>
      <c r="O191">
        <v>0.3</v>
      </c>
      <c r="P191">
        <v>0.5</v>
      </c>
      <c r="Q191">
        <v>0.5</v>
      </c>
      <c r="R191">
        <v>0.5</v>
      </c>
      <c r="S191">
        <v>0</v>
      </c>
      <c r="T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0.5</v>
      </c>
      <c r="AC191">
        <v>0</v>
      </c>
      <c r="AD191">
        <v>0.5</v>
      </c>
      <c r="AE191">
        <f t="shared" si="2"/>
        <v>0.6</v>
      </c>
      <c r="AF191" t="s">
        <v>927</v>
      </c>
    </row>
    <row r="192" spans="1:32" x14ac:dyDescent="0.25">
      <c r="A192">
        <v>191</v>
      </c>
      <c r="B192" t="s">
        <v>299</v>
      </c>
      <c r="C192">
        <v>31</v>
      </c>
      <c r="D192" t="s">
        <v>133</v>
      </c>
      <c r="E192" t="s">
        <v>47</v>
      </c>
      <c r="F192">
        <v>2</v>
      </c>
      <c r="G192">
        <v>0</v>
      </c>
      <c r="H192">
        <v>7</v>
      </c>
      <c r="I192">
        <v>0</v>
      </c>
      <c r="J192">
        <v>1</v>
      </c>
      <c r="K192">
        <v>0</v>
      </c>
      <c r="L192">
        <v>0</v>
      </c>
      <c r="M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V192">
        <v>0</v>
      </c>
      <c r="W192">
        <v>0.5</v>
      </c>
      <c r="X192">
        <v>0.5</v>
      </c>
      <c r="Y192">
        <v>0.5</v>
      </c>
      <c r="Z192">
        <v>0</v>
      </c>
      <c r="AA192">
        <v>0</v>
      </c>
      <c r="AB192">
        <v>0.5</v>
      </c>
      <c r="AC192">
        <v>0.5</v>
      </c>
      <c r="AD192">
        <v>0</v>
      </c>
      <c r="AE192">
        <f t="shared" si="2"/>
        <v>0</v>
      </c>
      <c r="AF192" t="s">
        <v>927</v>
      </c>
    </row>
    <row r="193" spans="1:32" x14ac:dyDescent="0.25">
      <c r="A193">
        <v>192</v>
      </c>
      <c r="B193" t="s">
        <v>2515</v>
      </c>
      <c r="C193">
        <v>27</v>
      </c>
      <c r="D193" t="s">
        <v>170</v>
      </c>
      <c r="E193" t="s">
        <v>72</v>
      </c>
      <c r="F193">
        <v>2</v>
      </c>
      <c r="G193">
        <v>0</v>
      </c>
      <c r="H193">
        <v>2.5</v>
      </c>
      <c r="I193">
        <v>0</v>
      </c>
      <c r="J193">
        <v>0</v>
      </c>
      <c r="L193">
        <v>0</v>
      </c>
      <c r="M193">
        <v>0</v>
      </c>
      <c r="O193">
        <v>0</v>
      </c>
      <c r="P193">
        <v>0</v>
      </c>
      <c r="S193">
        <v>0</v>
      </c>
      <c r="T193">
        <v>0</v>
      </c>
      <c r="V193">
        <v>1</v>
      </c>
      <c r="W193">
        <v>0.5</v>
      </c>
      <c r="X193">
        <v>1.5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f t="shared" si="2"/>
        <v>0</v>
      </c>
      <c r="AF193" t="s">
        <v>927</v>
      </c>
    </row>
    <row r="194" spans="1:32" x14ac:dyDescent="0.25">
      <c r="A194">
        <v>193</v>
      </c>
      <c r="B194" t="s">
        <v>2750</v>
      </c>
      <c r="C194">
        <v>27</v>
      </c>
      <c r="D194" t="s">
        <v>148</v>
      </c>
      <c r="E194" t="s">
        <v>93</v>
      </c>
      <c r="F194">
        <v>2</v>
      </c>
      <c r="G194">
        <v>0</v>
      </c>
      <c r="H194">
        <v>2</v>
      </c>
      <c r="I194">
        <v>0</v>
      </c>
      <c r="J194">
        <v>0</v>
      </c>
      <c r="L194">
        <v>0</v>
      </c>
      <c r="M194">
        <v>0</v>
      </c>
      <c r="O194">
        <v>0</v>
      </c>
      <c r="P194">
        <v>0</v>
      </c>
      <c r="S194">
        <v>0</v>
      </c>
      <c r="T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0.5</v>
      </c>
      <c r="AC194">
        <v>0</v>
      </c>
      <c r="AD194">
        <v>0</v>
      </c>
      <c r="AE194">
        <f t="shared" ref="AE194:AE211" si="3">(L194 * 3) + ((I194 - L194) * 2) + S194</f>
        <v>0</v>
      </c>
      <c r="AF194" t="s">
        <v>927</v>
      </c>
    </row>
    <row r="195" spans="1:32" x14ac:dyDescent="0.25">
      <c r="A195">
        <v>194</v>
      </c>
      <c r="B195" t="s">
        <v>2237</v>
      </c>
      <c r="C195">
        <v>23</v>
      </c>
      <c r="D195" t="s">
        <v>142</v>
      </c>
      <c r="E195" t="s">
        <v>47</v>
      </c>
      <c r="F195">
        <v>2</v>
      </c>
      <c r="G195">
        <v>0</v>
      </c>
      <c r="H195">
        <v>2.5</v>
      </c>
      <c r="I195">
        <v>0</v>
      </c>
      <c r="J195">
        <v>0.5</v>
      </c>
      <c r="K195">
        <v>0</v>
      </c>
      <c r="L195">
        <v>0</v>
      </c>
      <c r="M195">
        <v>0.5</v>
      </c>
      <c r="N195">
        <v>0</v>
      </c>
      <c r="O195">
        <v>0</v>
      </c>
      <c r="P195">
        <v>0</v>
      </c>
      <c r="R195">
        <v>0</v>
      </c>
      <c r="S195">
        <v>0</v>
      </c>
      <c r="T195">
        <v>0</v>
      </c>
      <c r="V195">
        <v>0</v>
      </c>
      <c r="W195">
        <v>2</v>
      </c>
      <c r="X195">
        <v>2</v>
      </c>
      <c r="Y195">
        <v>0.5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f t="shared" si="3"/>
        <v>0</v>
      </c>
      <c r="AF195" t="s">
        <v>927</v>
      </c>
    </row>
    <row r="196" spans="1:32" x14ac:dyDescent="0.25">
      <c r="A196">
        <v>195</v>
      </c>
      <c r="B196" t="s">
        <v>2724</v>
      </c>
      <c r="C196">
        <v>22</v>
      </c>
      <c r="D196" t="s">
        <v>113</v>
      </c>
      <c r="E196" t="s">
        <v>56</v>
      </c>
      <c r="F196">
        <v>2</v>
      </c>
      <c r="G196">
        <v>0</v>
      </c>
      <c r="H196">
        <v>2.5</v>
      </c>
      <c r="I196">
        <v>0</v>
      </c>
      <c r="J196">
        <v>2</v>
      </c>
      <c r="K196">
        <v>0</v>
      </c>
      <c r="L196">
        <v>0</v>
      </c>
      <c r="M196">
        <v>0.5</v>
      </c>
      <c r="N196">
        <v>0</v>
      </c>
      <c r="O196">
        <v>0</v>
      </c>
      <c r="P196">
        <v>1.5</v>
      </c>
      <c r="Q196">
        <v>0</v>
      </c>
      <c r="R196">
        <v>0</v>
      </c>
      <c r="S196">
        <v>0</v>
      </c>
      <c r="T196">
        <v>0</v>
      </c>
      <c r="V196">
        <v>0.5</v>
      </c>
      <c r="W196">
        <v>1</v>
      </c>
      <c r="X196">
        <v>1.5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f t="shared" si="3"/>
        <v>0</v>
      </c>
      <c r="AF196" t="s">
        <v>927</v>
      </c>
    </row>
    <row r="197" spans="1:32" x14ac:dyDescent="0.25">
      <c r="A197">
        <v>196</v>
      </c>
      <c r="B197" t="s">
        <v>2730</v>
      </c>
      <c r="C197">
        <v>20</v>
      </c>
      <c r="D197" t="s">
        <v>170</v>
      </c>
      <c r="E197" t="s">
        <v>63</v>
      </c>
      <c r="F197">
        <v>3</v>
      </c>
      <c r="G197">
        <v>0</v>
      </c>
      <c r="H197">
        <v>2</v>
      </c>
      <c r="I197">
        <v>0</v>
      </c>
      <c r="J197">
        <v>0</v>
      </c>
      <c r="L197">
        <v>0</v>
      </c>
      <c r="M197">
        <v>0</v>
      </c>
      <c r="O197">
        <v>0</v>
      </c>
      <c r="P197">
        <v>0</v>
      </c>
      <c r="S197">
        <v>0</v>
      </c>
      <c r="T197">
        <v>0</v>
      </c>
      <c r="V197">
        <v>0</v>
      </c>
      <c r="W197">
        <v>0.3</v>
      </c>
      <c r="X197">
        <v>0.3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f t="shared" si="3"/>
        <v>0</v>
      </c>
      <c r="AF197" t="s">
        <v>927</v>
      </c>
    </row>
    <row r="198" spans="1:32" x14ac:dyDescent="0.25">
      <c r="A198">
        <v>197</v>
      </c>
      <c r="B198" t="s">
        <v>2632</v>
      </c>
      <c r="C198">
        <v>23</v>
      </c>
      <c r="D198" t="s">
        <v>105</v>
      </c>
      <c r="E198" t="s">
        <v>63</v>
      </c>
      <c r="F198">
        <v>2</v>
      </c>
      <c r="G198">
        <v>0</v>
      </c>
      <c r="H198">
        <v>2.5</v>
      </c>
      <c r="I198">
        <v>0</v>
      </c>
      <c r="J198">
        <v>0.5</v>
      </c>
      <c r="K198">
        <v>0</v>
      </c>
      <c r="L198">
        <v>0</v>
      </c>
      <c r="M198">
        <v>0.5</v>
      </c>
      <c r="N198">
        <v>0</v>
      </c>
      <c r="O198">
        <v>0</v>
      </c>
      <c r="P198">
        <v>0</v>
      </c>
      <c r="R198">
        <v>0</v>
      </c>
      <c r="S198">
        <v>0</v>
      </c>
      <c r="T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f t="shared" si="3"/>
        <v>0</v>
      </c>
      <c r="AF198" t="s">
        <v>927</v>
      </c>
    </row>
    <row r="199" spans="1:32" x14ac:dyDescent="0.25">
      <c r="A199">
        <v>198</v>
      </c>
      <c r="B199" t="s">
        <v>2707</v>
      </c>
      <c r="C199">
        <v>20</v>
      </c>
      <c r="D199" t="s">
        <v>1014</v>
      </c>
      <c r="E199" t="s">
        <v>63</v>
      </c>
      <c r="F199">
        <v>2</v>
      </c>
      <c r="G199">
        <v>0</v>
      </c>
      <c r="H199">
        <v>2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R199">
        <v>0</v>
      </c>
      <c r="S199">
        <v>0</v>
      </c>
      <c r="T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f t="shared" si="3"/>
        <v>0</v>
      </c>
      <c r="AF199" t="s">
        <v>927</v>
      </c>
    </row>
    <row r="200" spans="1:32" x14ac:dyDescent="0.25">
      <c r="A200">
        <v>199</v>
      </c>
      <c r="B200" t="s">
        <v>2814</v>
      </c>
      <c r="C200">
        <v>27</v>
      </c>
      <c r="D200" t="s">
        <v>1223</v>
      </c>
      <c r="E200" t="s">
        <v>47</v>
      </c>
      <c r="F200">
        <v>3</v>
      </c>
      <c r="G200">
        <v>0</v>
      </c>
      <c r="H200">
        <v>6</v>
      </c>
      <c r="I200">
        <v>0</v>
      </c>
      <c r="J200">
        <v>2.2999999999999998</v>
      </c>
      <c r="K200">
        <v>0</v>
      </c>
      <c r="L200">
        <v>0</v>
      </c>
      <c r="M200">
        <v>0.3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V200">
        <v>1.7</v>
      </c>
      <c r="W200">
        <v>0.7</v>
      </c>
      <c r="X200">
        <v>2.2999999999999998</v>
      </c>
      <c r="Y200">
        <v>0</v>
      </c>
      <c r="Z200">
        <v>0.7</v>
      </c>
      <c r="AA200">
        <v>0.7</v>
      </c>
      <c r="AB200">
        <v>0.7</v>
      </c>
      <c r="AC200">
        <v>1.3</v>
      </c>
      <c r="AD200">
        <v>0</v>
      </c>
      <c r="AE200">
        <f t="shared" si="3"/>
        <v>0</v>
      </c>
      <c r="AF200" t="s">
        <v>927</v>
      </c>
    </row>
    <row r="201" spans="1:32" x14ac:dyDescent="0.25">
      <c r="A201">
        <v>200</v>
      </c>
      <c r="B201" t="s">
        <v>2771</v>
      </c>
      <c r="C201">
        <v>31</v>
      </c>
      <c r="D201" t="s">
        <v>1014</v>
      </c>
      <c r="E201" t="s">
        <v>72</v>
      </c>
      <c r="F201">
        <v>2</v>
      </c>
      <c r="G201">
        <v>0</v>
      </c>
      <c r="H201">
        <v>2</v>
      </c>
      <c r="I201">
        <v>0</v>
      </c>
      <c r="J201">
        <v>0.5</v>
      </c>
      <c r="K201">
        <v>0</v>
      </c>
      <c r="L201">
        <v>0</v>
      </c>
      <c r="M201">
        <v>0</v>
      </c>
      <c r="O201">
        <v>0</v>
      </c>
      <c r="P201">
        <v>0.5</v>
      </c>
      <c r="Q201">
        <v>0</v>
      </c>
      <c r="R201">
        <v>0</v>
      </c>
      <c r="S201">
        <v>0</v>
      </c>
      <c r="T201">
        <v>0</v>
      </c>
      <c r="V201">
        <v>1.5</v>
      </c>
      <c r="W201">
        <v>0.5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f t="shared" si="3"/>
        <v>0</v>
      </c>
      <c r="AF201" t="s">
        <v>927</v>
      </c>
    </row>
    <row r="202" spans="1:32" x14ac:dyDescent="0.25">
      <c r="A202">
        <v>201</v>
      </c>
      <c r="B202" t="s">
        <v>2800</v>
      </c>
      <c r="C202">
        <v>21</v>
      </c>
      <c r="D202" t="s">
        <v>105</v>
      </c>
      <c r="E202" t="s">
        <v>47</v>
      </c>
      <c r="F202">
        <v>2</v>
      </c>
      <c r="G202">
        <v>0</v>
      </c>
      <c r="H202">
        <v>2.5</v>
      </c>
      <c r="I202">
        <v>0</v>
      </c>
      <c r="J202">
        <v>0.5</v>
      </c>
      <c r="K202">
        <v>0</v>
      </c>
      <c r="L202">
        <v>0</v>
      </c>
      <c r="M202">
        <v>0.5</v>
      </c>
      <c r="N202">
        <v>0</v>
      </c>
      <c r="O202">
        <v>0</v>
      </c>
      <c r="P202">
        <v>0</v>
      </c>
      <c r="R202">
        <v>0</v>
      </c>
      <c r="S202">
        <v>0</v>
      </c>
      <c r="T202">
        <v>0</v>
      </c>
      <c r="V202">
        <v>0</v>
      </c>
      <c r="W202">
        <v>0.5</v>
      </c>
      <c r="X202">
        <v>0.5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f t="shared" si="3"/>
        <v>0</v>
      </c>
      <c r="AF202" t="s">
        <v>927</v>
      </c>
    </row>
    <row r="203" spans="1:32" x14ac:dyDescent="0.25">
      <c r="A203">
        <v>202</v>
      </c>
      <c r="B203" t="s">
        <v>2789</v>
      </c>
      <c r="C203">
        <v>21</v>
      </c>
      <c r="D203" t="s">
        <v>102</v>
      </c>
      <c r="E203" t="s">
        <v>47</v>
      </c>
      <c r="F203">
        <v>1</v>
      </c>
      <c r="G203">
        <v>0</v>
      </c>
      <c r="H203">
        <v>2</v>
      </c>
      <c r="I203">
        <v>0</v>
      </c>
      <c r="J203">
        <v>0</v>
      </c>
      <c r="L203">
        <v>0</v>
      </c>
      <c r="M203">
        <v>0</v>
      </c>
      <c r="O203">
        <v>0</v>
      </c>
      <c r="P203">
        <v>0</v>
      </c>
      <c r="S203">
        <v>0</v>
      </c>
      <c r="T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f t="shared" si="3"/>
        <v>0</v>
      </c>
      <c r="AF203" t="s">
        <v>927</v>
      </c>
    </row>
    <row r="204" spans="1:32" x14ac:dyDescent="0.25">
      <c r="A204">
        <v>203</v>
      </c>
      <c r="B204" t="s">
        <v>2419</v>
      </c>
      <c r="C204">
        <v>28</v>
      </c>
      <c r="D204" t="s">
        <v>1014</v>
      </c>
      <c r="E204" t="s">
        <v>63</v>
      </c>
      <c r="F204">
        <v>2</v>
      </c>
      <c r="G204">
        <v>0</v>
      </c>
      <c r="H204">
        <v>2</v>
      </c>
      <c r="I204">
        <v>0</v>
      </c>
      <c r="J204">
        <v>0.5</v>
      </c>
      <c r="K204">
        <v>0</v>
      </c>
      <c r="L204">
        <v>0</v>
      </c>
      <c r="M204">
        <v>0</v>
      </c>
      <c r="O204">
        <v>0</v>
      </c>
      <c r="P204">
        <v>0.5</v>
      </c>
      <c r="Q204">
        <v>0</v>
      </c>
      <c r="R204">
        <v>0</v>
      </c>
      <c r="S204">
        <v>0</v>
      </c>
      <c r="T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0.5</v>
      </c>
      <c r="AD204">
        <v>0</v>
      </c>
      <c r="AE204">
        <f t="shared" si="3"/>
        <v>0</v>
      </c>
      <c r="AF204" t="s">
        <v>927</v>
      </c>
    </row>
    <row r="205" spans="1:32" x14ac:dyDescent="0.25">
      <c r="A205">
        <v>204</v>
      </c>
      <c r="B205" t="s">
        <v>2684</v>
      </c>
      <c r="C205">
        <v>22</v>
      </c>
      <c r="D205" t="s">
        <v>102</v>
      </c>
      <c r="E205" t="s">
        <v>47</v>
      </c>
      <c r="F205">
        <v>1</v>
      </c>
      <c r="G205">
        <v>0</v>
      </c>
      <c r="H205">
        <v>3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R205">
        <v>0</v>
      </c>
      <c r="S205">
        <v>0</v>
      </c>
      <c r="T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f t="shared" si="3"/>
        <v>0</v>
      </c>
      <c r="AF205" t="s">
        <v>927</v>
      </c>
    </row>
    <row r="206" spans="1:32" x14ac:dyDescent="0.25">
      <c r="A206">
        <v>205</v>
      </c>
      <c r="B206" t="s">
        <v>2385</v>
      </c>
      <c r="C206">
        <v>26</v>
      </c>
      <c r="D206" t="s">
        <v>85</v>
      </c>
      <c r="E206" t="s">
        <v>93</v>
      </c>
      <c r="F206">
        <v>2</v>
      </c>
      <c r="G206">
        <v>0</v>
      </c>
      <c r="H206">
        <v>4</v>
      </c>
      <c r="I206">
        <v>0</v>
      </c>
      <c r="J206">
        <v>1.5</v>
      </c>
      <c r="K206">
        <v>0</v>
      </c>
      <c r="L206">
        <v>0</v>
      </c>
      <c r="M206">
        <v>1.5</v>
      </c>
      <c r="N206">
        <v>0</v>
      </c>
      <c r="O206">
        <v>0</v>
      </c>
      <c r="P206">
        <v>0</v>
      </c>
      <c r="R206">
        <v>0</v>
      </c>
      <c r="S206">
        <v>0</v>
      </c>
      <c r="T206">
        <v>0</v>
      </c>
      <c r="V206">
        <v>0</v>
      </c>
      <c r="W206">
        <v>0</v>
      </c>
      <c r="X206">
        <v>0</v>
      </c>
      <c r="Y206">
        <v>0</v>
      </c>
      <c r="Z206">
        <v>0.5</v>
      </c>
      <c r="AA206">
        <v>0</v>
      </c>
      <c r="AB206">
        <v>0</v>
      </c>
      <c r="AC206">
        <v>0</v>
      </c>
      <c r="AD206">
        <v>0</v>
      </c>
      <c r="AE206">
        <f t="shared" si="3"/>
        <v>0</v>
      </c>
      <c r="AF206" t="s">
        <v>927</v>
      </c>
    </row>
    <row r="207" spans="1:32" x14ac:dyDescent="0.25">
      <c r="A207">
        <v>206</v>
      </c>
      <c r="B207" t="s">
        <v>2520</v>
      </c>
      <c r="C207">
        <v>20</v>
      </c>
      <c r="D207" t="s">
        <v>65</v>
      </c>
      <c r="E207" t="s">
        <v>56</v>
      </c>
      <c r="F207">
        <v>3</v>
      </c>
      <c r="G207">
        <v>0</v>
      </c>
      <c r="H207">
        <v>3.3</v>
      </c>
      <c r="I207">
        <v>0</v>
      </c>
      <c r="J207">
        <v>0.7</v>
      </c>
      <c r="K207">
        <v>0</v>
      </c>
      <c r="L207">
        <v>0</v>
      </c>
      <c r="M207">
        <v>0.7</v>
      </c>
      <c r="N207">
        <v>0</v>
      </c>
      <c r="O207">
        <v>0</v>
      </c>
      <c r="P207">
        <v>0</v>
      </c>
      <c r="R207">
        <v>0</v>
      </c>
      <c r="S207">
        <v>0</v>
      </c>
      <c r="T207">
        <v>0</v>
      </c>
      <c r="V207">
        <v>0</v>
      </c>
      <c r="W207">
        <v>0.3</v>
      </c>
      <c r="X207">
        <v>0.3</v>
      </c>
      <c r="Y207">
        <v>0.3</v>
      </c>
      <c r="Z207">
        <v>0.7</v>
      </c>
      <c r="AA207">
        <v>0.3</v>
      </c>
      <c r="AB207">
        <v>0.3</v>
      </c>
      <c r="AC207">
        <v>0.3</v>
      </c>
      <c r="AD207">
        <v>0</v>
      </c>
      <c r="AE207">
        <f t="shared" si="3"/>
        <v>0</v>
      </c>
      <c r="AF207" t="s">
        <v>927</v>
      </c>
    </row>
    <row r="208" spans="1:32" x14ac:dyDescent="0.25">
      <c r="A208">
        <v>207</v>
      </c>
      <c r="B208" t="s">
        <v>2779</v>
      </c>
      <c r="C208">
        <v>20</v>
      </c>
      <c r="D208" t="s">
        <v>113</v>
      </c>
      <c r="E208" t="s">
        <v>93</v>
      </c>
      <c r="F208">
        <v>2</v>
      </c>
      <c r="G208">
        <v>0</v>
      </c>
      <c r="H208">
        <v>2.5</v>
      </c>
      <c r="I208">
        <v>0</v>
      </c>
      <c r="J208">
        <v>0</v>
      </c>
      <c r="L208">
        <v>0</v>
      </c>
      <c r="M208">
        <v>0</v>
      </c>
      <c r="O208">
        <v>0</v>
      </c>
      <c r="P208">
        <v>0</v>
      </c>
      <c r="S208">
        <v>0</v>
      </c>
      <c r="T208">
        <v>0</v>
      </c>
      <c r="V208">
        <v>0</v>
      </c>
      <c r="W208">
        <v>0</v>
      </c>
      <c r="X208">
        <v>0</v>
      </c>
      <c r="Y208">
        <v>0.5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f t="shared" si="3"/>
        <v>0</v>
      </c>
      <c r="AF208" t="s">
        <v>927</v>
      </c>
    </row>
    <row r="209" spans="1:32" x14ac:dyDescent="0.25">
      <c r="A209">
        <v>208</v>
      </c>
      <c r="B209" t="s">
        <v>2048</v>
      </c>
      <c r="C209">
        <v>20</v>
      </c>
      <c r="D209" t="s">
        <v>65</v>
      </c>
      <c r="E209" t="s">
        <v>47</v>
      </c>
      <c r="F209">
        <v>3</v>
      </c>
      <c r="G209">
        <v>0</v>
      </c>
      <c r="H209">
        <v>1.7</v>
      </c>
      <c r="I209">
        <v>0</v>
      </c>
      <c r="J209">
        <v>0.7</v>
      </c>
      <c r="K209">
        <v>0</v>
      </c>
      <c r="L209">
        <v>0</v>
      </c>
      <c r="M209">
        <v>0.3</v>
      </c>
      <c r="N209">
        <v>0</v>
      </c>
      <c r="O209">
        <v>0</v>
      </c>
      <c r="P209">
        <v>0.3</v>
      </c>
      <c r="Q209">
        <v>0</v>
      </c>
      <c r="R209">
        <v>0</v>
      </c>
      <c r="S209">
        <v>0</v>
      </c>
      <c r="T209">
        <v>0</v>
      </c>
      <c r="V209">
        <v>0</v>
      </c>
      <c r="W209">
        <v>0.3</v>
      </c>
      <c r="X209">
        <v>0.3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f t="shared" si="3"/>
        <v>0</v>
      </c>
      <c r="AF209" t="s">
        <v>927</v>
      </c>
    </row>
    <row r="210" spans="1:32" x14ac:dyDescent="0.25">
      <c r="A210">
        <v>209</v>
      </c>
      <c r="B210" t="s">
        <v>2641</v>
      </c>
      <c r="C210">
        <v>25</v>
      </c>
      <c r="D210" t="s">
        <v>65</v>
      </c>
      <c r="E210" t="s">
        <v>63</v>
      </c>
      <c r="F210">
        <v>3</v>
      </c>
      <c r="G210">
        <v>0</v>
      </c>
      <c r="H210">
        <v>1.7</v>
      </c>
      <c r="I210">
        <v>0</v>
      </c>
      <c r="J210">
        <v>0.3</v>
      </c>
      <c r="K210">
        <v>0</v>
      </c>
      <c r="L210">
        <v>0</v>
      </c>
      <c r="M210">
        <v>0.3</v>
      </c>
      <c r="N210">
        <v>0</v>
      </c>
      <c r="O210">
        <v>0</v>
      </c>
      <c r="P210">
        <v>0</v>
      </c>
      <c r="R210">
        <v>0</v>
      </c>
      <c r="S210">
        <v>0</v>
      </c>
      <c r="T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0.3</v>
      </c>
      <c r="AC210">
        <v>0.3</v>
      </c>
      <c r="AD210">
        <v>0</v>
      </c>
      <c r="AE210">
        <f t="shared" si="3"/>
        <v>0</v>
      </c>
      <c r="AF210" t="s">
        <v>927</v>
      </c>
    </row>
    <row r="211" spans="1:32" x14ac:dyDescent="0.25">
      <c r="B211" t="s">
        <v>2869</v>
      </c>
      <c r="D211" t="s">
        <v>927</v>
      </c>
      <c r="E211" t="s">
        <v>927</v>
      </c>
      <c r="K211">
        <v>0.45800000000000002</v>
      </c>
      <c r="N211">
        <v>0.35599999999999998</v>
      </c>
      <c r="Q211">
        <v>0.52800000000000002</v>
      </c>
      <c r="R211">
        <v>0.53100000000000003</v>
      </c>
      <c r="U211">
        <v>0.76800000000000002</v>
      </c>
      <c r="AE211">
        <f t="shared" si="3"/>
        <v>0</v>
      </c>
      <c r="AF211" t="s">
        <v>927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75B0-B437-456E-A0F4-49A1404F98F3}">
  <dimension ref="A1:L33"/>
  <sheetViews>
    <sheetView workbookViewId="0">
      <selection activeCell="C53" sqref="C53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23.85546875" bestFit="1" customWidth="1"/>
    <col min="4" max="4" width="6.42578125" bestFit="1" customWidth="1"/>
    <col min="5" max="5" width="23.85546875" bestFit="1" customWidth="1"/>
    <col min="6" max="6" width="8.42578125" bestFit="1" customWidth="1"/>
    <col min="7" max="7" width="11.140625" bestFit="1" customWidth="1"/>
    <col min="8" max="8" width="5.28515625" bestFit="1" customWidth="1"/>
    <col min="9" max="9" width="10" bestFit="1" customWidth="1"/>
    <col min="10" max="10" width="10.5703125" bestFit="1" customWidth="1"/>
    <col min="11" max="11" width="26.28515625" bestFit="1" customWidth="1"/>
    <col min="12" max="13" width="8.5703125" bestFit="1" customWidth="1"/>
  </cols>
  <sheetData>
    <row r="1" spans="1:12" x14ac:dyDescent="0.25">
      <c r="A1" t="s">
        <v>3167</v>
      </c>
      <c r="B1" t="s">
        <v>3168</v>
      </c>
      <c r="C1" t="s">
        <v>3169</v>
      </c>
      <c r="D1" t="s">
        <v>899</v>
      </c>
      <c r="E1" t="s">
        <v>3170</v>
      </c>
      <c r="F1" t="s">
        <v>3171</v>
      </c>
      <c r="G1" t="s">
        <v>841</v>
      </c>
      <c r="H1" t="s">
        <v>3172</v>
      </c>
      <c r="I1" t="s">
        <v>3173</v>
      </c>
      <c r="J1" t="s">
        <v>3174</v>
      </c>
      <c r="K1" t="s">
        <v>3175</v>
      </c>
      <c r="L1" t="s">
        <v>3176</v>
      </c>
    </row>
    <row r="2" spans="1:12" x14ac:dyDescent="0.25">
      <c r="A2" s="63">
        <v>45778</v>
      </c>
      <c r="B2" t="s">
        <v>3177</v>
      </c>
      <c r="C2" t="s">
        <v>687</v>
      </c>
      <c r="D2">
        <v>116</v>
      </c>
      <c r="E2" t="s">
        <v>519</v>
      </c>
      <c r="F2">
        <v>113</v>
      </c>
      <c r="G2" t="s">
        <v>3178</v>
      </c>
      <c r="H2" t="s">
        <v>927</v>
      </c>
      <c r="I2">
        <v>20062</v>
      </c>
      <c r="J2" s="124">
        <v>0.11805555555555555</v>
      </c>
      <c r="K2" t="s">
        <v>3179</v>
      </c>
      <c r="L2" t="s">
        <v>927</v>
      </c>
    </row>
    <row r="3" spans="1:12" x14ac:dyDescent="0.25">
      <c r="A3" s="63">
        <v>45778</v>
      </c>
      <c r="B3" t="s">
        <v>3180</v>
      </c>
      <c r="C3" t="s">
        <v>503</v>
      </c>
      <c r="D3">
        <v>105</v>
      </c>
      <c r="E3" t="s">
        <v>2917</v>
      </c>
      <c r="F3">
        <v>111</v>
      </c>
      <c r="G3" t="s">
        <v>3178</v>
      </c>
      <c r="H3" t="s">
        <v>927</v>
      </c>
      <c r="I3">
        <v>17927</v>
      </c>
      <c r="J3" s="124">
        <v>9.2361111111111116E-2</v>
      </c>
      <c r="K3" t="s">
        <v>3181</v>
      </c>
      <c r="L3" t="s">
        <v>927</v>
      </c>
    </row>
    <row r="4" spans="1:12" x14ac:dyDescent="0.25">
      <c r="A4" s="63">
        <v>45779</v>
      </c>
      <c r="B4" t="s">
        <v>3182</v>
      </c>
      <c r="C4" t="s">
        <v>551</v>
      </c>
      <c r="D4">
        <v>115</v>
      </c>
      <c r="E4" t="s">
        <v>535</v>
      </c>
      <c r="F4">
        <v>107</v>
      </c>
      <c r="G4" t="s">
        <v>3178</v>
      </c>
      <c r="H4" t="s">
        <v>927</v>
      </c>
      <c r="I4">
        <v>18064</v>
      </c>
      <c r="J4" s="124">
        <v>0.11041666666666666</v>
      </c>
      <c r="K4" t="s">
        <v>3183</v>
      </c>
      <c r="L4" t="s">
        <v>927</v>
      </c>
    </row>
    <row r="5" spans="1:12" x14ac:dyDescent="0.25">
      <c r="A5" s="63">
        <v>45780</v>
      </c>
      <c r="B5" t="s">
        <v>3177</v>
      </c>
      <c r="C5" t="s">
        <v>2917</v>
      </c>
      <c r="D5">
        <v>101</v>
      </c>
      <c r="E5" t="s">
        <v>503</v>
      </c>
      <c r="F5">
        <v>120</v>
      </c>
      <c r="G5" t="s">
        <v>3178</v>
      </c>
      <c r="H5" t="s">
        <v>927</v>
      </c>
      <c r="I5">
        <v>19995</v>
      </c>
      <c r="J5" s="124">
        <v>9.6527777777777782E-2</v>
      </c>
      <c r="K5" t="s">
        <v>3184</v>
      </c>
      <c r="L5" t="s">
        <v>927</v>
      </c>
    </row>
    <row r="6" spans="1:12" x14ac:dyDescent="0.25">
      <c r="A6" s="63">
        <v>45781</v>
      </c>
      <c r="B6" t="s">
        <v>3185</v>
      </c>
      <c r="C6" t="s">
        <v>567</v>
      </c>
      <c r="D6">
        <v>121</v>
      </c>
      <c r="E6" t="s">
        <v>475</v>
      </c>
      <c r="F6">
        <v>112</v>
      </c>
      <c r="G6" t="s">
        <v>3178</v>
      </c>
      <c r="H6" t="s">
        <v>927</v>
      </c>
      <c r="I6">
        <v>19432</v>
      </c>
      <c r="J6" s="124">
        <v>9.930555555555555E-2</v>
      </c>
      <c r="K6" t="s">
        <v>3186</v>
      </c>
      <c r="L6" t="s">
        <v>927</v>
      </c>
    </row>
    <row r="7" spans="1:12" x14ac:dyDescent="0.25">
      <c r="A7" s="63">
        <v>45781</v>
      </c>
      <c r="B7" t="s">
        <v>3187</v>
      </c>
      <c r="C7" t="s">
        <v>535</v>
      </c>
      <c r="D7">
        <v>103</v>
      </c>
      <c r="E7" t="s">
        <v>551</v>
      </c>
      <c r="F7">
        <v>89</v>
      </c>
      <c r="G7" t="s">
        <v>3178</v>
      </c>
      <c r="H7" t="s">
        <v>927</v>
      </c>
      <c r="I7">
        <v>18055</v>
      </c>
      <c r="J7" s="124">
        <v>0.1</v>
      </c>
      <c r="K7" t="s">
        <v>3188</v>
      </c>
      <c r="L7" t="s">
        <v>927</v>
      </c>
    </row>
    <row r="8" spans="1:12" x14ac:dyDescent="0.25">
      <c r="A8" s="63">
        <v>45782</v>
      </c>
      <c r="B8" t="s">
        <v>3189</v>
      </c>
      <c r="C8" t="s">
        <v>687</v>
      </c>
      <c r="E8" t="s">
        <v>409</v>
      </c>
      <c r="G8" t="s">
        <v>927</v>
      </c>
      <c r="H8" t="s">
        <v>927</v>
      </c>
      <c r="J8" s="124"/>
      <c r="K8" t="s">
        <v>3190</v>
      </c>
      <c r="L8" t="s">
        <v>927</v>
      </c>
    </row>
    <row r="9" spans="1:12" x14ac:dyDescent="0.25">
      <c r="A9" s="63">
        <v>45782</v>
      </c>
      <c r="B9" t="s">
        <v>3191</v>
      </c>
      <c r="C9" t="s">
        <v>503</v>
      </c>
      <c r="E9" t="s">
        <v>702</v>
      </c>
      <c r="G9" t="s">
        <v>927</v>
      </c>
      <c r="H9" t="s">
        <v>927</v>
      </c>
      <c r="J9" s="124"/>
      <c r="K9" t="s">
        <v>3192</v>
      </c>
      <c r="L9" t="s">
        <v>927</v>
      </c>
    </row>
    <row r="10" spans="1:12" x14ac:dyDescent="0.25">
      <c r="A10" s="63">
        <v>45783</v>
      </c>
      <c r="B10" t="s">
        <v>3189</v>
      </c>
      <c r="C10" t="s">
        <v>567</v>
      </c>
      <c r="E10" t="s">
        <v>475</v>
      </c>
      <c r="G10" t="s">
        <v>927</v>
      </c>
      <c r="H10" t="s">
        <v>927</v>
      </c>
      <c r="J10" s="124"/>
      <c r="K10" t="s">
        <v>3186</v>
      </c>
      <c r="L10" t="s">
        <v>927</v>
      </c>
    </row>
    <row r="11" spans="1:12" x14ac:dyDescent="0.25">
      <c r="A11" s="63">
        <v>45783</v>
      </c>
      <c r="B11" t="s">
        <v>3191</v>
      </c>
      <c r="C11" t="s">
        <v>535</v>
      </c>
      <c r="E11" t="s">
        <v>658</v>
      </c>
      <c r="G11" t="s">
        <v>927</v>
      </c>
      <c r="H11" t="s">
        <v>927</v>
      </c>
      <c r="J11" s="124"/>
      <c r="K11" t="s">
        <v>3193</v>
      </c>
      <c r="L11" t="s">
        <v>927</v>
      </c>
    </row>
    <row r="12" spans="1:12" x14ac:dyDescent="0.25">
      <c r="A12" s="63">
        <v>45784</v>
      </c>
      <c r="B12" t="s">
        <v>3189</v>
      </c>
      <c r="C12" t="s">
        <v>687</v>
      </c>
      <c r="E12" t="s">
        <v>409</v>
      </c>
      <c r="G12" t="s">
        <v>927</v>
      </c>
      <c r="H12" t="s">
        <v>927</v>
      </c>
      <c r="J12" s="124"/>
      <c r="K12" t="s">
        <v>3190</v>
      </c>
      <c r="L12" t="s">
        <v>927</v>
      </c>
    </row>
    <row r="13" spans="1:12" x14ac:dyDescent="0.25">
      <c r="A13" s="63">
        <v>45784</v>
      </c>
      <c r="B13" t="s">
        <v>3191</v>
      </c>
      <c r="C13" t="s">
        <v>503</v>
      </c>
      <c r="E13" t="s">
        <v>702</v>
      </c>
      <c r="G13" t="s">
        <v>927</v>
      </c>
      <c r="H13" t="s">
        <v>927</v>
      </c>
      <c r="J13" s="124"/>
      <c r="K13" t="s">
        <v>3192</v>
      </c>
      <c r="L13" t="s">
        <v>927</v>
      </c>
    </row>
    <row r="14" spans="1:12" x14ac:dyDescent="0.25">
      <c r="A14" s="63">
        <v>45785</v>
      </c>
      <c r="B14" t="s">
        <v>3187</v>
      </c>
      <c r="C14" t="s">
        <v>535</v>
      </c>
      <c r="E14" t="s">
        <v>658</v>
      </c>
      <c r="G14" t="s">
        <v>927</v>
      </c>
      <c r="H14" t="s">
        <v>927</v>
      </c>
      <c r="J14" s="124"/>
      <c r="K14" t="s">
        <v>3193</v>
      </c>
      <c r="L14" t="s">
        <v>927</v>
      </c>
    </row>
    <row r="15" spans="1:12" x14ac:dyDescent="0.25">
      <c r="A15" s="63">
        <v>45786</v>
      </c>
      <c r="B15" t="s">
        <v>3177</v>
      </c>
      <c r="C15" t="s">
        <v>475</v>
      </c>
      <c r="E15" t="s">
        <v>567</v>
      </c>
      <c r="G15" t="s">
        <v>927</v>
      </c>
      <c r="H15" t="s">
        <v>927</v>
      </c>
      <c r="J15" s="124"/>
      <c r="K15" t="s">
        <v>3194</v>
      </c>
      <c r="L15" t="s">
        <v>927</v>
      </c>
    </row>
    <row r="16" spans="1:12" x14ac:dyDescent="0.25">
      <c r="A16" s="63">
        <v>45786</v>
      </c>
      <c r="B16" t="s">
        <v>3180</v>
      </c>
      <c r="C16" t="s">
        <v>702</v>
      </c>
      <c r="E16" t="s">
        <v>503</v>
      </c>
      <c r="G16" t="s">
        <v>927</v>
      </c>
      <c r="H16" t="s">
        <v>927</v>
      </c>
      <c r="J16" s="124"/>
      <c r="K16" t="s">
        <v>3184</v>
      </c>
      <c r="L16" t="s">
        <v>927</v>
      </c>
    </row>
    <row r="17" spans="1:12" x14ac:dyDescent="0.25">
      <c r="A17" s="63">
        <v>45787</v>
      </c>
      <c r="B17" t="s">
        <v>3195</v>
      </c>
      <c r="C17" t="s">
        <v>409</v>
      </c>
      <c r="E17" t="s">
        <v>687</v>
      </c>
      <c r="G17" t="s">
        <v>927</v>
      </c>
      <c r="H17" t="s">
        <v>927</v>
      </c>
      <c r="J17" s="124"/>
      <c r="K17" t="s">
        <v>3196</v>
      </c>
      <c r="L17" t="s">
        <v>927</v>
      </c>
    </row>
    <row r="18" spans="1:12" x14ac:dyDescent="0.25">
      <c r="A18" s="63">
        <v>45787</v>
      </c>
      <c r="B18" t="s">
        <v>3187</v>
      </c>
      <c r="C18" t="s">
        <v>658</v>
      </c>
      <c r="E18" t="s">
        <v>535</v>
      </c>
      <c r="G18" t="s">
        <v>927</v>
      </c>
      <c r="H18" t="s">
        <v>927</v>
      </c>
      <c r="J18" s="124"/>
      <c r="K18" t="s">
        <v>3183</v>
      </c>
      <c r="L18" t="s">
        <v>927</v>
      </c>
    </row>
    <row r="19" spans="1:12" x14ac:dyDescent="0.25">
      <c r="A19" s="63">
        <v>45788</v>
      </c>
      <c r="B19" t="s">
        <v>3195</v>
      </c>
      <c r="C19" t="s">
        <v>702</v>
      </c>
      <c r="E19" t="s">
        <v>503</v>
      </c>
      <c r="G19" t="s">
        <v>927</v>
      </c>
      <c r="H19" t="s">
        <v>927</v>
      </c>
      <c r="J19" s="124"/>
      <c r="K19" t="s">
        <v>3184</v>
      </c>
      <c r="L19" t="s">
        <v>927</v>
      </c>
    </row>
    <row r="20" spans="1:12" x14ac:dyDescent="0.25">
      <c r="A20" s="63">
        <v>45788</v>
      </c>
      <c r="B20" t="s">
        <v>3197</v>
      </c>
      <c r="C20" t="s">
        <v>475</v>
      </c>
      <c r="E20" t="s">
        <v>567</v>
      </c>
      <c r="G20" t="s">
        <v>927</v>
      </c>
      <c r="H20" t="s">
        <v>927</v>
      </c>
      <c r="J20" s="124"/>
      <c r="K20" t="s">
        <v>3194</v>
      </c>
      <c r="L20" t="s">
        <v>927</v>
      </c>
    </row>
    <row r="21" spans="1:12" x14ac:dyDescent="0.25">
      <c r="A21" s="63">
        <v>45789</v>
      </c>
      <c r="B21" t="s">
        <v>3177</v>
      </c>
      <c r="C21" t="s">
        <v>409</v>
      </c>
      <c r="E21" t="s">
        <v>687</v>
      </c>
      <c r="G21" t="s">
        <v>927</v>
      </c>
      <c r="H21" t="s">
        <v>927</v>
      </c>
      <c r="J21" s="124"/>
      <c r="K21" t="s">
        <v>3196</v>
      </c>
      <c r="L21" t="s">
        <v>927</v>
      </c>
    </row>
    <row r="22" spans="1:12" x14ac:dyDescent="0.25">
      <c r="A22" s="63">
        <v>45790</v>
      </c>
      <c r="B22" t="s">
        <v>927</v>
      </c>
      <c r="C22" t="s">
        <v>567</v>
      </c>
      <c r="E22" t="s">
        <v>475</v>
      </c>
      <c r="G22" t="s">
        <v>927</v>
      </c>
      <c r="H22" t="s">
        <v>927</v>
      </c>
      <c r="J22" s="124"/>
      <c r="K22" t="s">
        <v>3186</v>
      </c>
      <c r="L22" t="s">
        <v>927</v>
      </c>
    </row>
    <row r="23" spans="1:12" x14ac:dyDescent="0.25">
      <c r="A23" s="63">
        <v>45790</v>
      </c>
      <c r="B23" t="s">
        <v>927</v>
      </c>
      <c r="C23" t="s">
        <v>503</v>
      </c>
      <c r="E23" t="s">
        <v>702</v>
      </c>
      <c r="G23" t="s">
        <v>927</v>
      </c>
      <c r="H23" t="s">
        <v>927</v>
      </c>
      <c r="J23" s="124"/>
      <c r="K23" t="s">
        <v>3192</v>
      </c>
      <c r="L23" t="s">
        <v>927</v>
      </c>
    </row>
    <row r="24" spans="1:12" x14ac:dyDescent="0.25">
      <c r="A24" s="63">
        <v>45791</v>
      </c>
      <c r="B24" t="s">
        <v>927</v>
      </c>
      <c r="C24" t="s">
        <v>687</v>
      </c>
      <c r="E24" t="s">
        <v>409</v>
      </c>
      <c r="G24" t="s">
        <v>927</v>
      </c>
      <c r="H24" t="s">
        <v>927</v>
      </c>
      <c r="J24" s="124"/>
      <c r="K24" t="s">
        <v>3190</v>
      </c>
      <c r="L24" t="s">
        <v>927</v>
      </c>
    </row>
    <row r="25" spans="1:12" x14ac:dyDescent="0.25">
      <c r="A25" s="63">
        <v>45791</v>
      </c>
      <c r="B25" t="s">
        <v>927</v>
      </c>
      <c r="C25" t="s">
        <v>535</v>
      </c>
      <c r="E25" t="s">
        <v>658</v>
      </c>
      <c r="G25" t="s">
        <v>927</v>
      </c>
      <c r="H25" t="s">
        <v>927</v>
      </c>
      <c r="J25" s="124"/>
      <c r="K25" t="s">
        <v>3193</v>
      </c>
      <c r="L25" t="s">
        <v>927</v>
      </c>
    </row>
    <row r="26" spans="1:12" x14ac:dyDescent="0.25">
      <c r="A26" s="63">
        <v>45792</v>
      </c>
      <c r="B26" t="s">
        <v>927</v>
      </c>
      <c r="C26" t="s">
        <v>702</v>
      </c>
      <c r="E26" t="s">
        <v>503</v>
      </c>
      <c r="G26" t="s">
        <v>927</v>
      </c>
      <c r="H26" t="s">
        <v>927</v>
      </c>
      <c r="J26" s="124"/>
      <c r="K26" t="s">
        <v>3184</v>
      </c>
      <c r="L26" t="s">
        <v>927</v>
      </c>
    </row>
    <row r="27" spans="1:12" x14ac:dyDescent="0.25">
      <c r="A27" s="63">
        <v>45792</v>
      </c>
      <c r="B27" t="s">
        <v>927</v>
      </c>
      <c r="C27" t="s">
        <v>475</v>
      </c>
      <c r="E27" t="s">
        <v>567</v>
      </c>
      <c r="G27" t="s">
        <v>927</v>
      </c>
      <c r="H27" t="s">
        <v>927</v>
      </c>
      <c r="J27" s="124"/>
      <c r="K27" t="s">
        <v>3194</v>
      </c>
      <c r="L27" t="s">
        <v>927</v>
      </c>
    </row>
    <row r="28" spans="1:12" x14ac:dyDescent="0.25">
      <c r="A28" s="63">
        <v>45793</v>
      </c>
      <c r="B28" t="s">
        <v>927</v>
      </c>
      <c r="C28" t="s">
        <v>409</v>
      </c>
      <c r="E28" t="s">
        <v>687</v>
      </c>
      <c r="G28" t="s">
        <v>927</v>
      </c>
      <c r="H28" t="s">
        <v>927</v>
      </c>
      <c r="J28" s="124"/>
      <c r="K28" t="s">
        <v>3196</v>
      </c>
      <c r="L28" t="s">
        <v>927</v>
      </c>
    </row>
    <row r="29" spans="1:12" x14ac:dyDescent="0.25">
      <c r="A29" s="63">
        <v>45795</v>
      </c>
      <c r="B29" t="s">
        <v>927</v>
      </c>
      <c r="C29" t="s">
        <v>567</v>
      </c>
      <c r="E29" t="s">
        <v>475</v>
      </c>
      <c r="G29" t="s">
        <v>927</v>
      </c>
      <c r="H29" t="s">
        <v>927</v>
      </c>
      <c r="J29" s="124"/>
      <c r="K29" t="s">
        <v>3186</v>
      </c>
      <c r="L29" t="s">
        <v>927</v>
      </c>
    </row>
    <row r="30" spans="1:12" x14ac:dyDescent="0.25">
      <c r="A30" s="63">
        <v>45795</v>
      </c>
      <c r="B30" t="s">
        <v>927</v>
      </c>
      <c r="C30" t="s">
        <v>658</v>
      </c>
      <c r="E30" t="s">
        <v>535</v>
      </c>
      <c r="G30" t="s">
        <v>927</v>
      </c>
      <c r="H30" t="s">
        <v>927</v>
      </c>
      <c r="J30" s="124"/>
      <c r="K30" t="s">
        <v>3183</v>
      </c>
      <c r="L30" t="s">
        <v>927</v>
      </c>
    </row>
    <row r="31" spans="1:12" x14ac:dyDescent="0.25">
      <c r="A31" s="63">
        <v>45795</v>
      </c>
      <c r="B31" t="s">
        <v>927</v>
      </c>
      <c r="C31" t="s">
        <v>503</v>
      </c>
      <c r="E31" t="s">
        <v>702</v>
      </c>
      <c r="G31" t="s">
        <v>927</v>
      </c>
      <c r="H31" t="s">
        <v>927</v>
      </c>
      <c r="J31" s="124"/>
      <c r="K31" t="s">
        <v>3192</v>
      </c>
      <c r="L31" t="s">
        <v>927</v>
      </c>
    </row>
    <row r="32" spans="1:12" x14ac:dyDescent="0.25">
      <c r="A32" s="63">
        <v>45796</v>
      </c>
      <c r="B32" t="s">
        <v>927</v>
      </c>
      <c r="C32" t="s">
        <v>687</v>
      </c>
      <c r="E32" t="s">
        <v>409</v>
      </c>
      <c r="G32" t="s">
        <v>927</v>
      </c>
      <c r="H32" t="s">
        <v>927</v>
      </c>
      <c r="J32" s="124"/>
      <c r="K32" t="s">
        <v>3190</v>
      </c>
      <c r="L32" t="s">
        <v>927</v>
      </c>
    </row>
    <row r="33" spans="1:12" x14ac:dyDescent="0.25">
      <c r="A33" s="63">
        <v>45797</v>
      </c>
      <c r="B33" t="s">
        <v>927</v>
      </c>
      <c r="C33" t="s">
        <v>535</v>
      </c>
      <c r="E33" t="s">
        <v>658</v>
      </c>
      <c r="G33" t="s">
        <v>927</v>
      </c>
      <c r="H33" t="s">
        <v>927</v>
      </c>
      <c r="J33" s="124"/>
      <c r="K33" t="s">
        <v>3193</v>
      </c>
      <c r="L33" t="s">
        <v>927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ECC0-D0ED-41C0-B560-DA8E69E0F197}">
  <dimension ref="A1:BA35"/>
  <sheetViews>
    <sheetView workbookViewId="0">
      <selection activeCell="M4" sqref="M4"/>
    </sheetView>
  </sheetViews>
  <sheetFormatPr defaultColWidth="5.140625" defaultRowHeight="15" x14ac:dyDescent="0.25"/>
  <cols>
    <col min="1" max="1" width="22.85546875" bestFit="1" customWidth="1"/>
    <col min="2" max="2" width="13" bestFit="1" customWidth="1"/>
    <col min="3" max="3" width="8.85546875" bestFit="1" customWidth="1"/>
    <col min="4" max="4" width="11.5703125" bestFit="1" customWidth="1"/>
    <col min="5" max="5" width="9.7109375" bestFit="1" customWidth="1"/>
    <col min="6" max="6" width="7" bestFit="1" customWidth="1"/>
    <col min="7" max="8" width="4.85546875" bestFit="1" customWidth="1"/>
    <col min="10" max="10" width="18.42578125" bestFit="1" customWidth="1"/>
    <col min="11" max="11" width="6.5703125" bestFit="1" customWidth="1"/>
    <col min="12" max="12" width="8.85546875" bestFit="1" customWidth="1"/>
    <col min="13" max="13" width="11.5703125" bestFit="1" customWidth="1"/>
    <col min="14" max="14" width="9.7109375" bestFit="1" customWidth="1"/>
    <col min="15" max="15" width="7" bestFit="1" customWidth="1"/>
    <col min="16" max="17" width="4.85546875" bestFit="1" customWidth="1"/>
    <col min="19" max="19" width="22.85546875" bestFit="1" customWidth="1"/>
    <col min="20" max="20" width="13" bestFit="1" customWidth="1"/>
    <col min="21" max="21" width="11.140625" bestFit="1" customWidth="1"/>
    <col min="22" max="22" width="13.85546875" bestFit="1" customWidth="1"/>
    <col min="23" max="23" width="12" bestFit="1" customWidth="1"/>
    <col min="24" max="24" width="9.28515625" bestFit="1" customWidth="1"/>
    <col min="25" max="25" width="6.85546875" bestFit="1" customWidth="1"/>
    <col min="26" max="26" width="6.42578125" bestFit="1" customWidth="1"/>
    <col min="28" max="28" width="14" bestFit="1" customWidth="1"/>
    <col min="29" max="29" width="6.28515625" bestFit="1" customWidth="1"/>
    <col min="30" max="30" width="8.85546875" bestFit="1" customWidth="1"/>
    <col min="31" max="31" width="11.5703125" bestFit="1" customWidth="1"/>
    <col min="32" max="32" width="9.7109375" bestFit="1" customWidth="1"/>
    <col min="33" max="33" width="7" bestFit="1" customWidth="1"/>
    <col min="34" max="35" width="4.85546875" bestFit="1" customWidth="1"/>
    <col min="37" max="37" width="22.85546875" bestFit="1" customWidth="1"/>
    <col min="38" max="38" width="13" bestFit="1" customWidth="1"/>
    <col min="39" max="39" width="8.85546875" bestFit="1" customWidth="1"/>
    <col min="40" max="40" width="11.5703125" bestFit="1" customWidth="1"/>
    <col min="41" max="41" width="9.7109375" bestFit="1" customWidth="1"/>
    <col min="42" max="42" width="7" bestFit="1" customWidth="1"/>
    <col min="43" max="44" width="4.85546875" bestFit="1" customWidth="1"/>
    <col min="46" max="46" width="22.85546875" bestFit="1" customWidth="1"/>
    <col min="47" max="47" width="13" bestFit="1" customWidth="1"/>
    <col min="48" max="48" width="8.85546875" bestFit="1" customWidth="1"/>
    <col min="49" max="49" width="11.5703125" bestFit="1" customWidth="1"/>
    <col min="50" max="50" width="9.7109375" bestFit="1" customWidth="1"/>
    <col min="51" max="51" width="7" bestFit="1" customWidth="1"/>
    <col min="52" max="53" width="4.85546875" bestFit="1" customWidth="1"/>
  </cols>
  <sheetData>
    <row r="1" spans="1:53" x14ac:dyDescent="0.25">
      <c r="B1" t="s">
        <v>3198</v>
      </c>
      <c r="J1" s="66" t="s">
        <v>3198</v>
      </c>
      <c r="K1" s="67"/>
      <c r="L1" s="68"/>
      <c r="M1" s="68"/>
      <c r="N1" s="68"/>
      <c r="O1" s="68"/>
      <c r="P1" s="68"/>
      <c r="Q1" s="69"/>
      <c r="S1" s="5" t="s">
        <v>3198</v>
      </c>
      <c r="T1" s="5"/>
      <c r="U1" s="5"/>
      <c r="AB1" s="5" t="s">
        <v>3198</v>
      </c>
      <c r="AC1" s="5"/>
      <c r="AD1" s="5"/>
      <c r="AK1" s="5" t="s">
        <v>3198</v>
      </c>
      <c r="AL1" s="5"/>
      <c r="AM1" s="5"/>
      <c r="AT1" s="5" t="s">
        <v>3198</v>
      </c>
      <c r="AU1" s="5"/>
      <c r="AV1" s="5"/>
    </row>
    <row r="2" spans="1:53" x14ac:dyDescent="0.25">
      <c r="B2" t="s">
        <v>3199</v>
      </c>
      <c r="J2" s="70" t="s">
        <v>3199</v>
      </c>
      <c r="K2" s="71" t="s">
        <v>698</v>
      </c>
      <c r="L2" s="72"/>
      <c r="M2" s="72"/>
      <c r="N2" s="72"/>
      <c r="O2" s="72"/>
      <c r="P2" s="72"/>
      <c r="Q2" s="73"/>
      <c r="S2" s="5" t="s">
        <v>3199</v>
      </c>
      <c r="T2" s="221" t="s">
        <v>3200</v>
      </c>
      <c r="U2" s="221"/>
      <c r="AB2" s="5" t="s">
        <v>3199</v>
      </c>
      <c r="AC2" s="221" t="s">
        <v>698</v>
      </c>
      <c r="AD2" s="221"/>
      <c r="AK2" s="5" t="s">
        <v>3199</v>
      </c>
      <c r="AL2" s="221"/>
      <c r="AM2" s="221"/>
      <c r="AT2" s="5" t="s">
        <v>3199</v>
      </c>
      <c r="AU2" s="221" t="s">
        <v>3200</v>
      </c>
      <c r="AV2" s="221"/>
    </row>
    <row r="3" spans="1:53" x14ac:dyDescent="0.25">
      <c r="A3" s="5" t="s">
        <v>3201</v>
      </c>
      <c r="B3" s="5"/>
      <c r="C3" s="5" t="s">
        <v>174</v>
      </c>
      <c r="D3" s="5" t="s">
        <v>175</v>
      </c>
      <c r="E3" s="5" t="s">
        <v>180</v>
      </c>
      <c r="F3" s="5" t="s">
        <v>178</v>
      </c>
      <c r="G3" s="5" t="s">
        <v>179</v>
      </c>
      <c r="H3" s="5" t="s">
        <v>3202</v>
      </c>
      <c r="J3" s="70" t="s">
        <v>3201</v>
      </c>
      <c r="K3" s="71"/>
      <c r="L3" s="71" t="s">
        <v>174</v>
      </c>
      <c r="M3" s="71" t="s">
        <v>175</v>
      </c>
      <c r="N3" s="71" t="s">
        <v>180</v>
      </c>
      <c r="O3" s="71" t="s">
        <v>178</v>
      </c>
      <c r="P3" s="71" t="s">
        <v>179</v>
      </c>
      <c r="Q3" s="74" t="s">
        <v>3202</v>
      </c>
      <c r="S3" s="5" t="s">
        <v>3201</v>
      </c>
      <c r="T3" s="5"/>
      <c r="U3" s="5" t="s">
        <v>174</v>
      </c>
      <c r="V3" s="5" t="s">
        <v>175</v>
      </c>
      <c r="W3" s="5" t="s">
        <v>180</v>
      </c>
      <c r="X3" s="5" t="s">
        <v>178</v>
      </c>
      <c r="Y3" s="5" t="s">
        <v>179</v>
      </c>
      <c r="Z3" s="5" t="s">
        <v>3202</v>
      </c>
      <c r="AB3" s="5" t="s">
        <v>3201</v>
      </c>
      <c r="AC3" s="5"/>
      <c r="AD3" s="5" t="s">
        <v>174</v>
      </c>
      <c r="AE3" s="5" t="s">
        <v>175</v>
      </c>
      <c r="AF3" s="5" t="s">
        <v>180</v>
      </c>
      <c r="AG3" s="5" t="s">
        <v>178</v>
      </c>
      <c r="AH3" s="5" t="s">
        <v>179</v>
      </c>
      <c r="AI3" s="5" t="s">
        <v>3202</v>
      </c>
      <c r="AK3" s="5" t="s">
        <v>3201</v>
      </c>
      <c r="AL3" s="5"/>
      <c r="AM3" s="5" t="s">
        <v>174</v>
      </c>
      <c r="AN3" s="5" t="s">
        <v>175</v>
      </c>
      <c r="AO3" s="5" t="s">
        <v>180</v>
      </c>
      <c r="AP3" s="5" t="s">
        <v>178</v>
      </c>
      <c r="AQ3" s="5" t="s">
        <v>179</v>
      </c>
      <c r="AR3" s="5" t="s">
        <v>3202</v>
      </c>
      <c r="AT3" s="5" t="s">
        <v>3201</v>
      </c>
      <c r="AU3" s="5"/>
      <c r="AV3" s="5" t="s">
        <v>174</v>
      </c>
      <c r="AW3" s="5" t="s">
        <v>175</v>
      </c>
      <c r="AX3" s="5" t="s">
        <v>180</v>
      </c>
      <c r="AY3" s="5" t="s">
        <v>178</v>
      </c>
      <c r="AZ3" s="5" t="s">
        <v>179</v>
      </c>
      <c r="BA3" s="5" t="s">
        <v>3202</v>
      </c>
    </row>
    <row r="4" spans="1:53" x14ac:dyDescent="0.25">
      <c r="A4" s="75" t="s">
        <v>3203</v>
      </c>
      <c r="B4" s="76" t="s">
        <v>3204</v>
      </c>
      <c r="C4" s="77" t="s">
        <v>3205</v>
      </c>
      <c r="D4" s="78" t="str">
        <f t="shared" ref="D4:D34" si="0">IF(G4 - H4 &gt; 0, "Under", "Over")</f>
        <v>Over</v>
      </c>
      <c r="E4" s="72" t="s">
        <v>698</v>
      </c>
      <c r="F4" s="79">
        <f>ABS(H4-G4)</f>
        <v>10</v>
      </c>
      <c r="G4" s="80">
        <v>12</v>
      </c>
      <c r="H4" s="81">
        <v>22</v>
      </c>
      <c r="J4" s="75" t="s">
        <v>154</v>
      </c>
      <c r="K4" s="76" t="s">
        <v>74</v>
      </c>
      <c r="L4" s="77" t="s">
        <v>3205</v>
      </c>
      <c r="M4" s="78" t="str">
        <f>IF(P4 - Q4 &gt; 0, "Under", "Over")</f>
        <v>Over</v>
      </c>
      <c r="N4" s="72">
        <v>36</v>
      </c>
      <c r="O4" s="96">
        <f t="shared" ref="O4:O16" si="1">ABS(Q4-P4)</f>
        <v>8.8999999999999986</v>
      </c>
      <c r="P4" s="80">
        <v>21.5</v>
      </c>
      <c r="Q4" s="81">
        <v>30.4</v>
      </c>
      <c r="S4" s="50" t="s">
        <v>101</v>
      </c>
      <c r="T4" s="49" t="s">
        <v>99</v>
      </c>
      <c r="U4" s="11" t="s">
        <v>3205</v>
      </c>
      <c r="V4" s="13" t="str">
        <f t="shared" ref="V4:V20" si="2">IF(Y4 - Z4 &gt; 0, "Under", "Over")</f>
        <v>Over</v>
      </c>
      <c r="W4" t="s">
        <v>698</v>
      </c>
      <c r="X4" s="42">
        <f t="shared" ref="X4:X20" si="3">ABS(Z4-Y4)</f>
        <v>5.8999999999999986</v>
      </c>
      <c r="Y4" s="9">
        <v>12.5</v>
      </c>
      <c r="Z4" s="9">
        <v>18.399999999999999</v>
      </c>
      <c r="AB4" s="50" t="s">
        <v>3206</v>
      </c>
      <c r="AC4" s="49" t="s">
        <v>40</v>
      </c>
      <c r="AD4" s="11" t="s">
        <v>3205</v>
      </c>
      <c r="AE4" s="13" t="str">
        <f>IF(AH4 - AI4 &gt; 0, "Under", "Over")</f>
        <v>Over</v>
      </c>
      <c r="AF4" t="s">
        <v>698</v>
      </c>
      <c r="AG4" s="42">
        <f>ABS(AI4-AH4)</f>
        <v>3.7999999999999972</v>
      </c>
      <c r="AH4" s="9">
        <v>29</v>
      </c>
      <c r="AI4" s="9">
        <v>32.799999999999997</v>
      </c>
      <c r="AK4" s="50" t="s">
        <v>118</v>
      </c>
      <c r="AL4" s="49" t="s">
        <v>99</v>
      </c>
      <c r="AM4" s="11" t="s">
        <v>3205</v>
      </c>
      <c r="AN4" s="13" t="str">
        <f>IF(AQ4 - AR4 &gt; 0, "Under", "Over")</f>
        <v>Under</v>
      </c>
      <c r="AO4" t="s">
        <v>698</v>
      </c>
      <c r="AP4" s="42">
        <v>22.5</v>
      </c>
      <c r="AQ4" s="9">
        <v>19</v>
      </c>
      <c r="AR4" s="9">
        <v>18.399999999999999</v>
      </c>
      <c r="AT4" s="50" t="s">
        <v>3203</v>
      </c>
      <c r="AU4" s="49" t="s">
        <v>3204</v>
      </c>
      <c r="AV4" s="11" t="s">
        <v>3205</v>
      </c>
      <c r="AW4" s="13" t="str">
        <f t="shared" ref="AW4:AW20" si="4">IF(AZ4 - BA4 &gt; 0, "Under", "Over")</f>
        <v>Over</v>
      </c>
      <c r="AX4" t="s">
        <v>698</v>
      </c>
      <c r="AY4" s="42">
        <f t="shared" ref="AY4:AY20" si="5">ABS(BA4-AZ4)</f>
        <v>10</v>
      </c>
      <c r="AZ4" s="9">
        <v>12</v>
      </c>
      <c r="BA4" s="9">
        <v>22</v>
      </c>
    </row>
    <row r="5" spans="1:53" x14ac:dyDescent="0.25">
      <c r="A5" s="75" t="s">
        <v>154</v>
      </c>
      <c r="B5" s="76" t="s">
        <v>74</v>
      </c>
      <c r="C5" s="77" t="s">
        <v>3205</v>
      </c>
      <c r="D5" s="78" t="str">
        <f t="shared" si="0"/>
        <v>Over</v>
      </c>
      <c r="E5" s="72">
        <v>36</v>
      </c>
      <c r="F5" s="79">
        <f t="shared" ref="F5:F35" si="6">ABS(H5-G5)</f>
        <v>8.8999999999999986</v>
      </c>
      <c r="G5" s="80">
        <v>21.5</v>
      </c>
      <c r="H5" s="81">
        <v>30.4</v>
      </c>
      <c r="J5" s="82" t="s">
        <v>404</v>
      </c>
      <c r="K5" s="76" t="s">
        <v>74</v>
      </c>
      <c r="L5" s="78" t="s">
        <v>3205</v>
      </c>
      <c r="M5" s="78" t="str">
        <f t="shared" ref="M5:M16" si="7">IF(P5 - Q5 &gt; 0, "Under", "Over")</f>
        <v>Over</v>
      </c>
      <c r="N5" s="83" t="s">
        <v>698</v>
      </c>
      <c r="O5" s="96">
        <f t="shared" si="1"/>
        <v>8.8999999999999986</v>
      </c>
      <c r="P5" s="80">
        <v>18.5</v>
      </c>
      <c r="Q5" s="81">
        <v>27.4</v>
      </c>
      <c r="S5" t="s">
        <v>101</v>
      </c>
      <c r="T5" t="s">
        <v>99</v>
      </c>
      <c r="U5" t="s">
        <v>3207</v>
      </c>
      <c r="V5" s="13" t="str">
        <f t="shared" si="2"/>
        <v>Over</v>
      </c>
      <c r="W5" t="s">
        <v>698</v>
      </c>
      <c r="X5" s="98">
        <f t="shared" si="3"/>
        <v>5.5</v>
      </c>
      <c r="Y5">
        <v>11.5</v>
      </c>
      <c r="Z5">
        <v>17</v>
      </c>
      <c r="AB5" t="s">
        <v>209</v>
      </c>
      <c r="AC5" t="s">
        <v>86</v>
      </c>
      <c r="AD5" t="s">
        <v>3207</v>
      </c>
      <c r="AE5" s="13" t="str">
        <f>IF(AH5 - AI5 &gt; 0, "Under", "Over")</f>
        <v>Over</v>
      </c>
      <c r="AF5" t="s">
        <v>698</v>
      </c>
      <c r="AG5" s="42">
        <f>ABS(AI5-AH5)</f>
        <v>6.1000000000000014</v>
      </c>
      <c r="AH5">
        <v>24.5</v>
      </c>
      <c r="AI5">
        <v>30.6</v>
      </c>
      <c r="AK5" t="s">
        <v>3208</v>
      </c>
      <c r="AL5" t="s">
        <v>61</v>
      </c>
      <c r="AM5" t="s">
        <v>3209</v>
      </c>
      <c r="AN5" s="13" t="str">
        <f>IF(AQ5 - AR5 &gt; 0, "Under", "Over")</f>
        <v>Under</v>
      </c>
      <c r="AO5" t="s">
        <v>698</v>
      </c>
      <c r="AP5" s="42">
        <f>ABS(AR5-AQ5)</f>
        <v>5.8000000000000007</v>
      </c>
      <c r="AQ5">
        <v>24</v>
      </c>
      <c r="AR5">
        <v>18.2</v>
      </c>
      <c r="AV5" t="s">
        <v>3207</v>
      </c>
      <c r="AW5" s="13" t="str">
        <f t="shared" si="4"/>
        <v>Over</v>
      </c>
      <c r="AX5" t="s">
        <v>698</v>
      </c>
      <c r="AY5" s="42">
        <f t="shared" si="5"/>
        <v>5.5</v>
      </c>
      <c r="AZ5">
        <v>11.5</v>
      </c>
      <c r="BA5">
        <v>17</v>
      </c>
    </row>
    <row r="6" spans="1:53" x14ac:dyDescent="0.25">
      <c r="A6" s="82" t="s">
        <v>404</v>
      </c>
      <c r="B6" s="76" t="s">
        <v>74</v>
      </c>
      <c r="C6" s="78" t="s">
        <v>3205</v>
      </c>
      <c r="D6" s="78" t="str">
        <f t="shared" si="0"/>
        <v>Over</v>
      </c>
      <c r="E6" s="83" t="s">
        <v>698</v>
      </c>
      <c r="F6" s="79">
        <f t="shared" si="6"/>
        <v>8.8999999999999986</v>
      </c>
      <c r="G6" s="80">
        <v>18.5</v>
      </c>
      <c r="H6" s="81">
        <v>27.4</v>
      </c>
      <c r="J6" s="75" t="s">
        <v>128</v>
      </c>
      <c r="K6" s="76" t="s">
        <v>74</v>
      </c>
      <c r="L6" s="77" t="s">
        <v>3205</v>
      </c>
      <c r="M6" s="78" t="str">
        <f t="shared" si="7"/>
        <v>Under</v>
      </c>
      <c r="N6" s="72">
        <v>44</v>
      </c>
      <c r="O6" s="97">
        <f t="shared" si="1"/>
        <v>3.6999999999999993</v>
      </c>
      <c r="P6" s="80">
        <v>25.5</v>
      </c>
      <c r="Q6" s="81">
        <v>21.8</v>
      </c>
      <c r="S6" s="48" t="s">
        <v>2037</v>
      </c>
      <c r="T6" s="49" t="s">
        <v>99</v>
      </c>
      <c r="U6" s="13" t="s">
        <v>3209</v>
      </c>
      <c r="V6" s="13" t="str">
        <f t="shared" si="2"/>
        <v>Over</v>
      </c>
      <c r="W6">
        <v>20</v>
      </c>
      <c r="X6" s="98">
        <f t="shared" si="3"/>
        <v>3.3000000000000007</v>
      </c>
      <c r="Y6" s="9">
        <v>9.5</v>
      </c>
      <c r="Z6" s="9">
        <v>12.8</v>
      </c>
      <c r="AB6" s="48" t="s">
        <v>372</v>
      </c>
      <c r="AC6" s="49"/>
      <c r="AD6" s="13" t="s">
        <v>3209</v>
      </c>
      <c r="AE6" s="13" t="str">
        <f>IF(AH6 - AI6 &gt; 0, "Under", "Over")</f>
        <v>Under</v>
      </c>
      <c r="AF6">
        <v>20</v>
      </c>
      <c r="AG6" s="42">
        <f>ABS(AI6-AH6)</f>
        <v>3.3000000000000007</v>
      </c>
      <c r="AH6" s="9">
        <v>12.5</v>
      </c>
      <c r="AI6" s="9">
        <v>9.1999999999999993</v>
      </c>
      <c r="AK6" s="48" t="s">
        <v>218</v>
      </c>
      <c r="AL6" s="49" t="s">
        <v>119</v>
      </c>
      <c r="AM6" s="13" t="s">
        <v>3209</v>
      </c>
      <c r="AN6" s="13" t="str">
        <f>IF(AQ6 - AR6 &gt; 0, "Under", "Over")</f>
        <v>Over</v>
      </c>
      <c r="AO6">
        <v>20</v>
      </c>
      <c r="AP6" s="42">
        <f>ABS(AR6-AQ6)</f>
        <v>2.8999999999999986</v>
      </c>
      <c r="AQ6" s="9">
        <v>22.5</v>
      </c>
      <c r="AR6" s="9">
        <v>25.4</v>
      </c>
      <c r="AT6" s="48"/>
      <c r="AU6" s="49"/>
      <c r="AV6" s="13" t="s">
        <v>3209</v>
      </c>
      <c r="AW6" s="13" t="str">
        <f t="shared" si="4"/>
        <v>Over</v>
      </c>
      <c r="AX6">
        <v>20</v>
      </c>
      <c r="AY6" s="42">
        <f t="shared" si="5"/>
        <v>3.3000000000000007</v>
      </c>
      <c r="AZ6" s="9">
        <v>9.5</v>
      </c>
      <c r="BA6" s="9">
        <v>12.8</v>
      </c>
    </row>
    <row r="7" spans="1:53" x14ac:dyDescent="0.25">
      <c r="A7" s="99" t="s">
        <v>209</v>
      </c>
      <c r="B7" s="72" t="s">
        <v>86</v>
      </c>
      <c r="C7" s="72" t="s">
        <v>3205</v>
      </c>
      <c r="D7" s="78" t="str">
        <f t="shared" si="0"/>
        <v>Over</v>
      </c>
      <c r="E7" s="72" t="s">
        <v>698</v>
      </c>
      <c r="F7" s="79">
        <f t="shared" si="6"/>
        <v>6.1000000000000014</v>
      </c>
      <c r="G7" s="72">
        <v>24.5</v>
      </c>
      <c r="H7" s="73">
        <v>30.6</v>
      </c>
      <c r="J7" s="82" t="s">
        <v>152</v>
      </c>
      <c r="K7" s="76" t="s">
        <v>57</v>
      </c>
      <c r="L7" s="78" t="s">
        <v>3205</v>
      </c>
      <c r="M7" s="78" t="str">
        <f t="shared" si="7"/>
        <v>Over</v>
      </c>
      <c r="N7" s="72">
        <v>23</v>
      </c>
      <c r="O7" s="96">
        <f t="shared" si="1"/>
        <v>3.3000000000000007</v>
      </c>
      <c r="P7" s="80">
        <v>14.5</v>
      </c>
      <c r="Q7" s="81">
        <v>17.8</v>
      </c>
      <c r="S7" s="49" t="s">
        <v>2175</v>
      </c>
      <c r="T7" s="49" t="s">
        <v>99</v>
      </c>
      <c r="U7" s="44" t="s">
        <v>3205</v>
      </c>
      <c r="V7" s="13" t="str">
        <f t="shared" si="2"/>
        <v>Over</v>
      </c>
      <c r="W7">
        <v>12</v>
      </c>
      <c r="X7" s="42">
        <f t="shared" si="3"/>
        <v>2.9000000000000004</v>
      </c>
      <c r="Y7" s="9">
        <v>7.5</v>
      </c>
      <c r="Z7" s="9">
        <v>10.4</v>
      </c>
      <c r="AB7" s="49" t="s">
        <v>307</v>
      </c>
      <c r="AC7" s="49" t="s">
        <v>40</v>
      </c>
      <c r="AD7" s="44" t="s">
        <v>3205</v>
      </c>
      <c r="AE7" s="13" t="str">
        <f>IF(AH7 - AI7 &gt; 0, "Under", "Over")</f>
        <v>Over</v>
      </c>
      <c r="AF7">
        <v>12</v>
      </c>
      <c r="AG7" s="42">
        <f>ABS(AI7-AH7)</f>
        <v>5.5</v>
      </c>
      <c r="AH7" s="9">
        <v>10.5</v>
      </c>
      <c r="AI7" s="9">
        <v>16</v>
      </c>
      <c r="AK7" s="49" t="s">
        <v>3210</v>
      </c>
      <c r="AL7" s="49" t="s">
        <v>61</v>
      </c>
      <c r="AM7" s="44" t="s">
        <v>3205</v>
      </c>
      <c r="AN7" s="13"/>
      <c r="AP7" s="42"/>
      <c r="AQ7" s="9">
        <v>14.5</v>
      </c>
      <c r="AR7" s="9">
        <v>16.8</v>
      </c>
      <c r="AT7" s="49"/>
      <c r="AU7" s="49"/>
      <c r="AV7" s="44" t="s">
        <v>3205</v>
      </c>
      <c r="AW7" s="13" t="str">
        <f t="shared" si="4"/>
        <v>Over</v>
      </c>
      <c r="AX7">
        <v>12</v>
      </c>
      <c r="AY7" s="42">
        <f t="shared" si="5"/>
        <v>2.9000000000000004</v>
      </c>
      <c r="AZ7" s="9">
        <v>7.5</v>
      </c>
      <c r="BA7" s="9">
        <v>10.4</v>
      </c>
    </row>
    <row r="8" spans="1:53" x14ac:dyDescent="0.25">
      <c r="A8" s="75" t="s">
        <v>101</v>
      </c>
      <c r="B8" s="76" t="s">
        <v>99</v>
      </c>
      <c r="C8" s="77" t="s">
        <v>3205</v>
      </c>
      <c r="D8" s="78" t="str">
        <f t="shared" si="0"/>
        <v>Over</v>
      </c>
      <c r="E8" s="72" t="s">
        <v>698</v>
      </c>
      <c r="F8" s="79">
        <f t="shared" si="6"/>
        <v>5.8999999999999986</v>
      </c>
      <c r="G8" s="80">
        <v>12.5</v>
      </c>
      <c r="H8" s="81">
        <v>18.399999999999999</v>
      </c>
      <c r="J8" s="84" t="s">
        <v>231</v>
      </c>
      <c r="K8" s="76" t="s">
        <v>57</v>
      </c>
      <c r="L8" s="85" t="s">
        <v>3205</v>
      </c>
      <c r="M8" s="78" t="str">
        <f t="shared" si="7"/>
        <v>Over</v>
      </c>
      <c r="N8" s="72">
        <v>16</v>
      </c>
      <c r="O8" s="79">
        <f t="shared" si="1"/>
        <v>2.9000000000000004</v>
      </c>
      <c r="P8" s="80">
        <v>12.5</v>
      </c>
      <c r="Q8" s="81">
        <v>15.4</v>
      </c>
      <c r="S8" s="49" t="s">
        <v>135</v>
      </c>
      <c r="T8" s="49" t="s">
        <v>99</v>
      </c>
      <c r="U8" s="44" t="s">
        <v>3205</v>
      </c>
      <c r="V8" s="13" t="str">
        <f t="shared" si="2"/>
        <v>Under</v>
      </c>
      <c r="W8">
        <v>17</v>
      </c>
      <c r="X8" s="42">
        <f t="shared" si="3"/>
        <v>2.7999999999999989</v>
      </c>
      <c r="Y8" s="9">
        <v>11.6</v>
      </c>
      <c r="Z8" s="9">
        <v>8.8000000000000007</v>
      </c>
      <c r="AC8" s="49"/>
      <c r="AD8" s="44"/>
      <c r="AE8" s="13"/>
      <c r="AG8" s="42"/>
      <c r="AH8" s="9"/>
      <c r="AI8" s="9"/>
      <c r="AK8" s="49"/>
      <c r="AL8" s="49" t="s">
        <v>204</v>
      </c>
      <c r="AM8" s="44"/>
      <c r="AN8" s="13"/>
      <c r="AP8" s="42"/>
      <c r="AQ8" s="9">
        <v>7.5</v>
      </c>
      <c r="AR8" s="9">
        <v>9.6</v>
      </c>
      <c r="AT8" s="49"/>
      <c r="AU8" s="49"/>
      <c r="AV8" s="44" t="s">
        <v>3205</v>
      </c>
      <c r="AW8" s="13" t="str">
        <f t="shared" si="4"/>
        <v>Under</v>
      </c>
      <c r="AX8">
        <v>17</v>
      </c>
      <c r="AY8" s="42">
        <f t="shared" si="5"/>
        <v>2.7999999999999989</v>
      </c>
      <c r="AZ8" s="9">
        <v>11.6</v>
      </c>
      <c r="BA8" s="9">
        <v>8.8000000000000007</v>
      </c>
    </row>
    <row r="9" spans="1:53" x14ac:dyDescent="0.25">
      <c r="A9" s="99" t="s">
        <v>3208</v>
      </c>
      <c r="B9" s="72" t="s">
        <v>61</v>
      </c>
      <c r="C9" s="72" t="s">
        <v>3209</v>
      </c>
      <c r="D9" s="78" t="str">
        <f t="shared" si="0"/>
        <v>Under</v>
      </c>
      <c r="E9" s="72" t="s">
        <v>698</v>
      </c>
      <c r="F9" s="79">
        <f t="shared" si="6"/>
        <v>5.8000000000000007</v>
      </c>
      <c r="G9" s="72">
        <v>24</v>
      </c>
      <c r="H9" s="73">
        <v>18.2</v>
      </c>
      <c r="J9" s="84" t="s">
        <v>3211</v>
      </c>
      <c r="K9" s="76" t="s">
        <v>57</v>
      </c>
      <c r="L9" s="85" t="s">
        <v>3205</v>
      </c>
      <c r="M9" s="78" t="str">
        <f t="shared" si="7"/>
        <v>Over</v>
      </c>
      <c r="N9" s="72">
        <v>1</v>
      </c>
      <c r="O9" s="79">
        <f t="shared" si="1"/>
        <v>2.5</v>
      </c>
      <c r="P9" s="80">
        <v>7.5</v>
      </c>
      <c r="Q9" s="81">
        <v>10</v>
      </c>
      <c r="S9" s="50" t="s">
        <v>1862</v>
      </c>
      <c r="T9" s="49" t="s">
        <v>99</v>
      </c>
      <c r="U9" s="11" t="s">
        <v>3205</v>
      </c>
      <c r="V9" s="13" t="str">
        <f t="shared" si="2"/>
        <v>Under</v>
      </c>
      <c r="W9">
        <v>12</v>
      </c>
      <c r="X9" s="42">
        <f t="shared" si="3"/>
        <v>1.9000000000000004</v>
      </c>
      <c r="Y9" s="9">
        <v>10.5</v>
      </c>
      <c r="Z9" s="9">
        <v>8.6</v>
      </c>
      <c r="AB9" s="50"/>
      <c r="AC9" s="49"/>
      <c r="AD9" s="11"/>
      <c r="AE9" s="13"/>
      <c r="AG9" s="42"/>
      <c r="AH9" s="9"/>
      <c r="AI9" s="9"/>
      <c r="AK9" s="50"/>
      <c r="AL9" s="49"/>
      <c r="AM9" s="11"/>
      <c r="AN9" s="13"/>
      <c r="AP9" s="42"/>
      <c r="AQ9" s="9"/>
      <c r="AR9" s="9">
        <v>8.6</v>
      </c>
      <c r="AT9" s="50"/>
      <c r="AU9" s="49"/>
      <c r="AV9" s="11" t="s">
        <v>3205</v>
      </c>
      <c r="AW9" s="13" t="str">
        <f t="shared" si="4"/>
        <v>Under</v>
      </c>
      <c r="AX9">
        <v>12</v>
      </c>
      <c r="AY9" s="42">
        <f t="shared" si="5"/>
        <v>1.9000000000000004</v>
      </c>
      <c r="AZ9" s="9">
        <v>10.5</v>
      </c>
      <c r="BA9" s="9">
        <v>8.6</v>
      </c>
    </row>
    <row r="10" spans="1:53" x14ac:dyDescent="0.25">
      <c r="A10" s="99" t="s">
        <v>101</v>
      </c>
      <c r="B10" s="72" t="s">
        <v>99</v>
      </c>
      <c r="C10" s="72" t="s">
        <v>3207</v>
      </c>
      <c r="D10" s="78" t="str">
        <f t="shared" si="0"/>
        <v>Over</v>
      </c>
      <c r="E10" s="72" t="s">
        <v>698</v>
      </c>
      <c r="F10" s="79">
        <f t="shared" si="6"/>
        <v>5.5</v>
      </c>
      <c r="G10" s="72">
        <v>11.5</v>
      </c>
      <c r="H10" s="73">
        <v>17</v>
      </c>
      <c r="J10" s="82" t="s">
        <v>152</v>
      </c>
      <c r="K10" s="76" t="s">
        <v>57</v>
      </c>
      <c r="L10" s="77" t="s">
        <v>3212</v>
      </c>
      <c r="M10" s="78" t="str">
        <f t="shared" si="7"/>
        <v>Over</v>
      </c>
      <c r="N10" s="72">
        <v>4</v>
      </c>
      <c r="O10" s="79">
        <f t="shared" si="1"/>
        <v>2.1999999999999993</v>
      </c>
      <c r="P10" s="80">
        <v>6</v>
      </c>
      <c r="Q10" s="81">
        <v>8.1999999999999993</v>
      </c>
      <c r="S10" s="48" t="s">
        <v>1901</v>
      </c>
      <c r="T10" s="49" t="s">
        <v>58</v>
      </c>
      <c r="U10" s="13" t="s">
        <v>3205</v>
      </c>
      <c r="V10" s="13" t="str">
        <f t="shared" si="2"/>
        <v>Over</v>
      </c>
      <c r="W10">
        <v>18</v>
      </c>
      <c r="X10" s="42">
        <f t="shared" si="3"/>
        <v>1.9000000000000004</v>
      </c>
      <c r="Y10" s="9">
        <v>11.5</v>
      </c>
      <c r="Z10" s="9">
        <v>13.4</v>
      </c>
      <c r="AB10" s="48"/>
      <c r="AC10" s="49"/>
      <c r="AD10" s="13"/>
      <c r="AE10" s="13"/>
      <c r="AG10" s="42"/>
      <c r="AH10" s="9"/>
      <c r="AI10" s="9"/>
      <c r="AK10" s="48"/>
      <c r="AL10" s="49"/>
      <c r="AM10" s="13"/>
      <c r="AN10" s="13"/>
      <c r="AP10" s="42"/>
      <c r="AQ10" s="9"/>
      <c r="AR10" s="9">
        <v>13.4</v>
      </c>
      <c r="AT10" s="48"/>
      <c r="AU10" s="49"/>
      <c r="AV10" s="13" t="s">
        <v>3205</v>
      </c>
      <c r="AW10" s="13" t="str">
        <f t="shared" si="4"/>
        <v>Over</v>
      </c>
      <c r="AX10">
        <v>18</v>
      </c>
      <c r="AY10" s="42">
        <f t="shared" si="5"/>
        <v>1.9000000000000004</v>
      </c>
      <c r="AZ10" s="9">
        <v>11.5</v>
      </c>
      <c r="BA10" s="9">
        <v>13.4</v>
      </c>
    </row>
    <row r="11" spans="1:53" x14ac:dyDescent="0.25">
      <c r="A11" s="84" t="s">
        <v>307</v>
      </c>
      <c r="B11" s="76" t="s">
        <v>40</v>
      </c>
      <c r="C11" s="85" t="s">
        <v>3205</v>
      </c>
      <c r="D11" s="78" t="str">
        <f t="shared" si="0"/>
        <v>Over</v>
      </c>
      <c r="E11" s="72">
        <v>12</v>
      </c>
      <c r="F11" s="79">
        <f t="shared" si="6"/>
        <v>5.5</v>
      </c>
      <c r="G11" s="80">
        <v>10.5</v>
      </c>
      <c r="H11" s="81">
        <v>16</v>
      </c>
      <c r="J11" s="86" t="s">
        <v>154</v>
      </c>
      <c r="K11" s="77" t="s">
        <v>74</v>
      </c>
      <c r="L11" s="77" t="s">
        <v>3212</v>
      </c>
      <c r="M11" s="78" t="str">
        <f t="shared" si="7"/>
        <v>Over</v>
      </c>
      <c r="N11" s="72">
        <v>3</v>
      </c>
      <c r="O11" s="79">
        <f t="shared" si="1"/>
        <v>1.7000000000000002</v>
      </c>
      <c r="P11" s="80">
        <v>2.5</v>
      </c>
      <c r="Q11" s="81">
        <v>4.2</v>
      </c>
      <c r="S11" s="48" t="s">
        <v>262</v>
      </c>
      <c r="T11" s="49" t="s">
        <v>58</v>
      </c>
      <c r="U11" s="13" t="s">
        <v>3205</v>
      </c>
      <c r="V11" s="13" t="str">
        <f t="shared" si="2"/>
        <v>Over</v>
      </c>
      <c r="W11">
        <v>11</v>
      </c>
      <c r="X11" s="42">
        <f t="shared" si="3"/>
        <v>1.9000000000000004</v>
      </c>
      <c r="Y11" s="9">
        <v>11.5</v>
      </c>
      <c r="Z11" s="9">
        <v>13.4</v>
      </c>
      <c r="AB11" s="48"/>
      <c r="AC11" s="49"/>
      <c r="AD11" s="13"/>
      <c r="AE11" s="13"/>
      <c r="AG11" s="42"/>
      <c r="AH11" s="9"/>
      <c r="AI11" s="9"/>
      <c r="AK11" s="48"/>
      <c r="AL11" s="49"/>
      <c r="AM11" s="13"/>
      <c r="AN11" s="13"/>
      <c r="AP11" s="42"/>
      <c r="AQ11" s="9"/>
      <c r="AR11" s="9">
        <v>13.4</v>
      </c>
      <c r="AT11" s="48"/>
      <c r="AU11" s="49"/>
      <c r="AV11" s="13" t="s">
        <v>3205</v>
      </c>
      <c r="AW11" s="13" t="str">
        <f t="shared" si="4"/>
        <v>Over</v>
      </c>
      <c r="AX11">
        <v>11</v>
      </c>
      <c r="AY11" s="42">
        <f t="shared" si="5"/>
        <v>1.9000000000000004</v>
      </c>
      <c r="AZ11" s="9">
        <v>11.5</v>
      </c>
      <c r="BA11" s="9">
        <v>13.4</v>
      </c>
    </row>
    <row r="12" spans="1:53" x14ac:dyDescent="0.25">
      <c r="A12" s="75" t="s">
        <v>3206</v>
      </c>
      <c r="B12" s="76" t="s">
        <v>40</v>
      </c>
      <c r="C12" s="77" t="s">
        <v>3205</v>
      </c>
      <c r="D12" s="78" t="str">
        <f t="shared" si="0"/>
        <v>Over</v>
      </c>
      <c r="E12" s="72" t="s">
        <v>698</v>
      </c>
      <c r="F12" s="79">
        <f t="shared" si="6"/>
        <v>3.7999999999999972</v>
      </c>
      <c r="G12" s="80">
        <v>29</v>
      </c>
      <c r="H12" s="81">
        <v>32.799999999999997</v>
      </c>
      <c r="J12" s="87" t="s">
        <v>110</v>
      </c>
      <c r="K12" s="76" t="s">
        <v>57</v>
      </c>
      <c r="L12" s="77" t="s">
        <v>3205</v>
      </c>
      <c r="M12" s="78" t="str">
        <f t="shared" si="7"/>
        <v>Under</v>
      </c>
      <c r="N12" s="72">
        <v>38</v>
      </c>
      <c r="O12" s="79">
        <f t="shared" si="1"/>
        <v>1.3000000000000007</v>
      </c>
      <c r="P12" s="80">
        <v>25.5</v>
      </c>
      <c r="Q12" s="81">
        <v>24.2</v>
      </c>
      <c r="S12" s="51" t="s">
        <v>260</v>
      </c>
      <c r="T12" s="49" t="s">
        <v>99</v>
      </c>
      <c r="U12" s="11" t="s">
        <v>3205</v>
      </c>
      <c r="V12" s="13" t="str">
        <f t="shared" si="2"/>
        <v>Over</v>
      </c>
      <c r="W12">
        <v>16</v>
      </c>
      <c r="X12" s="98">
        <f t="shared" si="3"/>
        <v>1.8999999999999986</v>
      </c>
      <c r="Y12" s="9">
        <v>17.5</v>
      </c>
      <c r="Z12" s="9">
        <v>19.399999999999999</v>
      </c>
      <c r="AB12" s="51"/>
      <c r="AC12" s="49"/>
      <c r="AD12" s="11"/>
      <c r="AE12" s="13"/>
      <c r="AG12" s="42"/>
      <c r="AH12" s="9"/>
      <c r="AI12" s="9"/>
      <c r="AK12" s="51"/>
      <c r="AL12" s="49"/>
      <c r="AM12" s="11"/>
      <c r="AN12" s="13"/>
      <c r="AP12" s="42"/>
      <c r="AQ12" s="9"/>
      <c r="AR12" s="9">
        <v>19.399999999999999</v>
      </c>
      <c r="AT12" s="51"/>
      <c r="AU12" s="49"/>
      <c r="AV12" s="11" t="s">
        <v>3205</v>
      </c>
      <c r="AW12" s="13" t="str">
        <f t="shared" si="4"/>
        <v>Over</v>
      </c>
      <c r="AX12">
        <v>16</v>
      </c>
      <c r="AY12" s="42">
        <f t="shared" si="5"/>
        <v>1.8999999999999986</v>
      </c>
      <c r="AZ12" s="9">
        <v>17.5</v>
      </c>
      <c r="BA12" s="9">
        <v>19.399999999999999</v>
      </c>
    </row>
    <row r="13" spans="1:53" x14ac:dyDescent="0.25">
      <c r="A13" s="75" t="s">
        <v>128</v>
      </c>
      <c r="B13" s="76" t="s">
        <v>74</v>
      </c>
      <c r="C13" s="77" t="s">
        <v>3205</v>
      </c>
      <c r="D13" s="78" t="str">
        <f t="shared" si="0"/>
        <v>Under</v>
      </c>
      <c r="E13" s="72">
        <v>44</v>
      </c>
      <c r="F13" s="79">
        <f t="shared" si="6"/>
        <v>3.6999999999999993</v>
      </c>
      <c r="G13" s="80">
        <v>25.5</v>
      </c>
      <c r="H13" s="81">
        <v>21.8</v>
      </c>
      <c r="J13" s="82" t="s">
        <v>165</v>
      </c>
      <c r="K13" s="76" t="s">
        <v>74</v>
      </c>
      <c r="L13" s="78" t="s">
        <v>3205</v>
      </c>
      <c r="M13" s="78" t="str">
        <f t="shared" si="7"/>
        <v>Over</v>
      </c>
      <c r="N13" s="72">
        <v>11</v>
      </c>
      <c r="O13" s="79">
        <f t="shared" si="1"/>
        <v>1.1000000000000014</v>
      </c>
      <c r="P13" s="80">
        <v>17.5</v>
      </c>
      <c r="Q13" s="81">
        <v>18.600000000000001</v>
      </c>
      <c r="S13" s="48" t="s">
        <v>367</v>
      </c>
      <c r="T13" s="49" t="s">
        <v>99</v>
      </c>
      <c r="U13" s="13" t="s">
        <v>3205</v>
      </c>
      <c r="V13" s="13" t="str">
        <f t="shared" si="2"/>
        <v>Under</v>
      </c>
      <c r="W13">
        <v>18</v>
      </c>
      <c r="X13" s="42">
        <f t="shared" si="3"/>
        <v>1.6999999999999993</v>
      </c>
      <c r="Y13" s="9">
        <v>26.5</v>
      </c>
      <c r="Z13" s="9">
        <v>24.8</v>
      </c>
      <c r="AB13" s="48"/>
      <c r="AC13" s="49"/>
      <c r="AD13" s="13"/>
      <c r="AE13" s="13"/>
      <c r="AG13" s="42"/>
      <c r="AH13" s="9"/>
      <c r="AI13" s="9"/>
      <c r="AK13" s="48"/>
      <c r="AL13" s="49"/>
      <c r="AM13" s="13"/>
      <c r="AN13" s="13"/>
      <c r="AP13" s="42"/>
      <c r="AQ13" s="9"/>
      <c r="AR13" s="9">
        <v>24.8</v>
      </c>
      <c r="AT13" s="48"/>
      <c r="AU13" s="49"/>
      <c r="AV13" s="13" t="s">
        <v>3205</v>
      </c>
      <c r="AW13" s="13" t="str">
        <f t="shared" si="4"/>
        <v>Under</v>
      </c>
      <c r="AX13">
        <v>18</v>
      </c>
      <c r="AY13" s="42">
        <f t="shared" si="5"/>
        <v>1.6999999999999993</v>
      </c>
      <c r="AZ13" s="9">
        <v>26.5</v>
      </c>
      <c r="BA13" s="9">
        <v>24.8</v>
      </c>
    </row>
    <row r="14" spans="1:53" x14ac:dyDescent="0.25">
      <c r="A14" s="82" t="s">
        <v>152</v>
      </c>
      <c r="B14" s="76" t="s">
        <v>57</v>
      </c>
      <c r="C14" s="78" t="s">
        <v>3205</v>
      </c>
      <c r="D14" s="78" t="str">
        <f t="shared" si="0"/>
        <v>Over</v>
      </c>
      <c r="E14" s="72">
        <v>23</v>
      </c>
      <c r="F14" s="79">
        <f t="shared" si="6"/>
        <v>3.3000000000000007</v>
      </c>
      <c r="G14" s="80">
        <v>14.5</v>
      </c>
      <c r="H14" s="81">
        <v>17.8</v>
      </c>
      <c r="J14" s="82" t="s">
        <v>407</v>
      </c>
      <c r="K14" s="76" t="s">
        <v>74</v>
      </c>
      <c r="L14" s="78" t="s">
        <v>3209</v>
      </c>
      <c r="M14" s="78" t="str">
        <f t="shared" si="7"/>
        <v>Under</v>
      </c>
      <c r="N14" s="72">
        <v>18</v>
      </c>
      <c r="O14" s="79">
        <f t="shared" si="1"/>
        <v>1.0999999999999996</v>
      </c>
      <c r="P14" s="80">
        <v>13.5</v>
      </c>
      <c r="Q14" s="81">
        <v>12.4</v>
      </c>
      <c r="S14" s="51" t="s">
        <v>260</v>
      </c>
      <c r="T14" s="49" t="s">
        <v>99</v>
      </c>
      <c r="U14" t="s">
        <v>3207</v>
      </c>
      <c r="V14" s="13" t="str">
        <f t="shared" si="2"/>
        <v>Over</v>
      </c>
      <c r="W14">
        <v>8</v>
      </c>
      <c r="X14" s="42">
        <f t="shared" si="3"/>
        <v>0.90000000000000036</v>
      </c>
      <c r="Y14">
        <v>6.5</v>
      </c>
      <c r="Z14">
        <v>7.4</v>
      </c>
      <c r="AB14" s="51"/>
      <c r="AC14" s="49"/>
      <c r="AE14" s="13"/>
      <c r="AG14" s="42"/>
      <c r="AK14" s="51"/>
      <c r="AL14" s="49"/>
      <c r="AN14" s="13"/>
      <c r="AP14" s="42"/>
      <c r="AR14">
        <v>7.4</v>
      </c>
      <c r="AT14" s="51"/>
      <c r="AU14" s="49"/>
      <c r="AV14" t="s">
        <v>3207</v>
      </c>
      <c r="AW14" s="13" t="str">
        <f t="shared" si="4"/>
        <v>Over</v>
      </c>
      <c r="AX14">
        <v>8</v>
      </c>
      <c r="AY14" s="42">
        <f t="shared" si="5"/>
        <v>0.90000000000000036</v>
      </c>
      <c r="AZ14">
        <v>6.5</v>
      </c>
      <c r="BA14">
        <v>7.4</v>
      </c>
    </row>
    <row r="15" spans="1:53" x14ac:dyDescent="0.25">
      <c r="A15" s="82" t="s">
        <v>2037</v>
      </c>
      <c r="B15" s="76" t="s">
        <v>99</v>
      </c>
      <c r="C15" s="78" t="s">
        <v>3209</v>
      </c>
      <c r="D15" s="78" t="str">
        <f t="shared" si="0"/>
        <v>Over</v>
      </c>
      <c r="E15" s="72">
        <v>20</v>
      </c>
      <c r="F15" s="79">
        <f t="shared" si="6"/>
        <v>3.3000000000000007</v>
      </c>
      <c r="G15" s="80">
        <v>9.5</v>
      </c>
      <c r="H15" s="81">
        <v>12.8</v>
      </c>
      <c r="J15" s="75" t="s">
        <v>328</v>
      </c>
      <c r="K15" s="79" t="s">
        <v>74</v>
      </c>
      <c r="L15" s="77" t="s">
        <v>3212</v>
      </c>
      <c r="M15" s="78" t="str">
        <f t="shared" si="7"/>
        <v>Over</v>
      </c>
      <c r="N15" s="72">
        <v>14</v>
      </c>
      <c r="O15" s="79">
        <f t="shared" si="1"/>
        <v>0.80000000000000071</v>
      </c>
      <c r="P15" s="80">
        <v>10</v>
      </c>
      <c r="Q15" s="81">
        <v>10.8</v>
      </c>
      <c r="S15" t="s">
        <v>2037</v>
      </c>
      <c r="T15" s="49" t="s">
        <v>99</v>
      </c>
      <c r="U15" s="11" t="s">
        <v>3213</v>
      </c>
      <c r="V15" s="13" t="str">
        <f t="shared" si="2"/>
        <v>Over</v>
      </c>
      <c r="W15">
        <v>3</v>
      </c>
      <c r="X15" s="42">
        <f t="shared" si="3"/>
        <v>0.89999999999999991</v>
      </c>
      <c r="Y15">
        <v>1.5</v>
      </c>
      <c r="Z15">
        <v>2.4</v>
      </c>
      <c r="AC15" s="49"/>
      <c r="AD15" s="11"/>
      <c r="AE15" s="13"/>
      <c r="AG15" s="42"/>
      <c r="AL15" s="49"/>
      <c r="AM15" s="11"/>
      <c r="AN15" s="13"/>
      <c r="AP15" s="42"/>
      <c r="AR15">
        <v>2.4</v>
      </c>
      <c r="AU15" s="49"/>
      <c r="AV15" s="11" t="s">
        <v>3213</v>
      </c>
      <c r="AW15" s="13" t="str">
        <f t="shared" si="4"/>
        <v>Over</v>
      </c>
      <c r="AX15">
        <v>3</v>
      </c>
      <c r="AY15" s="42">
        <f t="shared" si="5"/>
        <v>0.89999999999999991</v>
      </c>
      <c r="AZ15">
        <v>1.5</v>
      </c>
      <c r="BA15">
        <v>2.4</v>
      </c>
    </row>
    <row r="16" spans="1:53" x14ac:dyDescent="0.25">
      <c r="A16" s="100" t="s">
        <v>372</v>
      </c>
      <c r="B16" s="89"/>
      <c r="C16" s="91" t="s">
        <v>3209</v>
      </c>
      <c r="D16" s="91" t="str">
        <f t="shared" si="0"/>
        <v>Under</v>
      </c>
      <c r="E16" s="92">
        <v>20</v>
      </c>
      <c r="F16" s="79">
        <f t="shared" si="6"/>
        <v>3.3000000000000007</v>
      </c>
      <c r="G16" s="94">
        <v>12.5</v>
      </c>
      <c r="H16" s="95">
        <v>9.1999999999999993</v>
      </c>
      <c r="J16" s="88" t="s">
        <v>328</v>
      </c>
      <c r="K16" s="89" t="s">
        <v>57</v>
      </c>
      <c r="L16" s="90" t="s">
        <v>3205</v>
      </c>
      <c r="M16" s="91" t="str">
        <f t="shared" si="7"/>
        <v>Under</v>
      </c>
      <c r="N16" s="92">
        <v>21</v>
      </c>
      <c r="O16" s="93">
        <f t="shared" si="1"/>
        <v>0.69999999999999929</v>
      </c>
      <c r="P16" s="94">
        <v>15.5</v>
      </c>
      <c r="Q16" s="95">
        <v>14.8</v>
      </c>
      <c r="S16" s="49" t="s">
        <v>2175</v>
      </c>
      <c r="T16" s="49" t="s">
        <v>99</v>
      </c>
      <c r="U16" s="11" t="s">
        <v>3213</v>
      </c>
      <c r="V16" s="13" t="str">
        <f t="shared" si="2"/>
        <v>Over</v>
      </c>
      <c r="W16">
        <v>3</v>
      </c>
      <c r="X16" s="42">
        <f t="shared" si="3"/>
        <v>0.70000000000000018</v>
      </c>
      <c r="Y16">
        <v>1.5</v>
      </c>
      <c r="Z16">
        <v>2.2000000000000002</v>
      </c>
      <c r="AB16" s="49"/>
      <c r="AC16" s="49"/>
      <c r="AD16" s="11"/>
      <c r="AE16" s="13"/>
      <c r="AG16" s="42"/>
      <c r="AK16" s="49"/>
      <c r="AL16" s="49"/>
      <c r="AM16" s="11"/>
      <c r="AN16" s="13"/>
      <c r="AP16" s="42"/>
      <c r="AR16">
        <v>2.2000000000000002</v>
      </c>
      <c r="AT16" s="49"/>
      <c r="AU16" s="49"/>
      <c r="AV16" s="11" t="s">
        <v>3213</v>
      </c>
      <c r="AW16" s="13" t="str">
        <f t="shared" si="4"/>
        <v>Over</v>
      </c>
      <c r="AX16">
        <v>3</v>
      </c>
      <c r="AY16" s="42">
        <f t="shared" si="5"/>
        <v>0.70000000000000018</v>
      </c>
      <c r="AZ16">
        <v>1.5</v>
      </c>
      <c r="BA16">
        <v>2.2000000000000002</v>
      </c>
    </row>
    <row r="17" spans="1:53" x14ac:dyDescent="0.25">
      <c r="A17" s="49" t="s">
        <v>231</v>
      </c>
      <c r="B17" s="49" t="s">
        <v>57</v>
      </c>
      <c r="C17" s="44" t="s">
        <v>3205</v>
      </c>
      <c r="D17" s="13" t="str">
        <f t="shared" si="0"/>
        <v>Over</v>
      </c>
      <c r="E17">
        <v>16</v>
      </c>
      <c r="F17" s="79">
        <f t="shared" si="6"/>
        <v>2.9000000000000004</v>
      </c>
      <c r="G17" s="9">
        <v>12.5</v>
      </c>
      <c r="H17" s="9">
        <v>15.4</v>
      </c>
      <c r="J17" s="11"/>
      <c r="K17" s="11"/>
      <c r="L17" s="11"/>
      <c r="M17" s="13"/>
      <c r="O17" s="46"/>
      <c r="P17" s="9"/>
      <c r="Q17" s="9"/>
      <c r="S17" s="50" t="s">
        <v>1862</v>
      </c>
      <c r="T17" s="49" t="s">
        <v>99</v>
      </c>
      <c r="U17" s="11" t="s">
        <v>3213</v>
      </c>
      <c r="V17" s="13" t="str">
        <f t="shared" si="2"/>
        <v>Under</v>
      </c>
      <c r="W17">
        <v>4</v>
      </c>
      <c r="X17" s="42">
        <f t="shared" si="3"/>
        <v>0.7</v>
      </c>
      <c r="Y17" s="9">
        <v>2.5</v>
      </c>
      <c r="Z17" s="9">
        <v>1.8</v>
      </c>
      <c r="AB17" s="50"/>
      <c r="AC17" s="49"/>
      <c r="AD17" s="11"/>
      <c r="AE17" s="13"/>
      <c r="AG17" s="42"/>
      <c r="AH17" s="9"/>
      <c r="AI17" s="9"/>
      <c r="AK17" s="50"/>
      <c r="AL17" s="49"/>
      <c r="AM17" s="11"/>
      <c r="AN17" s="13"/>
      <c r="AP17" s="42"/>
      <c r="AQ17" s="9"/>
      <c r="AR17" s="9">
        <v>1.8</v>
      </c>
      <c r="AT17" s="50"/>
      <c r="AU17" s="49"/>
      <c r="AV17" s="11" t="s">
        <v>3213</v>
      </c>
      <c r="AW17" s="13" t="str">
        <f t="shared" si="4"/>
        <v>Under</v>
      </c>
      <c r="AX17">
        <v>4</v>
      </c>
      <c r="AY17" s="42">
        <f t="shared" si="5"/>
        <v>0.7</v>
      </c>
      <c r="AZ17" s="9">
        <v>2.5</v>
      </c>
      <c r="BA17" s="9">
        <v>1.8</v>
      </c>
    </row>
    <row r="18" spans="1:53" x14ac:dyDescent="0.25">
      <c r="A18" s="49" t="s">
        <v>2175</v>
      </c>
      <c r="B18" s="49" t="s">
        <v>99</v>
      </c>
      <c r="C18" s="44" t="s">
        <v>3205</v>
      </c>
      <c r="D18" s="13" t="str">
        <f t="shared" si="0"/>
        <v>Over</v>
      </c>
      <c r="E18">
        <v>12</v>
      </c>
      <c r="F18" s="79">
        <f t="shared" si="6"/>
        <v>2.9000000000000004</v>
      </c>
      <c r="G18" s="9">
        <v>7.5</v>
      </c>
      <c r="H18" s="9">
        <v>10.4</v>
      </c>
      <c r="J18" s="48"/>
      <c r="K18" s="49"/>
      <c r="L18" s="13"/>
      <c r="M18" s="13"/>
      <c r="O18" s="42"/>
      <c r="P18" s="9"/>
      <c r="Q18" s="9"/>
      <c r="S18" s="51" t="s">
        <v>260</v>
      </c>
      <c r="T18" s="49" t="s">
        <v>99</v>
      </c>
      <c r="U18" s="11" t="s">
        <v>3213</v>
      </c>
      <c r="V18" s="13" t="str">
        <f t="shared" si="2"/>
        <v>Under</v>
      </c>
      <c r="W18">
        <v>0</v>
      </c>
      <c r="X18" s="42">
        <f t="shared" si="3"/>
        <v>0.5</v>
      </c>
      <c r="Y18" s="9">
        <v>2</v>
      </c>
      <c r="Z18" s="9">
        <v>1.5</v>
      </c>
      <c r="AB18" s="51"/>
      <c r="AC18" s="49"/>
      <c r="AD18" s="11"/>
      <c r="AE18" s="13"/>
      <c r="AG18" s="42"/>
      <c r="AH18" s="9"/>
      <c r="AI18" s="9"/>
      <c r="AK18" s="51"/>
      <c r="AL18" s="49"/>
      <c r="AM18" s="11"/>
      <c r="AN18" s="13"/>
      <c r="AP18" s="42"/>
      <c r="AQ18" s="9"/>
      <c r="AR18" s="9">
        <v>1.5</v>
      </c>
      <c r="AT18" s="51"/>
      <c r="AU18" s="49"/>
      <c r="AV18" s="11" t="s">
        <v>3213</v>
      </c>
      <c r="AW18" s="13" t="str">
        <f t="shared" si="4"/>
        <v>Under</v>
      </c>
      <c r="AX18">
        <v>0</v>
      </c>
      <c r="AY18" s="42">
        <f t="shared" si="5"/>
        <v>0.5</v>
      </c>
      <c r="AZ18" s="9">
        <v>2</v>
      </c>
      <c r="BA18" s="9">
        <v>1.5</v>
      </c>
    </row>
    <row r="19" spans="1:53" x14ac:dyDescent="0.25">
      <c r="A19" s="48" t="s">
        <v>218</v>
      </c>
      <c r="B19" s="49" t="s">
        <v>119</v>
      </c>
      <c r="C19" s="13" t="s">
        <v>3209</v>
      </c>
      <c r="D19" s="13" t="str">
        <f t="shared" si="0"/>
        <v>Over</v>
      </c>
      <c r="E19">
        <v>20</v>
      </c>
      <c r="F19" s="79">
        <f t="shared" si="6"/>
        <v>2.8999999999999986</v>
      </c>
      <c r="G19" s="9">
        <v>22.5</v>
      </c>
      <c r="H19" s="9">
        <v>25.4</v>
      </c>
      <c r="J19" s="50"/>
      <c r="K19" s="49"/>
      <c r="L19" s="11"/>
      <c r="M19" s="13"/>
      <c r="O19" s="43"/>
      <c r="P19" s="9"/>
      <c r="Q19" s="9"/>
      <c r="S19" s="50" t="s">
        <v>122</v>
      </c>
      <c r="T19" s="49" t="s">
        <v>99</v>
      </c>
      <c r="U19" s="11" t="s">
        <v>3205</v>
      </c>
      <c r="V19" s="13" t="str">
        <f t="shared" si="2"/>
        <v>Over</v>
      </c>
      <c r="W19">
        <v>23</v>
      </c>
      <c r="X19" s="98">
        <f t="shared" si="3"/>
        <v>0.30000000000000071</v>
      </c>
      <c r="Y19" s="9">
        <v>11.5</v>
      </c>
      <c r="Z19" s="9">
        <v>11.8</v>
      </c>
      <c r="AB19" s="50"/>
      <c r="AC19" s="49"/>
      <c r="AD19" s="11"/>
      <c r="AE19" s="13"/>
      <c r="AG19" s="42"/>
      <c r="AH19" s="9"/>
      <c r="AI19" s="9"/>
      <c r="AK19" s="50"/>
      <c r="AL19" s="49"/>
      <c r="AM19" s="11"/>
      <c r="AN19" s="13"/>
      <c r="AP19" s="42"/>
      <c r="AQ19" s="9"/>
      <c r="AR19" s="9">
        <v>11.8</v>
      </c>
      <c r="AT19" s="50"/>
      <c r="AU19" s="49"/>
      <c r="AV19" s="11" t="s">
        <v>3205</v>
      </c>
      <c r="AW19" s="13" t="str">
        <f t="shared" si="4"/>
        <v>Over</v>
      </c>
      <c r="AX19">
        <v>23</v>
      </c>
      <c r="AY19" s="42">
        <f t="shared" si="5"/>
        <v>0.30000000000000071</v>
      </c>
      <c r="AZ19" s="9">
        <v>11.5</v>
      </c>
      <c r="BA19" s="9">
        <v>11.8</v>
      </c>
    </row>
    <row r="20" spans="1:53" x14ac:dyDescent="0.25">
      <c r="A20" s="49" t="s">
        <v>135</v>
      </c>
      <c r="B20" s="49" t="s">
        <v>99</v>
      </c>
      <c r="C20" s="44" t="s">
        <v>3205</v>
      </c>
      <c r="D20" s="13" t="str">
        <f t="shared" si="0"/>
        <v>Under</v>
      </c>
      <c r="E20">
        <v>17</v>
      </c>
      <c r="F20" s="79">
        <f t="shared" si="6"/>
        <v>2.7999999999999989</v>
      </c>
      <c r="G20" s="9">
        <v>11.6</v>
      </c>
      <c r="H20" s="9">
        <v>8.8000000000000007</v>
      </c>
      <c r="J20" s="49"/>
      <c r="K20" s="49"/>
      <c r="L20" s="44"/>
      <c r="M20" s="13"/>
      <c r="P20" s="9"/>
      <c r="Q20" s="9"/>
      <c r="S20" s="48" t="s">
        <v>367</v>
      </c>
      <c r="T20" s="49" t="s">
        <v>99</v>
      </c>
      <c r="U20" s="11" t="s">
        <v>3213</v>
      </c>
      <c r="V20" s="13" t="str">
        <f t="shared" si="2"/>
        <v>Over</v>
      </c>
      <c r="W20">
        <v>4</v>
      </c>
      <c r="X20" s="42">
        <f t="shared" si="3"/>
        <v>0.29999999999999982</v>
      </c>
      <c r="Y20" s="9">
        <v>3.5</v>
      </c>
      <c r="Z20" s="9">
        <v>3.8</v>
      </c>
      <c r="AB20" s="48"/>
      <c r="AC20" s="49"/>
      <c r="AD20" s="11"/>
      <c r="AE20" s="13"/>
      <c r="AG20" s="42"/>
      <c r="AH20" s="9"/>
      <c r="AI20" s="9"/>
      <c r="AK20" s="48"/>
      <c r="AL20" s="49"/>
      <c r="AM20" s="11"/>
      <c r="AN20" s="13"/>
      <c r="AP20" s="42"/>
      <c r="AQ20" s="9"/>
      <c r="AR20" s="9">
        <v>3.8</v>
      </c>
      <c r="AT20" s="48"/>
      <c r="AU20" s="49"/>
      <c r="AV20" s="11" t="s">
        <v>3213</v>
      </c>
      <c r="AW20" s="13" t="str">
        <f t="shared" si="4"/>
        <v>Over</v>
      </c>
      <c r="AX20">
        <v>4</v>
      </c>
      <c r="AY20" s="42">
        <f t="shared" si="5"/>
        <v>0.29999999999999982</v>
      </c>
      <c r="AZ20" s="9">
        <v>3.5</v>
      </c>
      <c r="BA20" s="9">
        <v>3.8</v>
      </c>
    </row>
    <row r="21" spans="1:53" x14ac:dyDescent="0.25">
      <c r="A21" s="49" t="s">
        <v>3211</v>
      </c>
      <c r="B21" s="49" t="s">
        <v>57</v>
      </c>
      <c r="C21" s="44" t="s">
        <v>3205</v>
      </c>
      <c r="D21" s="13" t="str">
        <f t="shared" si="0"/>
        <v>Over</v>
      </c>
      <c r="E21">
        <v>1</v>
      </c>
      <c r="F21" s="79">
        <f t="shared" si="6"/>
        <v>2.5</v>
      </c>
      <c r="G21" s="9">
        <v>7.5</v>
      </c>
      <c r="H21" s="9">
        <v>10</v>
      </c>
      <c r="J21" s="51"/>
      <c r="K21" s="49"/>
      <c r="L21" s="11"/>
      <c r="M21" s="13"/>
      <c r="P21" s="9"/>
      <c r="Q21" s="9"/>
      <c r="X21" s="42"/>
    </row>
    <row r="22" spans="1:53" x14ac:dyDescent="0.25">
      <c r="A22" s="48" t="s">
        <v>152</v>
      </c>
      <c r="B22" s="49" t="s">
        <v>57</v>
      </c>
      <c r="C22" s="11" t="s">
        <v>3212</v>
      </c>
      <c r="D22" s="13" t="str">
        <f t="shared" si="0"/>
        <v>Over</v>
      </c>
      <c r="E22">
        <v>4</v>
      </c>
      <c r="F22" s="79">
        <f t="shared" si="6"/>
        <v>2.1999999999999993</v>
      </c>
      <c r="G22" s="9">
        <v>6</v>
      </c>
      <c r="H22" s="9">
        <v>8.1999999999999993</v>
      </c>
      <c r="J22" s="49"/>
      <c r="K22" s="49"/>
      <c r="L22" s="44"/>
      <c r="M22" s="13"/>
      <c r="O22" s="43"/>
      <c r="P22" s="9"/>
      <c r="Q22" s="9"/>
      <c r="X22" s="42"/>
    </row>
    <row r="23" spans="1:53" x14ac:dyDescent="0.25">
      <c r="A23" s="50" t="s">
        <v>1862</v>
      </c>
      <c r="B23" s="49" t="s">
        <v>99</v>
      </c>
      <c r="C23" s="11" t="s">
        <v>3205</v>
      </c>
      <c r="D23" s="13" t="str">
        <f t="shared" si="0"/>
        <v>Under</v>
      </c>
      <c r="E23">
        <v>12</v>
      </c>
      <c r="F23" s="79">
        <f t="shared" si="6"/>
        <v>1.9000000000000004</v>
      </c>
      <c r="G23" s="9">
        <v>10.5</v>
      </c>
      <c r="H23" s="9">
        <v>8.6</v>
      </c>
      <c r="J23" s="50"/>
      <c r="K23" s="49"/>
      <c r="L23" s="11"/>
      <c r="M23" s="13"/>
      <c r="O23" s="43"/>
      <c r="P23" s="9"/>
      <c r="Q23" s="9"/>
      <c r="X23" s="42"/>
    </row>
    <row r="24" spans="1:53" x14ac:dyDescent="0.25">
      <c r="A24" s="48" t="s">
        <v>1901</v>
      </c>
      <c r="B24" s="49" t="s">
        <v>58</v>
      </c>
      <c r="C24" s="13" t="s">
        <v>3205</v>
      </c>
      <c r="D24" s="13" t="str">
        <f t="shared" si="0"/>
        <v>Over</v>
      </c>
      <c r="E24">
        <v>18</v>
      </c>
      <c r="F24" s="79">
        <f t="shared" si="6"/>
        <v>1.9000000000000004</v>
      </c>
      <c r="G24" s="9">
        <v>11.5</v>
      </c>
      <c r="H24" s="9">
        <v>13.4</v>
      </c>
      <c r="J24" s="48"/>
      <c r="K24" s="49"/>
      <c r="L24" s="13"/>
      <c r="M24" s="13"/>
      <c r="P24" s="9"/>
      <c r="Q24" s="9"/>
      <c r="X24" s="42"/>
    </row>
    <row r="25" spans="1:53" x14ac:dyDescent="0.25">
      <c r="A25" s="48" t="s">
        <v>262</v>
      </c>
      <c r="B25" s="49" t="s">
        <v>58</v>
      </c>
      <c r="C25" s="13" t="s">
        <v>3205</v>
      </c>
      <c r="D25" s="13" t="str">
        <f t="shared" si="0"/>
        <v>Over</v>
      </c>
      <c r="E25">
        <v>11</v>
      </c>
      <c r="F25" s="79">
        <f t="shared" si="6"/>
        <v>1.9000000000000004</v>
      </c>
      <c r="G25" s="9">
        <v>11.5</v>
      </c>
      <c r="H25" s="9">
        <v>13.4</v>
      </c>
      <c r="J25" s="50"/>
      <c r="K25" s="49"/>
      <c r="L25" s="11"/>
      <c r="M25" s="13"/>
      <c r="O25" s="45"/>
      <c r="P25" s="9"/>
      <c r="Q25" s="9"/>
      <c r="X25" s="42">
        <f t="shared" ref="X25" si="8">ABS(Z25-Y25)</f>
        <v>0</v>
      </c>
    </row>
    <row r="26" spans="1:53" x14ac:dyDescent="0.25">
      <c r="A26" s="51" t="s">
        <v>260</v>
      </c>
      <c r="B26" s="49" t="s">
        <v>99</v>
      </c>
      <c r="C26" s="11" t="s">
        <v>3205</v>
      </c>
      <c r="D26" s="13" t="str">
        <f t="shared" si="0"/>
        <v>Over</v>
      </c>
      <c r="E26">
        <v>16</v>
      </c>
      <c r="F26" s="79">
        <f t="shared" si="6"/>
        <v>1.8999999999999986</v>
      </c>
      <c r="G26" s="9">
        <v>17.5</v>
      </c>
      <c r="H26" s="9">
        <v>19.399999999999999</v>
      </c>
      <c r="J26" s="48"/>
      <c r="K26" s="49"/>
      <c r="L26" s="13"/>
      <c r="M26" s="13"/>
      <c r="P26" s="9"/>
      <c r="Q26" s="9"/>
    </row>
    <row r="27" spans="1:53" x14ac:dyDescent="0.25">
      <c r="A27" s="11" t="s">
        <v>154</v>
      </c>
      <c r="B27" s="11" t="s">
        <v>74</v>
      </c>
      <c r="C27" s="11" t="s">
        <v>3212</v>
      </c>
      <c r="D27" s="13" t="str">
        <f t="shared" si="0"/>
        <v>Over</v>
      </c>
      <c r="E27">
        <v>3</v>
      </c>
      <c r="F27" s="79">
        <f t="shared" si="6"/>
        <v>1.7000000000000002</v>
      </c>
      <c r="G27" s="9">
        <v>2.5</v>
      </c>
      <c r="H27" s="9">
        <v>4.2</v>
      </c>
      <c r="J27" s="48"/>
      <c r="K27" s="49"/>
      <c r="L27" s="13"/>
      <c r="M27" s="13"/>
      <c r="O27" s="45"/>
      <c r="P27" s="9"/>
      <c r="Q27" s="9"/>
    </row>
    <row r="28" spans="1:53" x14ac:dyDescent="0.25">
      <c r="A28" s="48" t="s">
        <v>367</v>
      </c>
      <c r="B28" s="49" t="s">
        <v>99</v>
      </c>
      <c r="C28" s="13" t="s">
        <v>3205</v>
      </c>
      <c r="D28" s="13" t="str">
        <f t="shared" si="0"/>
        <v>Under</v>
      </c>
      <c r="E28">
        <v>18</v>
      </c>
      <c r="F28" s="79">
        <f t="shared" si="6"/>
        <v>1.6999999999999993</v>
      </c>
      <c r="G28" s="9">
        <v>26.5</v>
      </c>
      <c r="H28" s="9">
        <v>24.8</v>
      </c>
      <c r="J28" s="48"/>
      <c r="K28" s="49"/>
      <c r="L28" s="11"/>
      <c r="M28" s="13"/>
      <c r="O28" s="45"/>
      <c r="P28" s="9"/>
      <c r="Q28" s="9"/>
    </row>
    <row r="29" spans="1:53" x14ac:dyDescent="0.25">
      <c r="A29" s="51" t="s">
        <v>110</v>
      </c>
      <c r="B29" s="49" t="s">
        <v>57</v>
      </c>
      <c r="C29" s="11" t="s">
        <v>3205</v>
      </c>
      <c r="D29" s="13" t="str">
        <f t="shared" si="0"/>
        <v>Under</v>
      </c>
      <c r="E29">
        <v>38</v>
      </c>
      <c r="F29" s="79">
        <f t="shared" si="6"/>
        <v>1.3000000000000007</v>
      </c>
      <c r="G29" s="9">
        <v>25.5</v>
      </c>
      <c r="H29" s="9">
        <v>24.2</v>
      </c>
      <c r="J29" s="11"/>
      <c r="K29" s="11"/>
      <c r="L29" s="11"/>
      <c r="M29" s="13"/>
      <c r="O29" s="46"/>
      <c r="P29" s="9"/>
      <c r="Q29" s="9"/>
    </row>
    <row r="30" spans="1:53" x14ac:dyDescent="0.25">
      <c r="A30" s="48" t="s">
        <v>165</v>
      </c>
      <c r="B30" s="49" t="s">
        <v>74</v>
      </c>
      <c r="C30" s="13" t="s">
        <v>3205</v>
      </c>
      <c r="D30" s="13" t="str">
        <f t="shared" si="0"/>
        <v>Over</v>
      </c>
      <c r="E30">
        <v>11</v>
      </c>
      <c r="F30" s="79">
        <f t="shared" si="6"/>
        <v>1.1000000000000014</v>
      </c>
      <c r="G30" s="9">
        <v>17.5</v>
      </c>
      <c r="H30" s="9">
        <v>18.600000000000001</v>
      </c>
    </row>
    <row r="31" spans="1:53" x14ac:dyDescent="0.25">
      <c r="A31" s="48" t="s">
        <v>407</v>
      </c>
      <c r="B31" s="49" t="s">
        <v>74</v>
      </c>
      <c r="C31" s="13" t="s">
        <v>3209</v>
      </c>
      <c r="D31" s="13" t="str">
        <f t="shared" si="0"/>
        <v>Under</v>
      </c>
      <c r="E31">
        <v>18</v>
      </c>
      <c r="F31" s="79">
        <f t="shared" si="6"/>
        <v>1.0999999999999996</v>
      </c>
      <c r="G31" s="9">
        <v>13.5</v>
      </c>
      <c r="H31" s="9">
        <v>12.4</v>
      </c>
    </row>
    <row r="32" spans="1:53" x14ac:dyDescent="0.25">
      <c r="A32" s="50" t="s">
        <v>328</v>
      </c>
      <c r="B32" s="42" t="s">
        <v>74</v>
      </c>
      <c r="C32" s="11" t="s">
        <v>3212</v>
      </c>
      <c r="D32" s="13" t="str">
        <f t="shared" si="0"/>
        <v>Over</v>
      </c>
      <c r="E32">
        <v>14</v>
      </c>
      <c r="F32" s="79">
        <f t="shared" si="6"/>
        <v>0.80000000000000071</v>
      </c>
      <c r="G32" s="9">
        <v>10</v>
      </c>
      <c r="H32" s="9">
        <v>10.8</v>
      </c>
    </row>
    <row r="33" spans="1:8" x14ac:dyDescent="0.25">
      <c r="A33" s="50" t="s">
        <v>328</v>
      </c>
      <c r="B33" s="49" t="s">
        <v>57</v>
      </c>
      <c r="C33" s="11" t="s">
        <v>3205</v>
      </c>
      <c r="D33" s="13" t="str">
        <f t="shared" si="0"/>
        <v>Under</v>
      </c>
      <c r="E33">
        <v>21</v>
      </c>
      <c r="F33" s="79">
        <f t="shared" si="6"/>
        <v>0.69999999999999929</v>
      </c>
      <c r="G33" s="9">
        <v>15.5</v>
      </c>
      <c r="H33" s="9">
        <v>14.8</v>
      </c>
    </row>
    <row r="34" spans="1:8" x14ac:dyDescent="0.25">
      <c r="A34" s="50" t="s">
        <v>118</v>
      </c>
      <c r="B34" s="49" t="s">
        <v>99</v>
      </c>
      <c r="C34" s="11" t="s">
        <v>3205</v>
      </c>
      <c r="D34" s="13" t="str">
        <f t="shared" si="0"/>
        <v>Under</v>
      </c>
      <c r="E34" t="s">
        <v>698</v>
      </c>
      <c r="F34" s="79">
        <f t="shared" si="6"/>
        <v>0.60000000000000142</v>
      </c>
      <c r="G34" s="9">
        <v>19</v>
      </c>
      <c r="H34" s="9">
        <v>18.399999999999999</v>
      </c>
    </row>
    <row r="35" spans="1:8" x14ac:dyDescent="0.25">
      <c r="A35" s="49" t="s">
        <v>3210</v>
      </c>
      <c r="B35" s="49" t="s">
        <v>61</v>
      </c>
      <c r="C35" s="44" t="s">
        <v>3205</v>
      </c>
      <c r="D35" s="13"/>
      <c r="F35" s="79">
        <f t="shared" si="6"/>
        <v>2.3000000000000007</v>
      </c>
      <c r="G35" s="9">
        <v>14.5</v>
      </c>
      <c r="H35" s="9">
        <v>16.8</v>
      </c>
    </row>
  </sheetData>
  <autoFilter ref="A3:H3" xr:uid="{7817ECC0-D0ED-41C0-B560-DA8E69E0F197}">
    <sortState xmlns:xlrd2="http://schemas.microsoft.com/office/spreadsheetml/2017/richdata2" ref="A4:H35">
      <sortCondition descending="1" ref="F3"/>
    </sortState>
  </autoFilter>
  <mergeCells count="4">
    <mergeCell ref="T2:U2"/>
    <mergeCell ref="AC2:AD2"/>
    <mergeCell ref="AL2:AM2"/>
    <mergeCell ref="AU2:AV2"/>
  </mergeCells>
  <conditionalFormatting sqref="A4:A16">
    <cfRule type="duplicateValues" dxfId="35" priority="15"/>
    <cfRule type="duplicateValues" dxfId="34" priority="16"/>
  </conditionalFormatting>
  <conditionalFormatting sqref="D4:D35">
    <cfRule type="expression" dxfId="33" priority="1">
      <formula>G4-H4 &lt;0</formula>
    </cfRule>
    <cfRule type="expression" dxfId="32" priority="2">
      <formula>G4-H4&gt;0</formula>
    </cfRule>
  </conditionalFormatting>
  <conditionalFormatting sqref="J4:J16">
    <cfRule type="duplicateValues" dxfId="31" priority="36"/>
  </conditionalFormatting>
  <conditionalFormatting sqref="J4:J29">
    <cfRule type="duplicateValues" dxfId="30" priority="35"/>
  </conditionalFormatting>
  <conditionalFormatting sqref="J18:J29">
    <cfRule type="duplicateValues" dxfId="29" priority="37"/>
  </conditionalFormatting>
  <conditionalFormatting sqref="M4:M29">
    <cfRule type="expression" dxfId="28" priority="33">
      <formula>P4-Q4 &lt;0</formula>
    </cfRule>
    <cfRule type="expression" dxfId="27" priority="34">
      <formula>P4-Q4&gt;0</formula>
    </cfRule>
  </conditionalFormatting>
  <conditionalFormatting sqref="V4:V20">
    <cfRule type="expression" dxfId="26" priority="38">
      <formula>Y4-Z4 &lt;0</formula>
    </cfRule>
    <cfRule type="expression" dxfId="25" priority="39">
      <formula>Y4-Z4&gt;0</formula>
    </cfRule>
  </conditionalFormatting>
  <conditionalFormatting sqref="AE4:AE20">
    <cfRule type="expression" dxfId="24" priority="21">
      <formula>AH4-AI4 &lt;0</formula>
    </cfRule>
    <cfRule type="expression" dxfId="23" priority="22">
      <formula>AH4-AI4&gt;0</formula>
    </cfRule>
  </conditionalFormatting>
  <conditionalFormatting sqref="AN4:AN20">
    <cfRule type="expression" dxfId="22" priority="19">
      <formula>AQ4-AR4 &lt;0</formula>
    </cfRule>
    <cfRule type="expression" dxfId="21" priority="20">
      <formula>AQ4-AR4&gt;0</formula>
    </cfRule>
  </conditionalFormatting>
  <conditionalFormatting sqref="AW4:AW20">
    <cfRule type="expression" dxfId="20" priority="17">
      <formula>AZ4-BA4 &lt;0</formula>
    </cfRule>
    <cfRule type="expression" dxfId="19" priority="18">
      <formula>AZ4-BA4&gt;0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9EFC-1180-4F4B-9AD7-21E757A988B9}">
  <dimension ref="A1:AB131"/>
  <sheetViews>
    <sheetView topLeftCell="A28" workbookViewId="0">
      <selection activeCell="O1" sqref="O1:O1048576"/>
    </sheetView>
  </sheetViews>
  <sheetFormatPr defaultRowHeight="15" x14ac:dyDescent="0.25"/>
  <cols>
    <col min="1" max="1" width="30.42578125" bestFit="1" customWidth="1"/>
    <col min="15" max="15" width="22.140625" bestFit="1" customWidth="1"/>
  </cols>
  <sheetData>
    <row r="1" spans="1:9" x14ac:dyDescent="0.25">
      <c r="A1" s="31">
        <v>45751</v>
      </c>
    </row>
    <row r="2" spans="1:9" x14ac:dyDescent="0.25">
      <c r="A2" s="5" t="s">
        <v>3201</v>
      </c>
      <c r="B2" s="5"/>
      <c r="C2" s="5"/>
      <c r="D2" s="5"/>
      <c r="E2" s="5" t="s">
        <v>174</v>
      </c>
      <c r="F2" s="5" t="s">
        <v>175</v>
      </c>
      <c r="G2" s="5" t="s">
        <v>178</v>
      </c>
      <c r="H2" s="5" t="s">
        <v>179</v>
      </c>
      <c r="I2" s="5" t="s">
        <v>3202</v>
      </c>
    </row>
    <row r="3" spans="1:9" x14ac:dyDescent="0.25">
      <c r="A3" s="12" t="s">
        <v>3214</v>
      </c>
      <c r="B3" s="4" t="s">
        <v>50</v>
      </c>
      <c r="C3" s="4"/>
      <c r="D3" s="4"/>
      <c r="E3" s="12" t="s">
        <v>3205</v>
      </c>
      <c r="F3" s="28" t="s">
        <v>3215</v>
      </c>
      <c r="G3" s="1">
        <f t="shared" ref="G3:G36" si="0">ABS(I3-H3)</f>
        <v>7.5</v>
      </c>
      <c r="H3" s="9">
        <v>20.5</v>
      </c>
      <c r="I3" s="9">
        <v>13</v>
      </c>
    </row>
    <row r="4" spans="1:9" x14ac:dyDescent="0.25">
      <c r="A4" s="11" t="s">
        <v>3203</v>
      </c>
      <c r="B4" s="1" t="s">
        <v>3204</v>
      </c>
      <c r="C4" s="1"/>
      <c r="D4" s="1"/>
      <c r="E4" s="11" t="s">
        <v>3205</v>
      </c>
      <c r="F4" s="23" t="s">
        <v>3216</v>
      </c>
      <c r="G4" s="18">
        <f t="shared" si="0"/>
        <v>5.8999999999999986</v>
      </c>
      <c r="H4" s="9">
        <v>11.5</v>
      </c>
      <c r="I4" s="8">
        <v>17.399999999999999</v>
      </c>
    </row>
    <row r="5" spans="1:9" x14ac:dyDescent="0.25">
      <c r="A5" s="15" t="s">
        <v>3217</v>
      </c>
      <c r="B5" s="15" t="s">
        <v>160</v>
      </c>
      <c r="C5" s="15"/>
      <c r="D5" s="15"/>
      <c r="E5" s="15" t="s">
        <v>3205</v>
      </c>
      <c r="F5" s="15" t="s">
        <v>3216</v>
      </c>
      <c r="G5">
        <f t="shared" si="0"/>
        <v>5.6999999999999993</v>
      </c>
      <c r="H5" s="9">
        <v>21.5</v>
      </c>
      <c r="I5" s="9">
        <v>15.8</v>
      </c>
    </row>
    <row r="6" spans="1:9" x14ac:dyDescent="0.25">
      <c r="A6" s="19" t="s">
        <v>3218</v>
      </c>
      <c r="B6" s="4" t="s">
        <v>3219</v>
      </c>
      <c r="C6" s="4"/>
      <c r="D6" s="4"/>
      <c r="E6" s="16" t="s">
        <v>3205</v>
      </c>
      <c r="F6" s="16" t="s">
        <v>3215</v>
      </c>
      <c r="G6">
        <f t="shared" si="0"/>
        <v>5.6999999999999993</v>
      </c>
      <c r="H6" s="9">
        <v>21.5</v>
      </c>
      <c r="I6" s="9">
        <v>15.8</v>
      </c>
    </row>
    <row r="7" spans="1:9" x14ac:dyDescent="0.25">
      <c r="A7" s="10" t="s">
        <v>3220</v>
      </c>
      <c r="B7" s="10" t="s">
        <v>87</v>
      </c>
      <c r="C7" s="10"/>
      <c r="D7" s="10"/>
      <c r="E7" s="10" t="s">
        <v>3205</v>
      </c>
      <c r="F7" s="24" t="s">
        <v>3216</v>
      </c>
      <c r="G7" s="18">
        <f t="shared" si="0"/>
        <v>5.3000000000000007</v>
      </c>
      <c r="H7" s="9">
        <v>13.5</v>
      </c>
      <c r="I7" s="9">
        <v>18.8</v>
      </c>
    </row>
    <row r="8" spans="1:9" x14ac:dyDescent="0.25">
      <c r="A8" s="11" t="s">
        <v>3221</v>
      </c>
      <c r="B8" s="11" t="s">
        <v>106</v>
      </c>
      <c r="C8" s="11"/>
      <c r="D8" s="11"/>
      <c r="E8" s="11" t="s">
        <v>3205</v>
      </c>
      <c r="F8" s="25" t="s">
        <v>3216</v>
      </c>
      <c r="G8" s="18">
        <f t="shared" si="0"/>
        <v>5.3000000000000007</v>
      </c>
      <c r="H8" s="9">
        <v>8.5</v>
      </c>
      <c r="I8" s="9">
        <v>13.8</v>
      </c>
    </row>
    <row r="9" spans="1:9" x14ac:dyDescent="0.25">
      <c r="A9" s="7" t="s">
        <v>3222</v>
      </c>
      <c r="B9" s="7" t="s">
        <v>90</v>
      </c>
      <c r="C9" s="7"/>
      <c r="D9" s="7"/>
      <c r="E9" s="7" t="s">
        <v>3209</v>
      </c>
      <c r="F9" s="7" t="s">
        <v>3216</v>
      </c>
      <c r="G9">
        <f t="shared" si="0"/>
        <v>4.5</v>
      </c>
      <c r="H9" s="9">
        <v>26.5</v>
      </c>
      <c r="I9" s="9">
        <v>22</v>
      </c>
    </row>
    <row r="10" spans="1:9" x14ac:dyDescent="0.25">
      <c r="A10" s="11" t="s">
        <v>162</v>
      </c>
      <c r="B10" s="11" t="s">
        <v>87</v>
      </c>
      <c r="C10" s="11"/>
      <c r="D10" s="11"/>
      <c r="E10" s="11" t="s">
        <v>3205</v>
      </c>
      <c r="F10" s="26" t="s">
        <v>3215</v>
      </c>
      <c r="G10" s="20">
        <f t="shared" si="0"/>
        <v>4.3000000000000007</v>
      </c>
      <c r="H10" s="9">
        <v>15.5</v>
      </c>
      <c r="I10" s="9">
        <v>11.2</v>
      </c>
    </row>
    <row r="11" spans="1:9" x14ac:dyDescent="0.25">
      <c r="A11" s="12"/>
      <c r="B11" s="7"/>
      <c r="C11" s="7"/>
      <c r="D11" s="7"/>
      <c r="E11" s="7" t="s">
        <v>3205</v>
      </c>
      <c r="F11" s="7" t="s">
        <v>3216</v>
      </c>
      <c r="G11">
        <f t="shared" si="0"/>
        <v>3.3000000000000007</v>
      </c>
      <c r="H11" s="9">
        <v>13.5</v>
      </c>
      <c r="I11" s="9">
        <v>16.8</v>
      </c>
    </row>
    <row r="12" spans="1:9" x14ac:dyDescent="0.25">
      <c r="A12" s="7" t="s">
        <v>3223</v>
      </c>
      <c r="B12" s="7" t="s">
        <v>66</v>
      </c>
      <c r="C12" s="7"/>
      <c r="D12" s="7"/>
      <c r="E12" s="7" t="s">
        <v>3205</v>
      </c>
      <c r="F12" s="27" t="s">
        <v>3216</v>
      </c>
      <c r="G12" s="20">
        <f t="shared" si="0"/>
        <v>3.0999999999999996</v>
      </c>
      <c r="H12" s="9">
        <v>10.5</v>
      </c>
      <c r="I12" s="9">
        <v>13.6</v>
      </c>
    </row>
    <row r="13" spans="1:9" x14ac:dyDescent="0.25">
      <c r="A13" s="11" t="s">
        <v>96</v>
      </c>
      <c r="B13" s="1" t="s">
        <v>41</v>
      </c>
      <c r="C13" s="1"/>
      <c r="D13" s="1"/>
      <c r="E13" s="11" t="s">
        <v>3205</v>
      </c>
      <c r="F13" s="23" t="s">
        <v>3216</v>
      </c>
      <c r="G13" s="20">
        <f t="shared" si="0"/>
        <v>3.0999999999999996</v>
      </c>
      <c r="H13" s="9">
        <v>12.5</v>
      </c>
      <c r="I13" s="9">
        <v>15.6</v>
      </c>
    </row>
    <row r="14" spans="1:9" x14ac:dyDescent="0.25">
      <c r="A14" s="11" t="s">
        <v>3224</v>
      </c>
      <c r="B14" s="11" t="s">
        <v>153</v>
      </c>
      <c r="C14" s="11"/>
      <c r="D14" s="11"/>
      <c r="E14" s="11" t="s">
        <v>3205</v>
      </c>
      <c r="F14" s="25" t="s">
        <v>3215</v>
      </c>
      <c r="G14" s="21">
        <f t="shared" si="0"/>
        <v>3.0999999999999996</v>
      </c>
      <c r="H14" s="9">
        <v>13.5</v>
      </c>
      <c r="I14" s="9">
        <v>10.4</v>
      </c>
    </row>
    <row r="15" spans="1:9" x14ac:dyDescent="0.25">
      <c r="A15" s="11" t="s">
        <v>364</v>
      </c>
      <c r="B15" s="1" t="s">
        <v>3219</v>
      </c>
      <c r="C15" s="1"/>
      <c r="D15" s="1"/>
      <c r="E15" s="11" t="s">
        <v>3205</v>
      </c>
      <c r="F15" s="25" t="s">
        <v>3216</v>
      </c>
      <c r="G15" s="21">
        <f t="shared" si="0"/>
        <v>2.8999999999999986</v>
      </c>
      <c r="H15" s="9">
        <v>23.5</v>
      </c>
      <c r="I15" s="9">
        <v>26.4</v>
      </c>
    </row>
    <row r="16" spans="1:9" x14ac:dyDescent="0.25">
      <c r="A16" s="11" t="s">
        <v>1415</v>
      </c>
      <c r="B16" s="11" t="s">
        <v>124</v>
      </c>
      <c r="C16" s="11"/>
      <c r="D16" s="11"/>
      <c r="E16" s="11" t="s">
        <v>3205</v>
      </c>
      <c r="F16" s="23" t="s">
        <v>3216</v>
      </c>
      <c r="G16" s="21">
        <f t="shared" si="0"/>
        <v>2.8999999999999986</v>
      </c>
      <c r="H16" s="9">
        <v>20.5</v>
      </c>
      <c r="I16" s="9">
        <v>23.4</v>
      </c>
    </row>
    <row r="17" spans="1:9" x14ac:dyDescent="0.25">
      <c r="A17" s="11" t="s">
        <v>3225</v>
      </c>
      <c r="B17" s="11" t="s">
        <v>3226</v>
      </c>
      <c r="C17" s="11"/>
      <c r="D17" s="11"/>
      <c r="E17" s="11" t="s">
        <v>3205</v>
      </c>
      <c r="F17" s="11" t="s">
        <v>3215</v>
      </c>
      <c r="G17">
        <f t="shared" si="0"/>
        <v>2.6999999999999993</v>
      </c>
      <c r="H17" s="9">
        <v>19.5</v>
      </c>
      <c r="I17" s="9">
        <v>16.8</v>
      </c>
    </row>
    <row r="18" spans="1:9" x14ac:dyDescent="0.25">
      <c r="A18" s="11" t="s">
        <v>3227</v>
      </c>
      <c r="B18" s="1" t="s">
        <v>3204</v>
      </c>
      <c r="C18" s="1"/>
      <c r="D18" s="1"/>
      <c r="E18" s="11" t="s">
        <v>3205</v>
      </c>
      <c r="F18" s="23" t="s">
        <v>3216</v>
      </c>
      <c r="G18" s="22">
        <f t="shared" si="0"/>
        <v>2.5</v>
      </c>
      <c r="H18" s="9">
        <v>10.5</v>
      </c>
      <c r="I18" s="9">
        <v>13</v>
      </c>
    </row>
    <row r="19" spans="1:9" x14ac:dyDescent="0.25">
      <c r="A19" s="11" t="s">
        <v>2006</v>
      </c>
      <c r="B19" s="11" t="s">
        <v>3226</v>
      </c>
      <c r="C19" s="11"/>
      <c r="D19" s="11"/>
      <c r="E19" s="11" t="s">
        <v>3205</v>
      </c>
      <c r="F19" s="11" t="s">
        <v>3216</v>
      </c>
      <c r="G19">
        <f t="shared" si="0"/>
        <v>2.5</v>
      </c>
      <c r="H19" s="9">
        <v>9.5</v>
      </c>
      <c r="I19" s="9">
        <v>12</v>
      </c>
    </row>
    <row r="20" spans="1:9" x14ac:dyDescent="0.25">
      <c r="A20" s="7" t="s">
        <v>1445</v>
      </c>
      <c r="B20" s="7" t="s">
        <v>89</v>
      </c>
      <c r="C20" s="7"/>
      <c r="D20" s="7"/>
      <c r="E20" s="7" t="s">
        <v>3205</v>
      </c>
      <c r="F20" s="7" t="s">
        <v>3215</v>
      </c>
      <c r="G20">
        <f t="shared" si="0"/>
        <v>2.3000000000000007</v>
      </c>
      <c r="H20" s="9">
        <v>19.5</v>
      </c>
      <c r="I20" s="9">
        <v>17.2</v>
      </c>
    </row>
    <row r="21" spans="1:9" x14ac:dyDescent="0.25">
      <c r="A21" s="10" t="s">
        <v>2332</v>
      </c>
      <c r="B21" s="1" t="s">
        <v>51</v>
      </c>
      <c r="C21" s="1"/>
      <c r="D21" s="1"/>
      <c r="E21" s="10" t="s">
        <v>3205</v>
      </c>
      <c r="F21" s="10" t="s">
        <v>3215</v>
      </c>
      <c r="G21" t="s">
        <v>3228</v>
      </c>
      <c r="H21" s="9">
        <v>4.5</v>
      </c>
      <c r="I21" s="9">
        <v>2.2000000000000002</v>
      </c>
    </row>
    <row r="22" spans="1:9" x14ac:dyDescent="0.25">
      <c r="A22" s="11" t="s">
        <v>3229</v>
      </c>
      <c r="B22" s="1" t="s">
        <v>3219</v>
      </c>
      <c r="C22" s="1"/>
      <c r="D22" s="1"/>
      <c r="E22" s="2" t="s">
        <v>3207</v>
      </c>
      <c r="F22" s="23" t="s">
        <v>3216</v>
      </c>
      <c r="G22" s="22">
        <f t="shared" si="0"/>
        <v>2.1999999999999993</v>
      </c>
      <c r="H22" s="9">
        <v>9</v>
      </c>
      <c r="I22" s="9">
        <v>11.2</v>
      </c>
    </row>
    <row r="23" spans="1:9" x14ac:dyDescent="0.25">
      <c r="A23" s="11" t="s">
        <v>3230</v>
      </c>
      <c r="B23" s="1" t="s">
        <v>3231</v>
      </c>
      <c r="C23" s="1"/>
      <c r="D23" s="1"/>
      <c r="E23" s="11" t="s">
        <v>3205</v>
      </c>
      <c r="F23" s="25" t="s">
        <v>3215</v>
      </c>
      <c r="G23" s="22">
        <f t="shared" si="0"/>
        <v>2.0999999999999996</v>
      </c>
      <c r="H23" s="9">
        <v>14.5</v>
      </c>
      <c r="I23" s="9">
        <v>12.4</v>
      </c>
    </row>
    <row r="24" spans="1:9" x14ac:dyDescent="0.25">
      <c r="A24" s="14" t="s">
        <v>378</v>
      </c>
      <c r="B24" s="14" t="s">
        <v>59</v>
      </c>
      <c r="C24" s="14"/>
      <c r="D24" s="14"/>
      <c r="E24" s="3" t="s">
        <v>3207</v>
      </c>
      <c r="F24" s="14" t="s">
        <v>3232</v>
      </c>
      <c r="G24">
        <f t="shared" si="0"/>
        <v>1.9000000000000004</v>
      </c>
      <c r="H24" s="9">
        <v>9.5</v>
      </c>
      <c r="I24" s="9">
        <v>11.4</v>
      </c>
    </row>
    <row r="25" spans="1:9" x14ac:dyDescent="0.25">
      <c r="A25" s="7" t="s">
        <v>331</v>
      </c>
      <c r="B25" s="7" t="s">
        <v>59</v>
      </c>
      <c r="C25" s="7"/>
      <c r="D25" s="7"/>
      <c r="E25" s="7" t="s">
        <v>3205</v>
      </c>
      <c r="F25" s="7" t="s">
        <v>3215</v>
      </c>
      <c r="G25">
        <f t="shared" si="0"/>
        <v>1.6999999999999993</v>
      </c>
      <c r="H25" s="9">
        <v>11.5</v>
      </c>
      <c r="I25" s="9">
        <v>9.8000000000000007</v>
      </c>
    </row>
    <row r="26" spans="1:9" x14ac:dyDescent="0.25">
      <c r="A26" s="14" t="s">
        <v>3233</v>
      </c>
      <c r="B26" s="17" t="s">
        <v>51</v>
      </c>
      <c r="C26" s="17"/>
      <c r="D26" s="17"/>
      <c r="E26" s="3" t="s">
        <v>3207</v>
      </c>
      <c r="F26" s="29" t="s">
        <v>3216</v>
      </c>
      <c r="G26" s="1">
        <f t="shared" si="0"/>
        <v>1.6999999999999993</v>
      </c>
      <c r="H26" s="9">
        <v>13.5</v>
      </c>
      <c r="I26" s="9">
        <v>15.2</v>
      </c>
    </row>
    <row r="27" spans="1:9" x14ac:dyDescent="0.25">
      <c r="A27" s="10" t="s">
        <v>3234</v>
      </c>
      <c r="B27" s="10" t="s">
        <v>160</v>
      </c>
      <c r="C27" s="10"/>
      <c r="D27" s="10"/>
      <c r="E27" s="10" t="s">
        <v>3205</v>
      </c>
      <c r="F27" s="10" t="s">
        <v>3215</v>
      </c>
      <c r="G27">
        <f t="shared" si="0"/>
        <v>1.5</v>
      </c>
      <c r="H27" s="9">
        <v>26.5</v>
      </c>
      <c r="I27" s="9">
        <v>25</v>
      </c>
    </row>
    <row r="28" spans="1:9" x14ac:dyDescent="0.25">
      <c r="A28" s="11" t="s">
        <v>364</v>
      </c>
      <c r="B28" s="1" t="s">
        <v>3219</v>
      </c>
      <c r="C28" s="1"/>
      <c r="D28" s="1"/>
      <c r="E28" s="3" t="s">
        <v>3207</v>
      </c>
      <c r="F28" s="11" t="s">
        <v>3216</v>
      </c>
      <c r="G28">
        <f t="shared" si="0"/>
        <v>1.2999999999999998</v>
      </c>
      <c r="H28" s="9">
        <v>5.5</v>
      </c>
      <c r="I28" s="9">
        <v>6.8</v>
      </c>
    </row>
    <row r="29" spans="1:9" x14ac:dyDescent="0.25">
      <c r="A29" s="10" t="s">
        <v>3235</v>
      </c>
      <c r="B29" s="1" t="s">
        <v>50</v>
      </c>
      <c r="C29" s="1"/>
      <c r="D29" s="1"/>
      <c r="E29" s="10" t="s">
        <v>3205</v>
      </c>
      <c r="F29" s="10" t="s">
        <v>3216</v>
      </c>
      <c r="G29">
        <f t="shared" si="0"/>
        <v>1.1000000000000014</v>
      </c>
      <c r="H29" s="9">
        <v>19.5</v>
      </c>
      <c r="I29" s="9">
        <v>20.6</v>
      </c>
    </row>
    <row r="30" spans="1:9" x14ac:dyDescent="0.25">
      <c r="A30" s="11" t="s">
        <v>3236</v>
      </c>
      <c r="B30" s="11" t="s">
        <v>153</v>
      </c>
      <c r="C30" s="11"/>
      <c r="D30" s="11"/>
      <c r="E30" s="11" t="s">
        <v>3205</v>
      </c>
      <c r="F30" s="11" t="s">
        <v>3215</v>
      </c>
      <c r="G30">
        <f t="shared" si="0"/>
        <v>0.69999999999999929</v>
      </c>
      <c r="H30" s="9">
        <v>18.5</v>
      </c>
      <c r="I30" s="9">
        <v>19.2</v>
      </c>
    </row>
    <row r="31" spans="1:9" x14ac:dyDescent="0.25">
      <c r="A31" s="11" t="s">
        <v>3237</v>
      </c>
      <c r="B31" s="1" t="s">
        <v>144</v>
      </c>
      <c r="C31" s="1"/>
      <c r="D31" s="1"/>
      <c r="E31" s="11" t="s">
        <v>3207</v>
      </c>
      <c r="F31" s="11" t="s">
        <v>3216</v>
      </c>
      <c r="G31">
        <f t="shared" si="0"/>
        <v>0.5</v>
      </c>
      <c r="H31" s="9">
        <v>9.5</v>
      </c>
      <c r="I31" s="9">
        <v>10</v>
      </c>
    </row>
    <row r="32" spans="1:9" x14ac:dyDescent="0.25">
      <c r="A32" s="13" t="s">
        <v>3238</v>
      </c>
      <c r="B32" s="17" t="s">
        <v>51</v>
      </c>
      <c r="C32" s="17"/>
      <c r="D32" s="17"/>
      <c r="E32" s="13" t="s">
        <v>3205</v>
      </c>
      <c r="F32" s="30" t="s">
        <v>3216</v>
      </c>
      <c r="G32" s="1">
        <f t="shared" si="0"/>
        <v>0.30000000000000071</v>
      </c>
      <c r="H32" s="9">
        <v>19.5</v>
      </c>
      <c r="I32" s="9">
        <v>19.2</v>
      </c>
    </row>
    <row r="33" spans="1:27" x14ac:dyDescent="0.25">
      <c r="A33" s="11" t="s">
        <v>479</v>
      </c>
      <c r="B33" s="1" t="s">
        <v>3231</v>
      </c>
      <c r="C33" s="1"/>
      <c r="D33" s="1"/>
      <c r="E33" s="11" t="s">
        <v>3205</v>
      </c>
      <c r="F33" s="11" t="s">
        <v>3215</v>
      </c>
      <c r="G33">
        <f t="shared" si="0"/>
        <v>0.30000000000000071</v>
      </c>
      <c r="H33" s="9">
        <v>8.5</v>
      </c>
      <c r="I33" s="9">
        <v>8.1999999999999993</v>
      </c>
    </row>
    <row r="34" spans="1:27" x14ac:dyDescent="0.25">
      <c r="A34" s="14" t="s">
        <v>3239</v>
      </c>
      <c r="B34" s="17" t="s">
        <v>51</v>
      </c>
      <c r="C34" s="17"/>
      <c r="D34" s="17"/>
      <c r="E34" s="14" t="s">
        <v>3205</v>
      </c>
      <c r="F34" s="14" t="s">
        <v>3216</v>
      </c>
      <c r="G34">
        <f t="shared" si="0"/>
        <v>0.10000000000000142</v>
      </c>
      <c r="H34" s="9">
        <v>22.5</v>
      </c>
      <c r="I34" s="9">
        <v>22.4</v>
      </c>
    </row>
    <row r="35" spans="1:27" x14ac:dyDescent="0.25">
      <c r="A35" s="11" t="s">
        <v>130</v>
      </c>
      <c r="B35" s="1" t="s">
        <v>3231</v>
      </c>
      <c r="C35" s="1"/>
      <c r="D35" s="1"/>
      <c r="E35" s="11" t="s">
        <v>3205</v>
      </c>
      <c r="F35" s="11" t="s">
        <v>3216</v>
      </c>
      <c r="G35">
        <f t="shared" si="0"/>
        <v>0.10000000000000142</v>
      </c>
      <c r="H35" s="9">
        <v>24.5</v>
      </c>
      <c r="I35" s="9">
        <v>24.6</v>
      </c>
    </row>
    <row r="36" spans="1:27" x14ac:dyDescent="0.25">
      <c r="A36" s="7" t="s">
        <v>340</v>
      </c>
      <c r="B36" s="1" t="s">
        <v>51</v>
      </c>
      <c r="C36" s="1"/>
      <c r="D36" s="1"/>
      <c r="E36" s="7" t="s">
        <v>3207</v>
      </c>
      <c r="F36" s="7" t="s">
        <v>3216</v>
      </c>
      <c r="G36">
        <f t="shared" si="0"/>
        <v>9.9999999999999645E-2</v>
      </c>
      <c r="H36" s="9">
        <v>5.5</v>
      </c>
      <c r="I36" s="9">
        <v>5.6</v>
      </c>
    </row>
    <row r="38" spans="1:27" x14ac:dyDescent="0.25">
      <c r="A38" s="7"/>
      <c r="F38" t="s">
        <v>3240</v>
      </c>
      <c r="G38" t="s">
        <v>3241</v>
      </c>
    </row>
    <row r="39" spans="1:27" x14ac:dyDescent="0.25">
      <c r="F39">
        <v>6</v>
      </c>
      <c r="G39">
        <v>8</v>
      </c>
    </row>
    <row r="40" spans="1:27" x14ac:dyDescent="0.25">
      <c r="F40">
        <f>6/14</f>
        <v>0.42857142857142855</v>
      </c>
      <c r="G40">
        <f>8/14</f>
        <v>0.5714285714285714</v>
      </c>
    </row>
    <row r="42" spans="1:27" x14ac:dyDescent="0.25">
      <c r="A42" s="5" t="s">
        <v>3242</v>
      </c>
      <c r="B42" s="5" t="s">
        <v>172</v>
      </c>
      <c r="C42" s="5" t="s">
        <v>173</v>
      </c>
      <c r="D42" s="5" t="s">
        <v>39</v>
      </c>
      <c r="E42" s="5" t="s">
        <v>174</v>
      </c>
      <c r="F42" s="5" t="s">
        <v>175</v>
      </c>
      <c r="G42" s="5" t="s">
        <v>180</v>
      </c>
      <c r="H42" s="187" t="s">
        <v>178</v>
      </c>
      <c r="I42" s="5" t="s">
        <v>179</v>
      </c>
      <c r="J42" s="5" t="s">
        <v>3202</v>
      </c>
      <c r="K42" t="s">
        <v>181</v>
      </c>
      <c r="L42" t="s">
        <v>182</v>
      </c>
      <c r="O42" s="5" t="s">
        <v>171</v>
      </c>
      <c r="P42" s="5" t="s">
        <v>172</v>
      </c>
      <c r="Q42" s="5" t="s">
        <v>173</v>
      </c>
      <c r="R42" s="5" t="s">
        <v>39</v>
      </c>
      <c r="S42" s="5" t="s">
        <v>174</v>
      </c>
      <c r="T42" s="5" t="s">
        <v>175</v>
      </c>
      <c r="U42" s="5" t="s">
        <v>176</v>
      </c>
      <c r="V42" s="187" t="s">
        <v>177</v>
      </c>
      <c r="W42" s="187" t="s">
        <v>178</v>
      </c>
      <c r="X42" s="5" t="s">
        <v>179</v>
      </c>
      <c r="Y42" s="5" t="s">
        <v>180</v>
      </c>
      <c r="Z42" t="s">
        <v>181</v>
      </c>
      <c r="AA42" t="s">
        <v>182</v>
      </c>
    </row>
    <row r="43" spans="1:27" x14ac:dyDescent="0.25">
      <c r="A43" t="s">
        <v>278</v>
      </c>
      <c r="B43" t="s">
        <v>148</v>
      </c>
      <c r="C43" t="s">
        <v>121</v>
      </c>
      <c r="D43" t="s">
        <v>72</v>
      </c>
      <c r="E43" s="13" t="s">
        <v>3205</v>
      </c>
      <c r="F43" s="13" t="str">
        <f t="shared" ref="F43:F74" si="1">IF(I43 - J43 &gt; 0, "Under", "Over")</f>
        <v>Over</v>
      </c>
      <c r="H43" s="101">
        <f t="shared" ref="H43:H74" si="2">ABS(J43-I43)</f>
        <v>8.7000000000000028</v>
      </c>
      <c r="I43" s="9">
        <v>31.5</v>
      </c>
      <c r="J43" s="9">
        <v>40.200000000000003</v>
      </c>
      <c r="K43" s="104"/>
      <c r="L43" s="5" t="s">
        <v>3243</v>
      </c>
      <c r="O43" s="105" t="s">
        <v>1862</v>
      </c>
      <c r="P43" t="s">
        <v>368</v>
      </c>
      <c r="Q43" s="11" t="s">
        <v>67</v>
      </c>
      <c r="T43" t="str">
        <f t="shared" ref="T43:T78" si="3">IF(Y43 &gt; X43, "Over", "Under")</f>
        <v>Over</v>
      </c>
      <c r="U43">
        <v>11.6</v>
      </c>
      <c r="V43" s="9">
        <f t="shared" ref="V43:V74" si="4">ABS(U43-X43)</f>
        <v>9.9999999999999645E-2</v>
      </c>
      <c r="W43" s="101">
        <f t="shared" ref="W43:W74" si="5">ABS(Y43-X43)</f>
        <v>15.5</v>
      </c>
      <c r="X43" s="9">
        <v>11.5</v>
      </c>
      <c r="Y43" s="9">
        <v>27</v>
      </c>
      <c r="Z43" s="36"/>
      <c r="AA43" t="s">
        <v>3244</v>
      </c>
    </row>
    <row r="44" spans="1:27" x14ac:dyDescent="0.25">
      <c r="A44" t="s">
        <v>69</v>
      </c>
      <c r="B44" t="s">
        <v>70</v>
      </c>
      <c r="C44" t="s">
        <v>1223</v>
      </c>
      <c r="E44" s="13" t="s">
        <v>3205</v>
      </c>
      <c r="F44" s="13" t="str">
        <f t="shared" si="1"/>
        <v>Over</v>
      </c>
      <c r="H44" s="101">
        <f t="shared" si="2"/>
        <v>8.6999999999999993</v>
      </c>
      <c r="I44" s="9">
        <v>13.5</v>
      </c>
      <c r="J44" s="9">
        <v>22.2</v>
      </c>
      <c r="K44" s="36"/>
      <c r="L44" s="5" t="s">
        <v>3232</v>
      </c>
      <c r="O44" t="s">
        <v>314</v>
      </c>
      <c r="P44" t="s">
        <v>315</v>
      </c>
      <c r="Q44" t="s">
        <v>73</v>
      </c>
      <c r="T44" t="str">
        <f t="shared" si="3"/>
        <v>Under</v>
      </c>
      <c r="U44">
        <v>17.600000000000001</v>
      </c>
      <c r="V44" s="9">
        <f t="shared" si="4"/>
        <v>1.1000000000000014</v>
      </c>
      <c r="W44" s="101">
        <f t="shared" si="5"/>
        <v>14.5</v>
      </c>
      <c r="X44" s="9">
        <v>16.5</v>
      </c>
      <c r="Y44" s="9">
        <v>2</v>
      </c>
    </row>
    <row r="45" spans="1:27" x14ac:dyDescent="0.25">
      <c r="A45" t="s">
        <v>330</v>
      </c>
      <c r="B45" t="s">
        <v>54</v>
      </c>
      <c r="C45" t="s">
        <v>48</v>
      </c>
      <c r="E45" s="13" t="s">
        <v>3205</v>
      </c>
      <c r="F45" s="13" t="str">
        <f t="shared" si="1"/>
        <v>Under</v>
      </c>
      <c r="H45" s="101">
        <f t="shared" si="2"/>
        <v>7.9</v>
      </c>
      <c r="I45" s="9">
        <v>16.5</v>
      </c>
      <c r="J45" s="9">
        <v>8.6</v>
      </c>
      <c r="K45" s="36"/>
      <c r="L45" s="5" t="s">
        <v>3245</v>
      </c>
      <c r="O45" s="105" t="s">
        <v>122</v>
      </c>
      <c r="P45" t="s">
        <v>3246</v>
      </c>
      <c r="Q45" s="11" t="s">
        <v>67</v>
      </c>
      <c r="T45" t="str">
        <f t="shared" si="3"/>
        <v>Over</v>
      </c>
      <c r="U45">
        <v>10</v>
      </c>
      <c r="V45" s="9">
        <f t="shared" si="4"/>
        <v>0</v>
      </c>
      <c r="W45" s="101">
        <f t="shared" si="5"/>
        <v>14</v>
      </c>
      <c r="X45" s="9">
        <v>10</v>
      </c>
      <c r="Y45" s="9">
        <v>24</v>
      </c>
      <c r="Z45" s="36"/>
      <c r="AA45" t="s">
        <v>3247</v>
      </c>
    </row>
    <row r="46" spans="1:27" x14ac:dyDescent="0.25">
      <c r="A46" t="s">
        <v>53</v>
      </c>
      <c r="B46" t="s">
        <v>54</v>
      </c>
      <c r="C46" t="s">
        <v>48</v>
      </c>
      <c r="E46" s="13" t="s">
        <v>3205</v>
      </c>
      <c r="F46" s="13" t="str">
        <f t="shared" si="1"/>
        <v>Over</v>
      </c>
      <c r="H46" s="101">
        <f t="shared" si="2"/>
        <v>7.5</v>
      </c>
      <c r="I46" s="9">
        <v>25.5</v>
      </c>
      <c r="J46" s="9">
        <v>33</v>
      </c>
      <c r="K46" s="36"/>
      <c r="L46" s="5" t="s">
        <v>3243</v>
      </c>
      <c r="O46" s="105" t="s">
        <v>301</v>
      </c>
      <c r="P46" t="s">
        <v>195</v>
      </c>
      <c r="Q46" t="s">
        <v>3248</v>
      </c>
      <c r="T46" t="str">
        <f t="shared" si="3"/>
        <v>Under</v>
      </c>
      <c r="U46">
        <v>28.4</v>
      </c>
      <c r="V46" s="9">
        <f t="shared" si="4"/>
        <v>2.8999999999999986</v>
      </c>
      <c r="W46" s="101">
        <f t="shared" si="5"/>
        <v>10</v>
      </c>
      <c r="X46" s="9">
        <v>25.5</v>
      </c>
      <c r="Y46" s="9">
        <v>15.5</v>
      </c>
      <c r="Z46" s="36"/>
      <c r="AA46" t="s">
        <v>3247</v>
      </c>
    </row>
    <row r="47" spans="1:27" x14ac:dyDescent="0.25">
      <c r="A47" s="48" t="s">
        <v>3249</v>
      </c>
      <c r="B47" t="s">
        <v>1014</v>
      </c>
      <c r="C47" t="s">
        <v>151</v>
      </c>
      <c r="E47" s="13" t="s">
        <v>3205</v>
      </c>
      <c r="F47" s="13" t="str">
        <f t="shared" si="1"/>
        <v>Under</v>
      </c>
      <c r="H47" s="101">
        <f t="shared" si="2"/>
        <v>6.1000000000000014</v>
      </c>
      <c r="I47" s="9">
        <v>31.5</v>
      </c>
      <c r="J47" s="9">
        <v>25.4</v>
      </c>
      <c r="K47" s="36"/>
      <c r="L47" s="5" t="s">
        <v>3232</v>
      </c>
      <c r="O47" s="105" t="s">
        <v>155</v>
      </c>
      <c r="P47" t="s">
        <v>267</v>
      </c>
      <c r="Q47" t="s">
        <v>3248</v>
      </c>
      <c r="T47" t="str">
        <f t="shared" si="3"/>
        <v>Over</v>
      </c>
      <c r="U47">
        <v>19.2</v>
      </c>
      <c r="V47" s="9">
        <f t="shared" si="4"/>
        <v>0.30000000000000071</v>
      </c>
      <c r="W47" s="101">
        <f t="shared" si="5"/>
        <v>9</v>
      </c>
      <c r="X47" s="9">
        <v>19.5</v>
      </c>
      <c r="Y47" s="9">
        <v>28.5</v>
      </c>
      <c r="Z47" s="36"/>
      <c r="AA47" t="s">
        <v>3247</v>
      </c>
    </row>
    <row r="48" spans="1:27" x14ac:dyDescent="0.25">
      <c r="A48" t="s">
        <v>134</v>
      </c>
      <c r="B48" t="s">
        <v>121</v>
      </c>
      <c r="C48" t="s">
        <v>148</v>
      </c>
      <c r="E48" s="13" t="s">
        <v>3205</v>
      </c>
      <c r="F48" s="13" t="str">
        <f t="shared" si="1"/>
        <v>Over</v>
      </c>
      <c r="H48" s="101">
        <f t="shared" si="2"/>
        <v>6.1000000000000014</v>
      </c>
      <c r="I48" s="9">
        <v>22.5</v>
      </c>
      <c r="J48" s="9">
        <v>28.6</v>
      </c>
      <c r="K48" s="36"/>
      <c r="L48" s="5" t="s">
        <v>3232</v>
      </c>
      <c r="O48" s="105" t="s">
        <v>2285</v>
      </c>
      <c r="P48" t="s">
        <v>3250</v>
      </c>
      <c r="Q48" s="107" t="s">
        <v>40</v>
      </c>
      <c r="T48" t="str">
        <f t="shared" si="3"/>
        <v>Over</v>
      </c>
      <c r="U48">
        <v>15.4</v>
      </c>
      <c r="V48" s="9">
        <f t="shared" si="4"/>
        <v>0.90000000000000036</v>
      </c>
      <c r="W48" s="101">
        <f t="shared" si="5"/>
        <v>8.5</v>
      </c>
      <c r="X48" s="9">
        <v>14.5</v>
      </c>
      <c r="Y48" s="9">
        <v>23</v>
      </c>
      <c r="Z48" s="36"/>
      <c r="AA48" t="s">
        <v>3247</v>
      </c>
    </row>
    <row r="49" spans="1:27" x14ac:dyDescent="0.25">
      <c r="A49" t="s">
        <v>120</v>
      </c>
      <c r="B49" t="s">
        <v>121</v>
      </c>
      <c r="C49" t="s">
        <v>148</v>
      </c>
      <c r="E49" s="13" t="s">
        <v>3205</v>
      </c>
      <c r="F49" s="13" t="str">
        <f t="shared" si="1"/>
        <v>Over</v>
      </c>
      <c r="H49" s="101">
        <f t="shared" si="2"/>
        <v>5.8999999999999986</v>
      </c>
      <c r="I49" s="9">
        <v>23.5</v>
      </c>
      <c r="J49" s="9">
        <v>29.4</v>
      </c>
      <c r="K49" s="105"/>
      <c r="L49" s="5" t="s">
        <v>3243</v>
      </c>
      <c r="O49" s="113" t="s">
        <v>328</v>
      </c>
      <c r="P49" t="s">
        <v>329</v>
      </c>
      <c r="Q49" s="10" t="s">
        <v>98</v>
      </c>
      <c r="T49" t="str">
        <f t="shared" si="3"/>
        <v>Over</v>
      </c>
      <c r="U49">
        <v>19</v>
      </c>
      <c r="V49" s="9">
        <f t="shared" si="4"/>
        <v>2.5</v>
      </c>
      <c r="W49" s="101">
        <f t="shared" si="5"/>
        <v>8</v>
      </c>
      <c r="X49" s="9">
        <v>16.5</v>
      </c>
      <c r="Y49" s="9">
        <v>24.5</v>
      </c>
    </row>
    <row r="50" spans="1:27" x14ac:dyDescent="0.25">
      <c r="A50" s="48" t="s">
        <v>228</v>
      </c>
      <c r="B50" s="49"/>
      <c r="C50" s="49"/>
      <c r="D50" s="49"/>
      <c r="E50" s="13" t="s">
        <v>3205</v>
      </c>
      <c r="F50" s="13" t="str">
        <f t="shared" si="1"/>
        <v>Under</v>
      </c>
      <c r="H50" s="101">
        <f t="shared" si="2"/>
        <v>5.8000000000000007</v>
      </c>
      <c r="I50" s="9">
        <v>27</v>
      </c>
      <c r="J50" s="9">
        <v>21.2</v>
      </c>
      <c r="L50" s="5"/>
      <c r="O50" s="113" t="s">
        <v>145</v>
      </c>
      <c r="P50" t="s">
        <v>3251</v>
      </c>
      <c r="Q50" s="107" t="s">
        <v>40</v>
      </c>
      <c r="T50" t="str">
        <f t="shared" si="3"/>
        <v>Over</v>
      </c>
      <c r="U50">
        <v>10.8</v>
      </c>
      <c r="V50" s="9">
        <f t="shared" si="4"/>
        <v>0.30000000000000071</v>
      </c>
      <c r="W50" s="101">
        <f t="shared" si="5"/>
        <v>7.5</v>
      </c>
      <c r="X50" s="9">
        <v>10.5</v>
      </c>
      <c r="Y50" s="9">
        <v>18</v>
      </c>
    </row>
    <row r="51" spans="1:27" x14ac:dyDescent="0.25">
      <c r="A51" s="48" t="s">
        <v>94</v>
      </c>
      <c r="E51" s="13" t="s">
        <v>3205</v>
      </c>
      <c r="F51" s="13" t="str">
        <f t="shared" si="1"/>
        <v>Under</v>
      </c>
      <c r="H51" s="101">
        <f t="shared" si="2"/>
        <v>5.6999999999999993</v>
      </c>
      <c r="I51" s="9">
        <v>21.5</v>
      </c>
      <c r="J51" s="9">
        <v>15.8</v>
      </c>
      <c r="L51" s="5"/>
      <c r="O51" s="113" t="s">
        <v>484</v>
      </c>
      <c r="P51" t="s">
        <v>85</v>
      </c>
      <c r="Q51" t="s">
        <v>50</v>
      </c>
      <c r="T51" t="str">
        <f t="shared" si="3"/>
        <v>Under</v>
      </c>
      <c r="U51">
        <v>7.4</v>
      </c>
      <c r="V51" s="9">
        <f t="shared" si="4"/>
        <v>1.0999999999999996</v>
      </c>
      <c r="W51" s="101">
        <f t="shared" si="5"/>
        <v>7</v>
      </c>
      <c r="X51" s="9">
        <v>8.5</v>
      </c>
      <c r="Y51" s="9">
        <v>1.5</v>
      </c>
      <c r="Z51" s="36"/>
      <c r="AA51" t="s">
        <v>3247</v>
      </c>
    </row>
    <row r="52" spans="1:27" x14ac:dyDescent="0.25">
      <c r="A52" t="s">
        <v>266</v>
      </c>
      <c r="B52" t="s">
        <v>1223</v>
      </c>
      <c r="C52" t="s">
        <v>70</v>
      </c>
      <c r="E52" s="13" t="s">
        <v>3205</v>
      </c>
      <c r="F52" s="13" t="str">
        <f t="shared" si="1"/>
        <v>Over</v>
      </c>
      <c r="H52" s="101">
        <f t="shared" si="2"/>
        <v>5.1000000000000014</v>
      </c>
      <c r="I52" s="9">
        <v>25.5</v>
      </c>
      <c r="J52" s="9">
        <v>30.6</v>
      </c>
      <c r="L52" s="5"/>
      <c r="O52" s="116" t="s">
        <v>307</v>
      </c>
      <c r="P52" t="s">
        <v>285</v>
      </c>
      <c r="Q52" s="111" t="s">
        <v>60</v>
      </c>
      <c r="T52" t="str">
        <f t="shared" si="3"/>
        <v>Over</v>
      </c>
      <c r="U52">
        <v>11.4</v>
      </c>
      <c r="V52" s="9">
        <f t="shared" si="4"/>
        <v>3.9000000000000004</v>
      </c>
      <c r="W52" s="101">
        <f t="shared" si="5"/>
        <v>6.5</v>
      </c>
      <c r="X52" s="9">
        <v>7.5</v>
      </c>
      <c r="Y52" s="9">
        <v>14</v>
      </c>
      <c r="AA52" t="s">
        <v>3247</v>
      </c>
    </row>
    <row r="53" spans="1:27" x14ac:dyDescent="0.25">
      <c r="A53" s="105" t="s">
        <v>288</v>
      </c>
      <c r="B53" t="s">
        <v>1223</v>
      </c>
      <c r="C53" t="s">
        <v>70</v>
      </c>
      <c r="E53" s="13" t="s">
        <v>3205</v>
      </c>
      <c r="F53" s="13" t="str">
        <f t="shared" si="1"/>
        <v>Over</v>
      </c>
      <c r="H53" s="101">
        <f t="shared" si="2"/>
        <v>5.1000000000000014</v>
      </c>
      <c r="I53" s="9">
        <v>15.5</v>
      </c>
      <c r="J53" s="9">
        <v>20.6</v>
      </c>
      <c r="K53" s="105"/>
      <c r="L53" s="5" t="s">
        <v>3243</v>
      </c>
      <c r="O53" s="116" t="s">
        <v>263</v>
      </c>
      <c r="P53" t="s">
        <v>264</v>
      </c>
      <c r="Q53" s="111" t="s">
        <v>60</v>
      </c>
      <c r="T53" t="str">
        <f t="shared" si="3"/>
        <v>Over</v>
      </c>
      <c r="U53">
        <v>17.2</v>
      </c>
      <c r="V53" s="9">
        <f t="shared" si="4"/>
        <v>3.6999999999999993</v>
      </c>
      <c r="W53" s="101">
        <f t="shared" si="5"/>
        <v>6.5</v>
      </c>
      <c r="X53" s="9">
        <v>13.5</v>
      </c>
      <c r="Y53" s="9">
        <v>20</v>
      </c>
      <c r="AA53" t="s">
        <v>3252</v>
      </c>
    </row>
    <row r="54" spans="1:27" x14ac:dyDescent="0.25">
      <c r="A54" s="105" t="s">
        <v>251</v>
      </c>
      <c r="E54" s="13" t="s">
        <v>3205</v>
      </c>
      <c r="F54" s="13" t="str">
        <f t="shared" si="1"/>
        <v>Under</v>
      </c>
      <c r="H54" s="101">
        <f t="shared" si="2"/>
        <v>5.0999999999999996</v>
      </c>
      <c r="I54" s="9">
        <v>10.5</v>
      </c>
      <c r="J54" s="9">
        <v>5.4</v>
      </c>
      <c r="L54" s="5" t="s">
        <v>3232</v>
      </c>
      <c r="O54" s="113" t="s">
        <v>412</v>
      </c>
      <c r="P54" t="s">
        <v>3253</v>
      </c>
      <c r="Q54" s="107" t="s">
        <v>41</v>
      </c>
      <c r="T54" t="str">
        <f t="shared" si="3"/>
        <v>Under</v>
      </c>
      <c r="U54">
        <v>6.2</v>
      </c>
      <c r="V54" s="9">
        <f t="shared" si="4"/>
        <v>3.3</v>
      </c>
      <c r="W54" s="101">
        <f t="shared" si="5"/>
        <v>6.5</v>
      </c>
      <c r="X54" s="9">
        <v>9.5</v>
      </c>
      <c r="Y54" s="9">
        <v>3</v>
      </c>
      <c r="Z54" s="52"/>
      <c r="AA54" t="s">
        <v>3247</v>
      </c>
    </row>
    <row r="55" spans="1:27" x14ac:dyDescent="0.25">
      <c r="A55" s="48" t="s">
        <v>3254</v>
      </c>
      <c r="E55" s="13"/>
      <c r="F55" s="13" t="str">
        <f t="shared" si="1"/>
        <v>Over</v>
      </c>
      <c r="H55" s="101">
        <f t="shared" si="2"/>
        <v>5.8999999999999986</v>
      </c>
      <c r="I55" s="9">
        <v>24.5</v>
      </c>
      <c r="J55" s="9">
        <v>30.4</v>
      </c>
      <c r="K55" s="105"/>
      <c r="L55" s="5"/>
      <c r="O55" s="113" t="s">
        <v>233</v>
      </c>
      <c r="P55" t="s">
        <v>183</v>
      </c>
      <c r="Q55" s="111" t="s">
        <v>60</v>
      </c>
      <c r="T55" t="str">
        <f t="shared" si="3"/>
        <v>Over</v>
      </c>
      <c r="U55">
        <v>12.8</v>
      </c>
      <c r="V55" s="9">
        <f t="shared" si="4"/>
        <v>0.69999999999999929</v>
      </c>
      <c r="W55" s="101">
        <f t="shared" si="5"/>
        <v>6.1999999999999993</v>
      </c>
      <c r="X55" s="9">
        <v>13.5</v>
      </c>
      <c r="Y55" s="9">
        <v>19.7</v>
      </c>
      <c r="AA55" t="s">
        <v>3247</v>
      </c>
    </row>
    <row r="56" spans="1:27" x14ac:dyDescent="0.25">
      <c r="A56" t="s">
        <v>46</v>
      </c>
      <c r="B56" t="s">
        <v>48</v>
      </c>
      <c r="C56" t="s">
        <v>54</v>
      </c>
      <c r="E56" s="13" t="s">
        <v>3205</v>
      </c>
      <c r="F56" s="13" t="str">
        <f t="shared" si="1"/>
        <v>Over</v>
      </c>
      <c r="H56" s="101">
        <f t="shared" si="2"/>
        <v>4.6999999999999993</v>
      </c>
      <c r="I56" s="9">
        <v>19.5</v>
      </c>
      <c r="J56" s="9">
        <v>24.2</v>
      </c>
      <c r="K56" s="105"/>
      <c r="L56" s="5" t="s">
        <v>3232</v>
      </c>
      <c r="O56" s="114" t="s">
        <v>273</v>
      </c>
      <c r="P56" t="s">
        <v>274</v>
      </c>
      <c r="Q56" t="s">
        <v>3248</v>
      </c>
      <c r="T56" t="str">
        <f t="shared" si="3"/>
        <v>Under</v>
      </c>
      <c r="U56">
        <v>9</v>
      </c>
      <c r="V56" s="9">
        <f t="shared" si="4"/>
        <v>2</v>
      </c>
      <c r="W56" s="101">
        <f t="shared" si="5"/>
        <v>6</v>
      </c>
      <c r="X56" s="9">
        <v>11</v>
      </c>
      <c r="Y56" s="9">
        <v>5</v>
      </c>
    </row>
    <row r="57" spans="1:27" x14ac:dyDescent="0.25">
      <c r="A57" s="50" t="s">
        <v>1691</v>
      </c>
      <c r="E57" s="13" t="s">
        <v>3205</v>
      </c>
      <c r="F57" s="13" t="str">
        <f t="shared" si="1"/>
        <v>Over</v>
      </c>
      <c r="H57" s="101">
        <f t="shared" si="2"/>
        <v>4.5</v>
      </c>
      <c r="I57" s="103">
        <v>12.5</v>
      </c>
      <c r="J57" s="9">
        <v>17</v>
      </c>
      <c r="K57" s="105"/>
      <c r="L57" s="5" t="s">
        <v>3255</v>
      </c>
      <c r="O57" s="114" t="s">
        <v>260</v>
      </c>
      <c r="P57" t="s">
        <v>261</v>
      </c>
      <c r="Q57" s="11" t="s">
        <v>67</v>
      </c>
      <c r="T57" t="str">
        <f t="shared" si="3"/>
        <v>Under</v>
      </c>
      <c r="U57">
        <v>17.399999999999999</v>
      </c>
      <c r="V57" s="9">
        <f t="shared" si="4"/>
        <v>0.10000000000000142</v>
      </c>
      <c r="W57" s="101">
        <f t="shared" si="5"/>
        <v>6</v>
      </c>
      <c r="X57" s="9">
        <v>17.5</v>
      </c>
      <c r="Y57" s="9">
        <v>11.5</v>
      </c>
    </row>
    <row r="58" spans="1:27" x14ac:dyDescent="0.25">
      <c r="A58" s="48" t="s">
        <v>91</v>
      </c>
      <c r="B58" s="49"/>
      <c r="C58" s="49"/>
      <c r="D58" s="49"/>
      <c r="E58" s="13" t="s">
        <v>3205</v>
      </c>
      <c r="F58" s="13" t="str">
        <f t="shared" si="1"/>
        <v>Over</v>
      </c>
      <c r="H58" s="101">
        <f t="shared" si="2"/>
        <v>4.3000000000000007</v>
      </c>
      <c r="I58" s="9">
        <v>16.5</v>
      </c>
      <c r="J58" s="9">
        <v>20.8</v>
      </c>
      <c r="L58" s="5" t="s">
        <v>3255</v>
      </c>
      <c r="O58" s="116" t="s">
        <v>485</v>
      </c>
      <c r="P58" t="s">
        <v>85</v>
      </c>
      <c r="Q58" t="s">
        <v>50</v>
      </c>
      <c r="T58" t="str">
        <f t="shared" si="3"/>
        <v>Over</v>
      </c>
      <c r="U58">
        <v>5.8</v>
      </c>
      <c r="V58" s="9">
        <f t="shared" si="4"/>
        <v>5.7</v>
      </c>
      <c r="W58" s="101">
        <f t="shared" si="5"/>
        <v>5.5</v>
      </c>
      <c r="X58" s="9">
        <v>11.5</v>
      </c>
      <c r="Y58" s="9">
        <v>17</v>
      </c>
      <c r="Z58" s="115"/>
      <c r="AA58" t="s">
        <v>3256</v>
      </c>
    </row>
    <row r="59" spans="1:27" x14ac:dyDescent="0.25">
      <c r="A59" s="50" t="s">
        <v>3257</v>
      </c>
      <c r="B59" s="49"/>
      <c r="C59" s="49"/>
      <c r="D59" s="49"/>
      <c r="E59" s="13" t="s">
        <v>3205</v>
      </c>
      <c r="F59" s="13" t="str">
        <f t="shared" si="1"/>
        <v>Under</v>
      </c>
      <c r="H59" s="101">
        <f t="shared" si="2"/>
        <v>4.3000000000000007</v>
      </c>
      <c r="I59" s="9">
        <v>15.5</v>
      </c>
      <c r="J59" s="9">
        <v>11.2</v>
      </c>
      <c r="L59" s="5"/>
      <c r="O59" s="114" t="s">
        <v>2429</v>
      </c>
      <c r="P59" t="s">
        <v>85</v>
      </c>
      <c r="Q59" t="s">
        <v>50</v>
      </c>
      <c r="T59" t="str">
        <f t="shared" si="3"/>
        <v>Under</v>
      </c>
      <c r="U59">
        <v>6</v>
      </c>
      <c r="V59" s="9">
        <f t="shared" si="4"/>
        <v>1</v>
      </c>
      <c r="W59" s="101">
        <f t="shared" si="5"/>
        <v>5.5</v>
      </c>
      <c r="X59" s="9">
        <v>7</v>
      </c>
      <c r="Y59" s="9">
        <v>1.5</v>
      </c>
    </row>
    <row r="60" spans="1:27" x14ac:dyDescent="0.25">
      <c r="A60" t="s">
        <v>369</v>
      </c>
      <c r="B60" t="s">
        <v>148</v>
      </c>
      <c r="C60" t="s">
        <v>121</v>
      </c>
      <c r="E60" s="13" t="s">
        <v>3205</v>
      </c>
      <c r="F60" s="13" t="str">
        <f t="shared" si="1"/>
        <v>Over</v>
      </c>
      <c r="H60" s="101">
        <f t="shared" si="2"/>
        <v>4.3000000000000007</v>
      </c>
      <c r="I60" s="9">
        <v>15.5</v>
      </c>
      <c r="J60" s="9">
        <v>19.8</v>
      </c>
      <c r="L60" s="5" t="s">
        <v>3232</v>
      </c>
      <c r="O60" t="s">
        <v>110</v>
      </c>
      <c r="P60" t="s">
        <v>269</v>
      </c>
      <c r="Q60" s="10" t="s">
        <v>98</v>
      </c>
      <c r="T60" t="str">
        <f t="shared" si="3"/>
        <v>Over</v>
      </c>
      <c r="U60">
        <v>24.2</v>
      </c>
      <c r="V60" s="9">
        <f t="shared" si="4"/>
        <v>0.69999999999999929</v>
      </c>
      <c r="W60" s="101">
        <f t="shared" si="5"/>
        <v>5.5</v>
      </c>
      <c r="X60" s="9">
        <v>23.5</v>
      </c>
      <c r="Y60" s="9">
        <v>29</v>
      </c>
    </row>
    <row r="61" spans="1:27" x14ac:dyDescent="0.25">
      <c r="A61" s="48" t="s">
        <v>236</v>
      </c>
      <c r="E61" s="13" t="s">
        <v>3205</v>
      </c>
      <c r="F61" s="13" t="str">
        <f t="shared" si="1"/>
        <v>Under</v>
      </c>
      <c r="H61" s="101">
        <f t="shared" si="2"/>
        <v>4.3000000000000007</v>
      </c>
      <c r="I61" s="9">
        <v>12.5</v>
      </c>
      <c r="J61" s="9">
        <v>8.1999999999999993</v>
      </c>
      <c r="L61" s="5"/>
      <c r="O61" s="114" t="s">
        <v>2033</v>
      </c>
      <c r="P61" t="s">
        <v>3258</v>
      </c>
      <c r="Q61" s="107" t="s">
        <v>41</v>
      </c>
      <c r="T61" t="str">
        <f t="shared" si="3"/>
        <v>Under</v>
      </c>
      <c r="U61">
        <v>8.6</v>
      </c>
      <c r="V61" s="9">
        <f t="shared" si="4"/>
        <v>2.9000000000000004</v>
      </c>
      <c r="W61" s="101">
        <f t="shared" si="5"/>
        <v>5</v>
      </c>
      <c r="X61" s="9">
        <v>11.5</v>
      </c>
      <c r="Y61" s="9">
        <v>6.5</v>
      </c>
      <c r="Z61" s="52"/>
    </row>
    <row r="62" spans="1:27" x14ac:dyDescent="0.25">
      <c r="A62" s="48" t="s">
        <v>248</v>
      </c>
      <c r="B62" s="49"/>
      <c r="C62" s="49"/>
      <c r="D62" s="49"/>
      <c r="E62" s="13" t="s">
        <v>3205</v>
      </c>
      <c r="F62" s="13" t="str">
        <f t="shared" si="1"/>
        <v>Under</v>
      </c>
      <c r="G62" s="33"/>
      <c r="H62" s="101">
        <f t="shared" si="2"/>
        <v>3.9000000000000004</v>
      </c>
      <c r="I62" s="9">
        <v>13.5</v>
      </c>
      <c r="J62" s="9">
        <v>9.6</v>
      </c>
      <c r="L62" s="5"/>
      <c r="O62" t="s">
        <v>245</v>
      </c>
      <c r="P62" t="s">
        <v>183</v>
      </c>
      <c r="Q62" s="111" t="s">
        <v>60</v>
      </c>
      <c r="T62" t="str">
        <f t="shared" si="3"/>
        <v>Under</v>
      </c>
      <c r="U62">
        <v>9.6</v>
      </c>
      <c r="V62" s="9">
        <f t="shared" si="4"/>
        <v>1.5999999999999996</v>
      </c>
      <c r="W62" s="101">
        <f t="shared" si="5"/>
        <v>5</v>
      </c>
      <c r="X62" s="9">
        <v>8</v>
      </c>
      <c r="Y62" s="9">
        <v>3</v>
      </c>
    </row>
    <row r="63" spans="1:27" x14ac:dyDescent="0.25">
      <c r="A63" s="48" t="s">
        <v>198</v>
      </c>
      <c r="B63" s="49"/>
      <c r="C63" s="49"/>
      <c r="D63" s="49"/>
      <c r="E63" s="13" t="s">
        <v>3205</v>
      </c>
      <c r="F63" s="13" t="str">
        <f t="shared" si="1"/>
        <v>Under</v>
      </c>
      <c r="H63" s="101">
        <f t="shared" si="2"/>
        <v>3.6999999999999993</v>
      </c>
      <c r="I63" s="9">
        <v>17.5</v>
      </c>
      <c r="J63" s="9">
        <v>13.8</v>
      </c>
      <c r="L63" s="5"/>
      <c r="O63" s="114" t="s">
        <v>367</v>
      </c>
      <c r="P63" t="s">
        <v>368</v>
      </c>
      <c r="Q63" s="11" t="s">
        <v>67</v>
      </c>
      <c r="T63" t="str">
        <f t="shared" si="3"/>
        <v>Under</v>
      </c>
      <c r="U63">
        <v>29.8</v>
      </c>
      <c r="V63" s="9">
        <f t="shared" si="4"/>
        <v>1.3000000000000007</v>
      </c>
      <c r="W63" s="101">
        <f t="shared" si="5"/>
        <v>5</v>
      </c>
      <c r="X63" s="9">
        <v>28.5</v>
      </c>
      <c r="Y63" s="9">
        <v>23.5</v>
      </c>
    </row>
    <row r="64" spans="1:27" x14ac:dyDescent="0.25">
      <c r="A64" t="s">
        <v>78</v>
      </c>
      <c r="E64" s="13" t="s">
        <v>3205</v>
      </c>
      <c r="F64" s="13" t="str">
        <f t="shared" si="1"/>
        <v>Over</v>
      </c>
      <c r="H64" s="101">
        <f t="shared" si="2"/>
        <v>3.6000000000000014</v>
      </c>
      <c r="I64" s="9">
        <v>16</v>
      </c>
      <c r="J64" s="9">
        <v>19.600000000000001</v>
      </c>
      <c r="L64" s="5"/>
      <c r="O64" s="114" t="s">
        <v>376</v>
      </c>
      <c r="P64" t="s">
        <v>321</v>
      </c>
      <c r="Q64" t="s">
        <v>73</v>
      </c>
      <c r="T64" t="str">
        <f t="shared" si="3"/>
        <v>Over</v>
      </c>
      <c r="U64">
        <v>9.6</v>
      </c>
      <c r="V64" s="9">
        <f t="shared" si="4"/>
        <v>9.9999999999999645E-2</v>
      </c>
      <c r="W64" s="101">
        <f t="shared" si="5"/>
        <v>5</v>
      </c>
      <c r="X64" s="9">
        <v>9.5</v>
      </c>
      <c r="Y64" s="9">
        <v>14.5</v>
      </c>
    </row>
    <row r="65" spans="1:28" x14ac:dyDescent="0.25">
      <c r="A65" s="48" t="s">
        <v>3259</v>
      </c>
      <c r="E65" s="13" t="s">
        <v>3205</v>
      </c>
      <c r="F65" s="13" t="str">
        <f t="shared" si="1"/>
        <v>Over</v>
      </c>
      <c r="H65" s="101">
        <f t="shared" si="2"/>
        <v>3.5</v>
      </c>
      <c r="I65" s="9">
        <v>5.5</v>
      </c>
      <c r="J65" s="9">
        <v>9</v>
      </c>
      <c r="L65" s="5"/>
      <c r="O65" s="116" t="s">
        <v>101</v>
      </c>
      <c r="P65" t="s">
        <v>211</v>
      </c>
      <c r="Q65" s="11" t="s">
        <v>67</v>
      </c>
      <c r="T65" t="str">
        <f t="shared" si="3"/>
        <v>Under</v>
      </c>
      <c r="U65">
        <v>17.600000000000001</v>
      </c>
      <c r="V65" s="9">
        <f t="shared" si="4"/>
        <v>5.1000000000000014</v>
      </c>
      <c r="W65" s="101">
        <f t="shared" si="5"/>
        <v>4.5</v>
      </c>
      <c r="X65" s="9">
        <v>12.5</v>
      </c>
      <c r="Y65" s="9">
        <v>8</v>
      </c>
      <c r="Z65" s="115"/>
      <c r="AA65" t="s">
        <v>3247</v>
      </c>
    </row>
    <row r="66" spans="1:28" x14ac:dyDescent="0.25">
      <c r="A66" s="48" t="s">
        <v>344</v>
      </c>
      <c r="E66" s="13" t="s">
        <v>3205</v>
      </c>
      <c r="F66" s="13" t="str">
        <f t="shared" si="1"/>
        <v>Over</v>
      </c>
      <c r="H66" s="101">
        <f t="shared" si="2"/>
        <v>3.5</v>
      </c>
      <c r="I66" s="9">
        <v>17.5</v>
      </c>
      <c r="J66" s="9">
        <v>21</v>
      </c>
      <c r="L66" s="5"/>
      <c r="O66" s="115" t="s">
        <v>135</v>
      </c>
      <c r="P66" t="s">
        <v>250</v>
      </c>
      <c r="Q66" s="11" t="s">
        <v>67</v>
      </c>
      <c r="T66" t="str">
        <f t="shared" si="3"/>
        <v>Over</v>
      </c>
      <c r="U66">
        <v>7.4</v>
      </c>
      <c r="V66" s="9">
        <f t="shared" si="4"/>
        <v>4.0999999999999996</v>
      </c>
      <c r="W66" s="101">
        <f t="shared" si="5"/>
        <v>4.5</v>
      </c>
      <c r="X66" s="9">
        <v>11.5</v>
      </c>
      <c r="Y66" s="9">
        <v>16</v>
      </c>
    </row>
    <row r="67" spans="1:28" x14ac:dyDescent="0.25">
      <c r="A67" t="s">
        <v>271</v>
      </c>
      <c r="E67" s="13" t="s">
        <v>3205</v>
      </c>
      <c r="F67" s="13" t="str">
        <f t="shared" si="1"/>
        <v>Over</v>
      </c>
      <c r="H67" s="101">
        <f t="shared" si="2"/>
        <v>3.5</v>
      </c>
      <c r="I67" s="9">
        <v>12.5</v>
      </c>
      <c r="J67" s="9">
        <v>16</v>
      </c>
      <c r="L67" s="5"/>
      <c r="O67" s="115" t="s">
        <v>2679</v>
      </c>
      <c r="P67" t="s">
        <v>3260</v>
      </c>
      <c r="Q67" s="110" t="s">
        <v>57</v>
      </c>
      <c r="T67" t="str">
        <f t="shared" si="3"/>
        <v>Under</v>
      </c>
      <c r="U67">
        <v>5.4</v>
      </c>
      <c r="V67" s="9">
        <f t="shared" si="4"/>
        <v>4.0999999999999996</v>
      </c>
      <c r="W67" s="101">
        <f t="shared" si="5"/>
        <v>4.5</v>
      </c>
      <c r="X67" s="9">
        <v>9.5</v>
      </c>
      <c r="Y67" s="9">
        <v>5</v>
      </c>
    </row>
    <row r="68" spans="1:28" x14ac:dyDescent="0.25">
      <c r="A68" s="48" t="s">
        <v>185</v>
      </c>
      <c r="E68" s="13" t="s">
        <v>3205</v>
      </c>
      <c r="F68" s="13" t="str">
        <f t="shared" si="1"/>
        <v>Over</v>
      </c>
      <c r="H68" s="101">
        <f t="shared" si="2"/>
        <v>3</v>
      </c>
      <c r="I68" s="9">
        <v>14.5</v>
      </c>
      <c r="J68" s="9">
        <v>17.5</v>
      </c>
      <c r="L68" s="5" t="s">
        <v>3232</v>
      </c>
      <c r="O68" t="s">
        <v>1926</v>
      </c>
      <c r="P68" t="s">
        <v>3260</v>
      </c>
      <c r="Q68" s="110" t="s">
        <v>57</v>
      </c>
      <c r="T68" t="str">
        <f t="shared" si="3"/>
        <v>Over</v>
      </c>
      <c r="U68">
        <v>14.6</v>
      </c>
      <c r="V68" s="9">
        <f t="shared" si="4"/>
        <v>2.9000000000000004</v>
      </c>
      <c r="W68" s="101">
        <f t="shared" si="5"/>
        <v>4.5</v>
      </c>
      <c r="X68" s="9">
        <v>17.5</v>
      </c>
      <c r="Y68" s="9">
        <v>22</v>
      </c>
      <c r="AA68" t="s">
        <v>3252</v>
      </c>
    </row>
    <row r="69" spans="1:28" x14ac:dyDescent="0.25">
      <c r="A69" s="48" t="s">
        <v>2022</v>
      </c>
      <c r="E69" s="13" t="s">
        <v>3205</v>
      </c>
      <c r="F69" s="13" t="str">
        <f t="shared" si="1"/>
        <v>Over</v>
      </c>
      <c r="H69" s="101">
        <f t="shared" si="2"/>
        <v>3.3000000000000007</v>
      </c>
      <c r="I69" s="9">
        <v>8.5</v>
      </c>
      <c r="J69" s="9">
        <v>11.8</v>
      </c>
      <c r="L69" s="5"/>
      <c r="O69" t="s">
        <v>306</v>
      </c>
      <c r="P69" t="s">
        <v>232</v>
      </c>
      <c r="Q69" s="10" t="s">
        <v>98</v>
      </c>
      <c r="T69" t="str">
        <f t="shared" si="3"/>
        <v>Under</v>
      </c>
      <c r="U69">
        <v>6.2</v>
      </c>
      <c r="V69" s="9">
        <f t="shared" si="4"/>
        <v>0.29999999999999982</v>
      </c>
      <c r="W69" s="101">
        <f t="shared" si="5"/>
        <v>4.5</v>
      </c>
      <c r="X69" s="9">
        <v>6.5</v>
      </c>
      <c r="Y69" s="9">
        <v>2</v>
      </c>
    </row>
    <row r="70" spans="1:28" x14ac:dyDescent="0.25">
      <c r="A70" s="7" t="s">
        <v>130</v>
      </c>
      <c r="E70" s="13" t="s">
        <v>3205</v>
      </c>
      <c r="F70" s="13" t="str">
        <f t="shared" si="1"/>
        <v>Over</v>
      </c>
      <c r="H70" s="101">
        <f t="shared" si="2"/>
        <v>3.1000000000000014</v>
      </c>
      <c r="I70" s="9">
        <v>22.5</v>
      </c>
      <c r="J70" s="9">
        <v>25.6</v>
      </c>
      <c r="L70" s="5"/>
      <c r="O70" s="115" t="s">
        <v>152</v>
      </c>
      <c r="P70" t="s">
        <v>269</v>
      </c>
      <c r="Q70" s="10" t="s">
        <v>98</v>
      </c>
      <c r="T70" t="str">
        <f t="shared" si="3"/>
        <v>Over</v>
      </c>
      <c r="U70">
        <v>17</v>
      </c>
      <c r="V70" s="9">
        <f t="shared" si="4"/>
        <v>6.5</v>
      </c>
      <c r="W70" s="101">
        <f t="shared" si="5"/>
        <v>4</v>
      </c>
      <c r="X70" s="9">
        <v>10.5</v>
      </c>
      <c r="Y70" s="9">
        <v>14.5</v>
      </c>
      <c r="Z70" s="115"/>
      <c r="AA70" t="s">
        <v>3252</v>
      </c>
    </row>
    <row r="71" spans="1:28" x14ac:dyDescent="0.25">
      <c r="A71" t="s">
        <v>282</v>
      </c>
      <c r="E71" s="13" t="s">
        <v>3205</v>
      </c>
      <c r="F71" s="13" t="str">
        <f t="shared" si="1"/>
        <v>Over</v>
      </c>
      <c r="H71" s="101">
        <f t="shared" si="2"/>
        <v>3.1000000000000014</v>
      </c>
      <c r="I71" s="9">
        <v>19.5</v>
      </c>
      <c r="J71" s="9">
        <v>22.6</v>
      </c>
      <c r="K71" s="63"/>
      <c r="L71" s="5"/>
      <c r="O71" s="115" t="s">
        <v>319</v>
      </c>
      <c r="P71" t="s">
        <v>267</v>
      </c>
      <c r="Q71" t="s">
        <v>3248</v>
      </c>
      <c r="T71" t="str">
        <f t="shared" si="3"/>
        <v>Under</v>
      </c>
      <c r="U71">
        <v>13.6</v>
      </c>
      <c r="V71" s="9">
        <f t="shared" si="4"/>
        <v>3.0999999999999996</v>
      </c>
      <c r="W71" s="101">
        <f t="shared" si="5"/>
        <v>4</v>
      </c>
      <c r="X71" s="9">
        <v>10.5</v>
      </c>
      <c r="Y71" s="9">
        <v>6.5</v>
      </c>
    </row>
    <row r="72" spans="1:28" x14ac:dyDescent="0.25">
      <c r="A72" s="48" t="s">
        <v>207</v>
      </c>
      <c r="E72" s="13" t="s">
        <v>3205</v>
      </c>
      <c r="F72" s="13" t="str">
        <f t="shared" si="1"/>
        <v>Under</v>
      </c>
      <c r="H72" s="101">
        <f t="shared" si="2"/>
        <v>2.9000000000000004</v>
      </c>
      <c r="I72" s="9">
        <v>18.5</v>
      </c>
      <c r="J72" s="9">
        <v>15.6</v>
      </c>
      <c r="L72" s="5"/>
      <c r="O72" t="s">
        <v>350</v>
      </c>
      <c r="P72" t="s">
        <v>195</v>
      </c>
      <c r="Q72" t="s">
        <v>3248</v>
      </c>
      <c r="T72" t="str">
        <f t="shared" si="3"/>
        <v>Under</v>
      </c>
      <c r="U72">
        <v>11.4</v>
      </c>
      <c r="V72" s="9">
        <f t="shared" si="4"/>
        <v>1.9000000000000004</v>
      </c>
      <c r="W72" s="101">
        <f t="shared" si="5"/>
        <v>4</v>
      </c>
      <c r="X72" s="9">
        <v>9.5</v>
      </c>
      <c r="Y72" s="9">
        <v>5.5</v>
      </c>
      <c r="AA72" t="s">
        <v>3247</v>
      </c>
    </row>
    <row r="73" spans="1:28" x14ac:dyDescent="0.25">
      <c r="A73" t="s">
        <v>347</v>
      </c>
      <c r="E73" s="13"/>
      <c r="F73" s="13" t="str">
        <f t="shared" si="1"/>
        <v>Under</v>
      </c>
      <c r="H73" s="101">
        <f t="shared" si="2"/>
        <v>2.9000000000000004</v>
      </c>
      <c r="I73" s="9">
        <v>15.5</v>
      </c>
      <c r="J73" s="9">
        <v>12.6</v>
      </c>
      <c r="L73" s="5"/>
      <c r="O73" t="s">
        <v>2175</v>
      </c>
      <c r="P73" t="s">
        <v>368</v>
      </c>
      <c r="Q73" s="11" t="s">
        <v>67</v>
      </c>
      <c r="T73" t="str">
        <f t="shared" si="3"/>
        <v>Under</v>
      </c>
      <c r="U73">
        <v>9</v>
      </c>
      <c r="V73" s="9">
        <f t="shared" si="4"/>
        <v>1.5</v>
      </c>
      <c r="W73" s="101">
        <f t="shared" si="5"/>
        <v>3.5</v>
      </c>
      <c r="X73" s="9">
        <v>7.5</v>
      </c>
      <c r="Y73" s="9">
        <v>4</v>
      </c>
    </row>
    <row r="74" spans="1:28" x14ac:dyDescent="0.25">
      <c r="A74" s="48" t="s">
        <v>209</v>
      </c>
      <c r="E74" s="13" t="s">
        <v>3205</v>
      </c>
      <c r="F74" s="13" t="str">
        <f t="shared" si="1"/>
        <v>Over</v>
      </c>
      <c r="H74" s="101">
        <f t="shared" si="2"/>
        <v>2.8999999999999986</v>
      </c>
      <c r="I74" s="9">
        <v>24.5</v>
      </c>
      <c r="J74" s="9">
        <v>27.4</v>
      </c>
      <c r="L74" s="5"/>
      <c r="O74" s="115" t="s">
        <v>104</v>
      </c>
      <c r="P74" t="s">
        <v>183</v>
      </c>
      <c r="Q74" s="111" t="s">
        <v>60</v>
      </c>
      <c r="T74" t="str">
        <f t="shared" si="3"/>
        <v>Over</v>
      </c>
      <c r="U74">
        <v>32.4</v>
      </c>
      <c r="V74" s="9">
        <f t="shared" si="4"/>
        <v>3.8999999999999986</v>
      </c>
      <c r="W74" s="101">
        <f t="shared" si="5"/>
        <v>3.3999999999999986</v>
      </c>
      <c r="X74" s="9">
        <v>28.5</v>
      </c>
      <c r="Y74" s="9">
        <v>31.9</v>
      </c>
      <c r="AA74" t="s">
        <v>3247</v>
      </c>
    </row>
    <row r="75" spans="1:28" x14ac:dyDescent="0.25">
      <c r="A75" s="48" t="s">
        <v>132</v>
      </c>
      <c r="E75" s="13" t="s">
        <v>3205</v>
      </c>
      <c r="F75" s="13" t="str">
        <f t="shared" ref="F75:F106" si="6">IF(I75 - J75 &gt; 0, "Under", "Over")</f>
        <v>Over</v>
      </c>
      <c r="H75" s="101">
        <f t="shared" ref="H75:H106" si="7">ABS(J75-I75)</f>
        <v>2.8999999999999986</v>
      </c>
      <c r="I75" s="9">
        <v>21.5</v>
      </c>
      <c r="J75" s="9">
        <v>24.4</v>
      </c>
      <c r="L75" s="5"/>
      <c r="O75" t="s">
        <v>353</v>
      </c>
      <c r="P75" t="s">
        <v>343</v>
      </c>
      <c r="Q75" s="6"/>
      <c r="T75" t="str">
        <f t="shared" si="3"/>
        <v>Over</v>
      </c>
      <c r="U75">
        <v>16.8</v>
      </c>
      <c r="V75" s="9">
        <f t="shared" ref="V75:V105" si="8">ABS(U75-X75)</f>
        <v>2.3000000000000007</v>
      </c>
      <c r="W75" s="101">
        <f t="shared" ref="W75:W103" si="9">ABS(Y75-X75)</f>
        <v>3.1999999999999993</v>
      </c>
      <c r="X75" s="9">
        <v>14.5</v>
      </c>
      <c r="Y75" s="9">
        <v>17.7</v>
      </c>
    </row>
    <row r="76" spans="1:28" x14ac:dyDescent="0.25">
      <c r="A76" s="49" t="s">
        <v>1445</v>
      </c>
      <c r="E76" s="13" t="s">
        <v>3205</v>
      </c>
      <c r="F76" s="13" t="str">
        <f t="shared" si="6"/>
        <v>Under</v>
      </c>
      <c r="H76" s="101">
        <f t="shared" si="7"/>
        <v>2.8999999999999986</v>
      </c>
      <c r="I76" s="103">
        <v>20.5</v>
      </c>
      <c r="J76" s="9">
        <v>17.600000000000001</v>
      </c>
      <c r="L76" s="5"/>
      <c r="O76" t="s">
        <v>96</v>
      </c>
      <c r="P76" t="s">
        <v>289</v>
      </c>
      <c r="Q76" t="s">
        <v>74</v>
      </c>
      <c r="T76" t="str">
        <f t="shared" si="3"/>
        <v>Under</v>
      </c>
      <c r="U76">
        <v>13.8</v>
      </c>
      <c r="V76" s="9">
        <f t="shared" si="8"/>
        <v>1.8000000000000007</v>
      </c>
      <c r="W76" s="101">
        <f t="shared" si="9"/>
        <v>3</v>
      </c>
      <c r="X76" s="9">
        <v>12</v>
      </c>
      <c r="Y76" s="9">
        <v>9</v>
      </c>
    </row>
    <row r="77" spans="1:28" x14ac:dyDescent="0.25">
      <c r="A77" t="s">
        <v>218</v>
      </c>
      <c r="E77" s="13" t="s">
        <v>3205</v>
      </c>
      <c r="F77" s="13" t="str">
        <f t="shared" si="6"/>
        <v>Over</v>
      </c>
      <c r="H77" s="101">
        <f t="shared" si="7"/>
        <v>2.8000000000000007</v>
      </c>
      <c r="I77" s="9">
        <v>23</v>
      </c>
      <c r="J77" s="9">
        <v>25.8</v>
      </c>
      <c r="L77" s="5"/>
      <c r="O77" s="115" t="s">
        <v>3261</v>
      </c>
      <c r="P77" t="s">
        <v>3262</v>
      </c>
      <c r="Q77" s="110" t="s">
        <v>57</v>
      </c>
      <c r="T77" t="str">
        <f t="shared" si="3"/>
        <v>Under</v>
      </c>
      <c r="U77">
        <v>13</v>
      </c>
      <c r="V77" s="9">
        <f t="shared" si="8"/>
        <v>3.5</v>
      </c>
      <c r="W77" s="101">
        <f t="shared" si="9"/>
        <v>2.5</v>
      </c>
      <c r="X77" s="9">
        <v>9.5</v>
      </c>
      <c r="Y77" s="109">
        <v>7</v>
      </c>
    </row>
    <row r="78" spans="1:28" x14ac:dyDescent="0.25">
      <c r="A78" s="48" t="s">
        <v>293</v>
      </c>
      <c r="B78" s="49"/>
      <c r="C78" s="49"/>
      <c r="D78" s="49"/>
      <c r="E78" s="13" t="s">
        <v>3205</v>
      </c>
      <c r="F78" s="13" t="str">
        <f t="shared" si="6"/>
        <v>Under</v>
      </c>
      <c r="H78" s="101">
        <f t="shared" si="7"/>
        <v>2.7</v>
      </c>
      <c r="I78" s="9">
        <v>7.5</v>
      </c>
      <c r="J78" s="9">
        <v>4.8</v>
      </c>
      <c r="L78" s="5"/>
      <c r="O78" t="s">
        <v>165</v>
      </c>
      <c r="P78" t="s">
        <v>3263</v>
      </c>
      <c r="Q78" s="107" t="s">
        <v>41</v>
      </c>
      <c r="T78" t="str">
        <f t="shared" si="3"/>
        <v>Over</v>
      </c>
      <c r="U78">
        <v>15.6</v>
      </c>
      <c r="V78" s="9">
        <f t="shared" si="8"/>
        <v>1.9000000000000004</v>
      </c>
      <c r="W78" s="101">
        <f t="shared" si="9"/>
        <v>2.1999999999999993</v>
      </c>
      <c r="X78" s="9">
        <v>17.5</v>
      </c>
      <c r="Y78" s="9">
        <v>19.7</v>
      </c>
      <c r="Z78" s="52"/>
      <c r="AA78" s="65"/>
      <c r="AB78" s="8"/>
    </row>
    <row r="79" spans="1:28" x14ac:dyDescent="0.25">
      <c r="A79" s="48" t="s">
        <v>76</v>
      </c>
      <c r="B79" s="49"/>
      <c r="C79" s="49"/>
      <c r="D79" s="49"/>
      <c r="E79" s="13" t="s">
        <v>3205</v>
      </c>
      <c r="F79" s="13" t="str">
        <f t="shared" si="6"/>
        <v>Over</v>
      </c>
      <c r="H79" s="101">
        <f t="shared" si="7"/>
        <v>2.6999999999999993</v>
      </c>
      <c r="I79" s="9">
        <v>14.5</v>
      </c>
      <c r="J79" s="9">
        <v>17.2</v>
      </c>
      <c r="L79" s="5"/>
      <c r="O79" s="115" t="s">
        <v>355</v>
      </c>
      <c r="P79" t="s">
        <v>321</v>
      </c>
      <c r="Q79" s="5" t="s">
        <v>73</v>
      </c>
      <c r="R79" s="5"/>
      <c r="S79" s="5"/>
      <c r="T79" s="5"/>
      <c r="U79" s="5">
        <v>15.2</v>
      </c>
      <c r="V79" s="9">
        <f t="shared" si="8"/>
        <v>4.1999999999999993</v>
      </c>
      <c r="W79" s="101">
        <f t="shared" si="9"/>
        <v>2</v>
      </c>
      <c r="X79" s="187">
        <v>11</v>
      </c>
      <c r="Y79" s="187">
        <v>13</v>
      </c>
      <c r="AA79" t="s">
        <v>3247</v>
      </c>
    </row>
    <row r="80" spans="1:28" x14ac:dyDescent="0.25">
      <c r="A80" t="s">
        <v>187</v>
      </c>
      <c r="E80" s="13" t="s">
        <v>3205</v>
      </c>
      <c r="F80" s="13" t="str">
        <f t="shared" si="6"/>
        <v>Under</v>
      </c>
      <c r="H80" s="101">
        <f t="shared" si="7"/>
        <v>2.5</v>
      </c>
      <c r="I80" s="9">
        <v>18.5</v>
      </c>
      <c r="J80" s="9">
        <v>16</v>
      </c>
      <c r="L80" s="5"/>
      <c r="O80" s="115" t="s">
        <v>483</v>
      </c>
      <c r="P80" t="s">
        <v>85</v>
      </c>
      <c r="Q80" t="s">
        <v>50</v>
      </c>
      <c r="T80" t="str">
        <f t="shared" ref="T80:T105" si="10">IF(Y80 &gt; X80, "Over", "Under")</f>
        <v>Under</v>
      </c>
      <c r="U80">
        <v>14.4</v>
      </c>
      <c r="V80" s="9">
        <f t="shared" si="8"/>
        <v>4.0999999999999996</v>
      </c>
      <c r="W80" s="101">
        <f t="shared" si="9"/>
        <v>2</v>
      </c>
      <c r="X80" s="9">
        <v>18.5</v>
      </c>
      <c r="Y80" s="9">
        <v>16.5</v>
      </c>
      <c r="Z80" s="115"/>
      <c r="AA80" t="s">
        <v>3264</v>
      </c>
    </row>
    <row r="81" spans="1:28" x14ac:dyDescent="0.25">
      <c r="A81" t="s">
        <v>168</v>
      </c>
      <c r="E81" s="13" t="s">
        <v>3205</v>
      </c>
      <c r="F81" s="13" t="str">
        <f t="shared" si="6"/>
        <v>Under</v>
      </c>
      <c r="H81" s="101">
        <f t="shared" si="7"/>
        <v>2.5</v>
      </c>
      <c r="I81" s="9">
        <v>17.5</v>
      </c>
      <c r="J81" s="9">
        <v>15</v>
      </c>
      <c r="L81" s="5"/>
      <c r="O81" t="s">
        <v>1754</v>
      </c>
      <c r="P81" t="s">
        <v>343</v>
      </c>
      <c r="Q81" t="s">
        <v>74</v>
      </c>
      <c r="T81" t="str">
        <f t="shared" si="10"/>
        <v>Over</v>
      </c>
      <c r="U81">
        <v>11.4</v>
      </c>
      <c r="V81" s="9">
        <f t="shared" si="8"/>
        <v>2.4000000000000004</v>
      </c>
      <c r="W81" s="101">
        <f t="shared" si="9"/>
        <v>2</v>
      </c>
      <c r="X81" s="9">
        <v>9</v>
      </c>
      <c r="Y81" s="9">
        <v>11</v>
      </c>
    </row>
    <row r="82" spans="1:28" x14ac:dyDescent="0.25">
      <c r="A82" t="s">
        <v>1415</v>
      </c>
      <c r="E82" s="13" t="s">
        <v>3205</v>
      </c>
      <c r="F82" s="13" t="str">
        <f t="shared" si="6"/>
        <v>Over</v>
      </c>
      <c r="H82" s="101">
        <f t="shared" si="7"/>
        <v>2.3000000000000007</v>
      </c>
      <c r="I82" s="9">
        <v>21.5</v>
      </c>
      <c r="J82" s="9">
        <v>23.8</v>
      </c>
      <c r="L82" s="5"/>
      <c r="O82" t="s">
        <v>1805</v>
      </c>
      <c r="P82" t="s">
        <v>85</v>
      </c>
      <c r="Q82" t="s">
        <v>50</v>
      </c>
      <c r="T82" t="str">
        <f t="shared" si="10"/>
        <v>Under</v>
      </c>
      <c r="U82">
        <v>18.2</v>
      </c>
      <c r="V82" s="9">
        <f t="shared" si="8"/>
        <v>2.3000000000000007</v>
      </c>
      <c r="W82" s="101">
        <f t="shared" si="9"/>
        <v>2</v>
      </c>
      <c r="X82" s="9">
        <v>20.5</v>
      </c>
      <c r="Y82" s="9">
        <v>18.5</v>
      </c>
    </row>
    <row r="83" spans="1:28" x14ac:dyDescent="0.25">
      <c r="A83" s="48" t="s">
        <v>234</v>
      </c>
      <c r="E83" s="13" t="s">
        <v>3205</v>
      </c>
      <c r="F83" s="13" t="str">
        <f t="shared" si="6"/>
        <v>Over</v>
      </c>
      <c r="H83" s="101">
        <f t="shared" si="7"/>
        <v>2.3000000000000007</v>
      </c>
      <c r="I83" s="9">
        <v>13.5</v>
      </c>
      <c r="J83" s="9">
        <v>15.8</v>
      </c>
      <c r="L83" s="5"/>
      <c r="O83" t="s">
        <v>342</v>
      </c>
      <c r="P83" t="s">
        <v>343</v>
      </c>
      <c r="Q83" t="s">
        <v>74</v>
      </c>
      <c r="T83" t="str">
        <f t="shared" si="10"/>
        <v>Over</v>
      </c>
      <c r="U83">
        <v>28.8</v>
      </c>
      <c r="V83" s="9">
        <f t="shared" si="8"/>
        <v>1.8000000000000007</v>
      </c>
      <c r="W83" s="101">
        <f t="shared" si="9"/>
        <v>2</v>
      </c>
      <c r="X83" s="9">
        <v>27</v>
      </c>
      <c r="Y83" s="9">
        <v>29</v>
      </c>
      <c r="Z83" s="52"/>
      <c r="AA83" s="65"/>
      <c r="AB83" s="8"/>
    </row>
    <row r="84" spans="1:28" x14ac:dyDescent="0.25">
      <c r="A84" s="48" t="s">
        <v>196</v>
      </c>
      <c r="E84" s="13" t="s">
        <v>3205</v>
      </c>
      <c r="F84" s="13" t="str">
        <f t="shared" si="6"/>
        <v>Over</v>
      </c>
      <c r="H84" s="101">
        <f t="shared" si="7"/>
        <v>2.3000000000000007</v>
      </c>
      <c r="I84" s="9">
        <v>12.5</v>
      </c>
      <c r="J84" s="9">
        <v>14.8</v>
      </c>
      <c r="L84" s="5"/>
      <c r="O84" t="s">
        <v>194</v>
      </c>
      <c r="P84" t="s">
        <v>195</v>
      </c>
      <c r="Q84" t="s">
        <v>3248</v>
      </c>
      <c r="T84" t="str">
        <f t="shared" si="10"/>
        <v>Over</v>
      </c>
      <c r="U84">
        <v>21</v>
      </c>
      <c r="V84" s="9">
        <f t="shared" si="8"/>
        <v>1.5</v>
      </c>
      <c r="W84" s="101">
        <f t="shared" si="9"/>
        <v>2</v>
      </c>
      <c r="X84" s="9">
        <v>19.5</v>
      </c>
      <c r="Y84" s="9">
        <v>21.5</v>
      </c>
    </row>
    <row r="85" spans="1:28" x14ac:dyDescent="0.25">
      <c r="A85" t="s">
        <v>1907</v>
      </c>
      <c r="E85" s="13" t="s">
        <v>3205</v>
      </c>
      <c r="F85" s="13" t="str">
        <f t="shared" si="6"/>
        <v>Over</v>
      </c>
      <c r="H85" s="101">
        <f t="shared" si="7"/>
        <v>2.3000000000000007</v>
      </c>
      <c r="I85" s="9">
        <v>9.5</v>
      </c>
      <c r="J85" s="9">
        <v>11.8</v>
      </c>
      <c r="L85" s="5"/>
      <c r="O85" t="s">
        <v>3265</v>
      </c>
      <c r="P85" t="s">
        <v>269</v>
      </c>
      <c r="T85" t="str">
        <f t="shared" si="10"/>
        <v>Over</v>
      </c>
      <c r="U85">
        <v>14.4</v>
      </c>
      <c r="V85" s="9">
        <f t="shared" si="8"/>
        <v>0.90000000000000036</v>
      </c>
      <c r="W85" s="101">
        <f t="shared" si="9"/>
        <v>2</v>
      </c>
      <c r="X85" s="9">
        <v>13.5</v>
      </c>
      <c r="Y85" s="9">
        <v>15.5</v>
      </c>
      <c r="Z85" s="52"/>
      <c r="AA85" s="65"/>
      <c r="AB85" s="8"/>
    </row>
    <row r="86" spans="1:28" x14ac:dyDescent="0.25">
      <c r="A86" s="48" t="s">
        <v>359</v>
      </c>
      <c r="E86" s="13"/>
      <c r="F86" s="13" t="str">
        <f t="shared" si="6"/>
        <v>Over</v>
      </c>
      <c r="H86" s="101">
        <f t="shared" si="7"/>
        <v>2.1000000000000014</v>
      </c>
      <c r="I86" s="9">
        <v>20.5</v>
      </c>
      <c r="J86" s="9">
        <v>22.6</v>
      </c>
      <c r="L86" s="5"/>
      <c r="O86" s="115" t="s">
        <v>298</v>
      </c>
      <c r="P86" t="s">
        <v>232</v>
      </c>
      <c r="Q86" s="10"/>
      <c r="T86" t="str">
        <f t="shared" si="10"/>
        <v>Over</v>
      </c>
      <c r="U86">
        <v>7.4</v>
      </c>
      <c r="V86" s="9">
        <f t="shared" si="8"/>
        <v>3.0999999999999996</v>
      </c>
      <c r="W86" s="101">
        <f t="shared" si="9"/>
        <v>1.8000000000000007</v>
      </c>
      <c r="X86" s="9">
        <v>10.5</v>
      </c>
      <c r="Y86" s="9">
        <v>12.3</v>
      </c>
    </row>
    <row r="87" spans="1:28" x14ac:dyDescent="0.25">
      <c r="A87" t="s">
        <v>335</v>
      </c>
      <c r="E87" s="13" t="s">
        <v>3205</v>
      </c>
      <c r="F87" s="13" t="str">
        <f t="shared" si="6"/>
        <v>Over</v>
      </c>
      <c r="H87" s="101">
        <f t="shared" si="7"/>
        <v>2.0999999999999996</v>
      </c>
      <c r="I87" s="9">
        <v>8.5</v>
      </c>
      <c r="J87" s="9">
        <v>10.6</v>
      </c>
      <c r="L87" s="5"/>
      <c r="O87" s="115" t="s">
        <v>1951</v>
      </c>
      <c r="P87" t="s">
        <v>3250</v>
      </c>
      <c r="Q87" s="107" t="s">
        <v>40</v>
      </c>
      <c r="T87" t="str">
        <f t="shared" si="10"/>
        <v>Over</v>
      </c>
      <c r="U87">
        <v>16.399999999999999</v>
      </c>
      <c r="V87" s="9">
        <f t="shared" si="8"/>
        <v>4.8999999999999986</v>
      </c>
      <c r="W87" s="101">
        <f t="shared" si="9"/>
        <v>1.5</v>
      </c>
      <c r="X87" s="9">
        <v>11.5</v>
      </c>
      <c r="Y87" s="9">
        <v>13</v>
      </c>
    </row>
    <row r="88" spans="1:28" x14ac:dyDescent="0.25">
      <c r="A88" s="48" t="s">
        <v>202</v>
      </c>
      <c r="E88" s="13" t="s">
        <v>3205</v>
      </c>
      <c r="F88" s="13" t="str">
        <f t="shared" si="6"/>
        <v>Over</v>
      </c>
      <c r="H88" s="101">
        <f t="shared" si="7"/>
        <v>1.9000000000000004</v>
      </c>
      <c r="I88" s="9">
        <v>11.5</v>
      </c>
      <c r="J88" s="9">
        <v>13.4</v>
      </c>
      <c r="L88" s="5"/>
      <c r="O88" t="s">
        <v>2159</v>
      </c>
      <c r="P88" t="s">
        <v>3266</v>
      </c>
      <c r="Q88" s="107" t="s">
        <v>40</v>
      </c>
      <c r="T88" t="str">
        <f t="shared" si="10"/>
        <v>Over</v>
      </c>
      <c r="U88">
        <v>9</v>
      </c>
      <c r="V88" s="9">
        <f t="shared" si="8"/>
        <v>1.5</v>
      </c>
      <c r="W88" s="101">
        <f t="shared" si="9"/>
        <v>1.5</v>
      </c>
      <c r="X88" s="9">
        <v>10.5</v>
      </c>
      <c r="Y88" s="9">
        <v>12</v>
      </c>
    </row>
    <row r="89" spans="1:28" x14ac:dyDescent="0.25">
      <c r="A89" s="51" t="s">
        <v>3267</v>
      </c>
      <c r="E89" s="13" t="s">
        <v>3205</v>
      </c>
      <c r="F89" s="13" t="str">
        <f t="shared" si="6"/>
        <v>Over</v>
      </c>
      <c r="H89" s="101">
        <f t="shared" si="7"/>
        <v>1.9000000000000004</v>
      </c>
      <c r="I89" s="103">
        <v>8.5</v>
      </c>
      <c r="J89" s="9">
        <v>10.4</v>
      </c>
      <c r="L89" s="5"/>
      <c r="O89" t="s">
        <v>3268</v>
      </c>
      <c r="P89" t="s">
        <v>3269</v>
      </c>
      <c r="Q89" s="107" t="s">
        <v>40</v>
      </c>
      <c r="T89" t="str">
        <f t="shared" si="10"/>
        <v>Over</v>
      </c>
      <c r="U89">
        <v>11.8</v>
      </c>
      <c r="V89" s="9">
        <f t="shared" si="8"/>
        <v>0.30000000000000071</v>
      </c>
      <c r="W89" s="101">
        <f t="shared" si="9"/>
        <v>1.5</v>
      </c>
      <c r="X89" s="9">
        <v>11.5</v>
      </c>
      <c r="Y89" s="9">
        <v>13</v>
      </c>
    </row>
    <row r="90" spans="1:28" x14ac:dyDescent="0.25">
      <c r="A90" t="s">
        <v>312</v>
      </c>
      <c r="E90" s="13" t="s">
        <v>3205</v>
      </c>
      <c r="F90" s="13" t="str">
        <f t="shared" si="6"/>
        <v>Over</v>
      </c>
      <c r="H90" s="101">
        <f t="shared" si="7"/>
        <v>1.8999999999999986</v>
      </c>
      <c r="I90" s="9">
        <v>17.5</v>
      </c>
      <c r="J90" s="9">
        <v>19.399999999999999</v>
      </c>
      <c r="L90" s="5"/>
      <c r="O90" s="115" t="s">
        <v>275</v>
      </c>
      <c r="P90" t="s">
        <v>276</v>
      </c>
      <c r="Q90" t="s">
        <v>74</v>
      </c>
      <c r="T90" t="str">
        <f t="shared" si="10"/>
        <v>Under</v>
      </c>
      <c r="U90">
        <v>18.8</v>
      </c>
      <c r="V90" s="9">
        <f t="shared" si="8"/>
        <v>7.8000000000000007</v>
      </c>
      <c r="W90" s="101">
        <f t="shared" si="9"/>
        <v>1.3000000000000007</v>
      </c>
      <c r="X90" s="9">
        <v>11</v>
      </c>
      <c r="Y90" s="9">
        <v>9.6999999999999993</v>
      </c>
      <c r="Z90" s="118"/>
      <c r="AA90" t="s">
        <v>3252</v>
      </c>
      <c r="AB90" t="s">
        <v>346</v>
      </c>
    </row>
    <row r="91" spans="1:28" x14ac:dyDescent="0.25">
      <c r="A91" s="48" t="s">
        <v>3270</v>
      </c>
      <c r="E91" s="13" t="s">
        <v>3205</v>
      </c>
      <c r="F91" s="13" t="str">
        <f t="shared" si="6"/>
        <v>Over</v>
      </c>
      <c r="H91" s="101">
        <f t="shared" si="7"/>
        <v>1.8000000000000007</v>
      </c>
      <c r="I91" s="9">
        <v>12</v>
      </c>
      <c r="J91" s="9">
        <v>13.8</v>
      </c>
      <c r="L91" s="5"/>
      <c r="O91" t="s">
        <v>277</v>
      </c>
      <c r="P91" t="s">
        <v>195</v>
      </c>
      <c r="Q91" t="s">
        <v>3248</v>
      </c>
      <c r="T91" t="str">
        <f t="shared" si="10"/>
        <v>Under</v>
      </c>
      <c r="U91">
        <v>7</v>
      </c>
      <c r="V91" s="9">
        <f t="shared" si="8"/>
        <v>0.5</v>
      </c>
      <c r="W91" s="101">
        <f t="shared" si="9"/>
        <v>1.2000000000000002</v>
      </c>
      <c r="X91" s="9">
        <v>7.5</v>
      </c>
      <c r="Y91" s="9">
        <v>6.3</v>
      </c>
    </row>
    <row r="92" spans="1:28" x14ac:dyDescent="0.25">
      <c r="A92" s="48" t="s">
        <v>189</v>
      </c>
      <c r="E92" s="13" t="s">
        <v>3205</v>
      </c>
      <c r="F92" s="13" t="str">
        <f t="shared" si="6"/>
        <v>Over</v>
      </c>
      <c r="H92" s="101">
        <f t="shared" si="7"/>
        <v>1.6999999999999993</v>
      </c>
      <c r="I92" s="9">
        <v>19.5</v>
      </c>
      <c r="J92" s="9">
        <v>21.2</v>
      </c>
      <c r="L92" s="5"/>
      <c r="O92" t="s">
        <v>280</v>
      </c>
      <c r="P92" t="s">
        <v>281</v>
      </c>
      <c r="Q92" t="s">
        <v>73</v>
      </c>
      <c r="T92" t="str">
        <f t="shared" si="10"/>
        <v>Over</v>
      </c>
      <c r="U92">
        <v>16.600000000000001</v>
      </c>
      <c r="V92" s="9">
        <f t="shared" si="8"/>
        <v>2.8999999999999986</v>
      </c>
      <c r="W92" s="101">
        <f t="shared" si="9"/>
        <v>1</v>
      </c>
      <c r="X92" s="9">
        <v>19.5</v>
      </c>
      <c r="Y92" s="9">
        <v>20.5</v>
      </c>
    </row>
    <row r="93" spans="1:28" x14ac:dyDescent="0.25">
      <c r="A93" s="48" t="s">
        <v>3210</v>
      </c>
      <c r="E93" s="13" t="s">
        <v>3205</v>
      </c>
      <c r="F93" s="13" t="str">
        <f t="shared" si="6"/>
        <v>Under</v>
      </c>
      <c r="H93" s="101">
        <f t="shared" si="7"/>
        <v>1.5</v>
      </c>
      <c r="I93" s="9">
        <v>14.5</v>
      </c>
      <c r="J93">
        <v>13</v>
      </c>
      <c r="L93" s="5"/>
      <c r="O93" t="s">
        <v>231</v>
      </c>
      <c r="P93" t="s">
        <v>232</v>
      </c>
      <c r="Q93" s="10" t="s">
        <v>98</v>
      </c>
      <c r="T93" t="str">
        <f t="shared" si="10"/>
        <v>Under</v>
      </c>
      <c r="U93">
        <v>10.8</v>
      </c>
      <c r="V93" s="9">
        <f t="shared" si="8"/>
        <v>1.6999999999999993</v>
      </c>
      <c r="W93" s="101">
        <f t="shared" si="9"/>
        <v>1</v>
      </c>
      <c r="X93" s="9">
        <v>12.5</v>
      </c>
      <c r="Y93" s="9">
        <v>11.5</v>
      </c>
    </row>
    <row r="94" spans="1:28" x14ac:dyDescent="0.25">
      <c r="A94" s="48" t="s">
        <v>336</v>
      </c>
      <c r="B94" s="49"/>
      <c r="C94" s="49"/>
      <c r="D94" s="49"/>
      <c r="E94" s="13" t="s">
        <v>3205</v>
      </c>
      <c r="F94" s="13" t="str">
        <f t="shared" si="6"/>
        <v>Over</v>
      </c>
      <c r="G94" s="5"/>
      <c r="H94" s="101">
        <f t="shared" si="7"/>
        <v>1.5</v>
      </c>
      <c r="I94" s="9">
        <v>5.5</v>
      </c>
      <c r="J94" s="9">
        <v>7</v>
      </c>
      <c r="L94" s="5"/>
      <c r="O94" t="s">
        <v>154</v>
      </c>
      <c r="P94" t="s">
        <v>3258</v>
      </c>
      <c r="Q94" s="107" t="s">
        <v>41</v>
      </c>
      <c r="R94" s="5"/>
      <c r="S94" s="5"/>
      <c r="T94" t="str">
        <f t="shared" si="10"/>
        <v>Over</v>
      </c>
      <c r="U94" s="5">
        <v>27.4</v>
      </c>
      <c r="V94" s="9">
        <f t="shared" si="8"/>
        <v>1.8999999999999986</v>
      </c>
      <c r="W94" s="101">
        <f t="shared" si="9"/>
        <v>0.69999999999999929</v>
      </c>
      <c r="X94" s="9">
        <v>25.5</v>
      </c>
      <c r="Y94" s="108">
        <v>26.2</v>
      </c>
      <c r="Z94" s="5"/>
      <c r="AA94" s="5"/>
      <c r="AB94" s="5"/>
    </row>
    <row r="95" spans="1:28" x14ac:dyDescent="0.25">
      <c r="A95" s="48" t="s">
        <v>3271</v>
      </c>
      <c r="E95" s="13" t="s">
        <v>3205</v>
      </c>
      <c r="F95" s="13" t="str">
        <f t="shared" si="6"/>
        <v>Under</v>
      </c>
      <c r="H95" s="101">
        <f t="shared" si="7"/>
        <v>1.3000000000000007</v>
      </c>
      <c r="I95" s="9">
        <v>9.5</v>
      </c>
      <c r="J95" s="9">
        <v>8.1999999999999993</v>
      </c>
      <c r="L95" s="5"/>
      <c r="O95" s="115" t="s">
        <v>290</v>
      </c>
      <c r="P95" t="s">
        <v>276</v>
      </c>
      <c r="Q95" t="s">
        <v>74</v>
      </c>
      <c r="T95" t="str">
        <f t="shared" si="10"/>
        <v>Under</v>
      </c>
      <c r="U95">
        <v>15</v>
      </c>
      <c r="V95" s="9">
        <f t="shared" si="8"/>
        <v>3.5</v>
      </c>
      <c r="W95" s="101">
        <f t="shared" si="9"/>
        <v>0.5</v>
      </c>
      <c r="X95" s="9">
        <v>11.5</v>
      </c>
      <c r="Y95" s="9">
        <v>11</v>
      </c>
    </row>
    <row r="96" spans="1:28" x14ac:dyDescent="0.25">
      <c r="A96" t="s">
        <v>1728</v>
      </c>
      <c r="E96" s="13" t="s">
        <v>3205</v>
      </c>
      <c r="F96" s="13" t="str">
        <f t="shared" si="6"/>
        <v>Over</v>
      </c>
      <c r="H96" s="101">
        <f t="shared" si="7"/>
        <v>1.3000000000000007</v>
      </c>
      <c r="I96" s="9">
        <v>14.5</v>
      </c>
      <c r="J96" s="9">
        <v>15.8</v>
      </c>
      <c r="L96" s="5"/>
      <c r="O96" t="s">
        <v>333</v>
      </c>
      <c r="P96" t="s">
        <v>334</v>
      </c>
      <c r="Q96" s="6" t="s">
        <v>98</v>
      </c>
      <c r="T96" t="str">
        <f t="shared" si="10"/>
        <v>Under</v>
      </c>
      <c r="U96">
        <v>7.2</v>
      </c>
      <c r="V96" s="9">
        <f t="shared" si="8"/>
        <v>2.2999999999999998</v>
      </c>
      <c r="W96" s="101">
        <f t="shared" si="9"/>
        <v>0.5</v>
      </c>
      <c r="X96" s="9">
        <v>9.5</v>
      </c>
      <c r="Y96" s="9">
        <v>9</v>
      </c>
    </row>
    <row r="97" spans="1:28" x14ac:dyDescent="0.25">
      <c r="A97" t="s">
        <v>340</v>
      </c>
      <c r="E97" s="13" t="s">
        <v>3205</v>
      </c>
      <c r="F97" s="13" t="str">
        <f t="shared" si="6"/>
        <v>Under</v>
      </c>
      <c r="H97" s="101">
        <f t="shared" si="7"/>
        <v>1.3000000000000007</v>
      </c>
      <c r="I97" s="9">
        <v>13.5</v>
      </c>
      <c r="J97" s="9">
        <v>12.2</v>
      </c>
      <c r="L97" s="5"/>
      <c r="O97" t="s">
        <v>1996</v>
      </c>
      <c r="P97" t="s">
        <v>3272</v>
      </c>
      <c r="Q97" s="110" t="s">
        <v>57</v>
      </c>
      <c r="T97" t="str">
        <f t="shared" si="10"/>
        <v>Under</v>
      </c>
      <c r="U97">
        <v>7.4</v>
      </c>
      <c r="V97" s="9">
        <f t="shared" si="8"/>
        <v>2.0999999999999996</v>
      </c>
      <c r="W97" s="101">
        <f t="shared" si="9"/>
        <v>0.5</v>
      </c>
      <c r="X97" s="9">
        <v>9.5</v>
      </c>
      <c r="Y97" s="9">
        <v>9</v>
      </c>
    </row>
    <row r="98" spans="1:28" x14ac:dyDescent="0.25">
      <c r="A98" t="s">
        <v>323</v>
      </c>
      <c r="E98" s="13" t="s">
        <v>3205</v>
      </c>
      <c r="F98" s="13" t="str">
        <f t="shared" si="6"/>
        <v>Under</v>
      </c>
      <c r="H98" s="101">
        <f t="shared" si="7"/>
        <v>1.2999999999999998</v>
      </c>
      <c r="I98" s="9">
        <v>8.5</v>
      </c>
      <c r="J98" s="9">
        <v>7.2</v>
      </c>
      <c r="L98" s="5"/>
      <c r="O98" t="s">
        <v>1971</v>
      </c>
      <c r="P98" t="s">
        <v>3273</v>
      </c>
      <c r="Q98" s="110" t="s">
        <v>57</v>
      </c>
      <c r="T98" t="str">
        <f t="shared" si="10"/>
        <v>Under</v>
      </c>
      <c r="U98">
        <v>11.8</v>
      </c>
      <c r="V98" s="9">
        <f t="shared" si="8"/>
        <v>1.6999999999999993</v>
      </c>
      <c r="W98" s="101">
        <f t="shared" si="9"/>
        <v>0.5</v>
      </c>
      <c r="X98" s="9">
        <v>13.5</v>
      </c>
      <c r="Y98" s="9">
        <v>13</v>
      </c>
    </row>
    <row r="99" spans="1:28" x14ac:dyDescent="0.25">
      <c r="A99" s="48" t="s">
        <v>2188</v>
      </c>
      <c r="B99" s="49"/>
      <c r="C99" s="49"/>
      <c r="D99" s="49"/>
      <c r="E99" s="13" t="s">
        <v>3205</v>
      </c>
      <c r="F99" s="13" t="str">
        <f t="shared" si="6"/>
        <v>Under</v>
      </c>
      <c r="H99" s="101">
        <f t="shared" si="7"/>
        <v>1.2000000000000002</v>
      </c>
      <c r="I99" s="9">
        <v>6</v>
      </c>
      <c r="J99" s="9">
        <v>4.8</v>
      </c>
      <c r="L99" s="5"/>
      <c r="O99" t="s">
        <v>169</v>
      </c>
      <c r="P99" t="s">
        <v>339</v>
      </c>
      <c r="Q99" t="s">
        <v>73</v>
      </c>
      <c r="T99" t="str">
        <f t="shared" si="10"/>
        <v>Under</v>
      </c>
      <c r="U99">
        <v>18</v>
      </c>
      <c r="V99" s="9">
        <f t="shared" si="8"/>
        <v>1.5</v>
      </c>
      <c r="W99" s="101">
        <f t="shared" si="9"/>
        <v>0.5</v>
      </c>
      <c r="X99" s="9">
        <v>16.5</v>
      </c>
      <c r="Y99" s="9">
        <v>16</v>
      </c>
    </row>
    <row r="100" spans="1:28" x14ac:dyDescent="0.25">
      <c r="A100" s="11" t="s">
        <v>3274</v>
      </c>
      <c r="E100" s="13" t="s">
        <v>3205</v>
      </c>
      <c r="F100" s="13" t="str">
        <f t="shared" si="6"/>
        <v>Over</v>
      </c>
      <c r="H100" s="101">
        <f t="shared" si="7"/>
        <v>1.0999999999999996</v>
      </c>
      <c r="I100" s="102">
        <v>10.5</v>
      </c>
      <c r="J100" s="9">
        <v>11.6</v>
      </c>
      <c r="L100" s="5"/>
      <c r="O100" t="s">
        <v>2556</v>
      </c>
      <c r="P100" t="s">
        <v>3272</v>
      </c>
      <c r="Q100" s="111" t="s">
        <v>57</v>
      </c>
      <c r="T100" t="str">
        <f t="shared" si="10"/>
        <v>Over</v>
      </c>
      <c r="U100">
        <v>9.1999999999999993</v>
      </c>
      <c r="V100" s="9">
        <f t="shared" si="8"/>
        <v>0.30000000000000071</v>
      </c>
      <c r="W100" s="101">
        <f t="shared" si="9"/>
        <v>0.5</v>
      </c>
      <c r="X100" s="9">
        <v>9.5</v>
      </c>
      <c r="Y100" s="9">
        <v>10</v>
      </c>
    </row>
    <row r="101" spans="1:28" x14ac:dyDescent="0.25">
      <c r="A101" t="s">
        <v>109</v>
      </c>
      <c r="E101" s="13" t="s">
        <v>3205</v>
      </c>
      <c r="F101" s="13" t="str">
        <f t="shared" si="6"/>
        <v>Over</v>
      </c>
      <c r="H101" s="101">
        <f t="shared" si="7"/>
        <v>1.0999999999999996</v>
      </c>
      <c r="I101" s="9">
        <v>9.5</v>
      </c>
      <c r="J101" s="9">
        <v>10.6</v>
      </c>
      <c r="L101" s="5"/>
      <c r="O101" t="s">
        <v>128</v>
      </c>
      <c r="P101" t="s">
        <v>3275</v>
      </c>
      <c r="Q101" s="107" t="s">
        <v>41</v>
      </c>
      <c r="T101" t="str">
        <f t="shared" si="10"/>
        <v>Over</v>
      </c>
      <c r="U101">
        <v>23.6</v>
      </c>
      <c r="V101" s="9">
        <f t="shared" si="8"/>
        <v>0.89999999999999858</v>
      </c>
      <c r="W101" s="101">
        <f t="shared" si="9"/>
        <v>0.30000000000000071</v>
      </c>
      <c r="X101" s="9">
        <v>24.5</v>
      </c>
      <c r="Y101" s="9">
        <v>24.8</v>
      </c>
      <c r="Z101" s="52"/>
      <c r="AA101" s="65"/>
      <c r="AB101" s="8"/>
    </row>
    <row r="102" spans="1:28" x14ac:dyDescent="0.25">
      <c r="A102" s="50" t="s">
        <v>141</v>
      </c>
      <c r="B102" s="49"/>
      <c r="C102" s="49"/>
      <c r="D102" s="49"/>
      <c r="E102" s="13" t="s">
        <v>3205</v>
      </c>
      <c r="F102" s="13" t="str">
        <f t="shared" si="6"/>
        <v>Over</v>
      </c>
      <c r="H102" s="101">
        <f t="shared" si="7"/>
        <v>1</v>
      </c>
      <c r="I102" s="9">
        <v>22.5</v>
      </c>
      <c r="J102" s="9">
        <v>23.5</v>
      </c>
      <c r="L102" s="5"/>
      <c r="O102" t="s">
        <v>348</v>
      </c>
      <c r="P102" t="s">
        <v>349</v>
      </c>
      <c r="Q102" t="s">
        <v>74</v>
      </c>
      <c r="T102" t="str">
        <f t="shared" si="10"/>
        <v>Under</v>
      </c>
      <c r="U102">
        <v>12.2</v>
      </c>
      <c r="V102" s="9">
        <f t="shared" si="8"/>
        <v>0.30000000000000071</v>
      </c>
      <c r="W102" s="101">
        <f t="shared" si="9"/>
        <v>0.19999999999999929</v>
      </c>
      <c r="X102" s="9">
        <v>12.5</v>
      </c>
      <c r="Y102" s="9">
        <v>12.3</v>
      </c>
    </row>
    <row r="103" spans="1:28" x14ac:dyDescent="0.25">
      <c r="A103" s="50" t="s">
        <v>262</v>
      </c>
      <c r="B103" s="49"/>
      <c r="C103" s="49"/>
      <c r="D103" s="49"/>
      <c r="E103" s="13" t="s">
        <v>3205</v>
      </c>
      <c r="F103" s="13" t="str">
        <f t="shared" si="6"/>
        <v>Under</v>
      </c>
      <c r="H103" s="101">
        <f t="shared" si="7"/>
        <v>0.90000000000000036</v>
      </c>
      <c r="I103" s="9">
        <v>12.5</v>
      </c>
      <c r="J103" s="9">
        <v>11.6</v>
      </c>
      <c r="L103" s="5"/>
      <c r="O103" t="s">
        <v>2282</v>
      </c>
      <c r="P103" t="s">
        <v>3258</v>
      </c>
      <c r="Q103" t="s">
        <v>41</v>
      </c>
      <c r="T103" t="str">
        <f t="shared" si="10"/>
        <v>Under</v>
      </c>
      <c r="U103">
        <v>5.8</v>
      </c>
      <c r="V103" s="9">
        <f t="shared" si="8"/>
        <v>1.2000000000000002</v>
      </c>
      <c r="W103" s="101">
        <f t="shared" si="9"/>
        <v>0</v>
      </c>
      <c r="X103" s="9">
        <v>7</v>
      </c>
      <c r="Y103" s="9">
        <v>7</v>
      </c>
      <c r="Z103" s="52"/>
      <c r="AA103" s="65"/>
      <c r="AB103" s="8"/>
    </row>
    <row r="104" spans="1:28" x14ac:dyDescent="0.25">
      <c r="A104" s="48" t="s">
        <v>1580</v>
      </c>
      <c r="E104" s="13" t="s">
        <v>3205</v>
      </c>
      <c r="F104" s="13" t="str">
        <f t="shared" si="6"/>
        <v>Over</v>
      </c>
      <c r="H104" s="101">
        <f t="shared" si="7"/>
        <v>0.89999999999999858</v>
      </c>
      <c r="I104" s="103">
        <v>17.5</v>
      </c>
      <c r="J104" s="9">
        <v>18.399999999999999</v>
      </c>
      <c r="L104" s="5"/>
      <c r="O104" s="115" t="s">
        <v>2244</v>
      </c>
      <c r="P104" t="s">
        <v>269</v>
      </c>
      <c r="Q104" t="s">
        <v>98</v>
      </c>
      <c r="T104" t="str">
        <f t="shared" si="10"/>
        <v>Under</v>
      </c>
      <c r="U104">
        <v>10.4</v>
      </c>
      <c r="V104" s="9">
        <f t="shared" si="8"/>
        <v>3.9000000000000004</v>
      </c>
      <c r="W104" s="101"/>
      <c r="X104" s="9">
        <v>6.5</v>
      </c>
      <c r="Y104" s="9">
        <v>5.5</v>
      </c>
    </row>
    <row r="105" spans="1:28" x14ac:dyDescent="0.25">
      <c r="A105" t="s">
        <v>118</v>
      </c>
      <c r="E105" s="13" t="s">
        <v>3205</v>
      </c>
      <c r="F105" s="13" t="str">
        <f t="shared" si="6"/>
        <v>Under</v>
      </c>
      <c r="H105" s="101">
        <f t="shared" si="7"/>
        <v>0.69999999999999929</v>
      </c>
      <c r="I105" s="9">
        <v>21.5</v>
      </c>
      <c r="J105" s="9">
        <v>20.8</v>
      </c>
      <c r="L105" s="5"/>
      <c r="O105" t="s">
        <v>2030</v>
      </c>
      <c r="P105" t="s">
        <v>3272</v>
      </c>
      <c r="Q105" s="112" t="s">
        <v>57</v>
      </c>
      <c r="T105" t="str">
        <f t="shared" si="10"/>
        <v>Under</v>
      </c>
      <c r="U105">
        <v>10.199999999999999</v>
      </c>
      <c r="V105" s="9">
        <f t="shared" si="8"/>
        <v>0.30000000000000071</v>
      </c>
      <c r="W105" s="101"/>
      <c r="X105" s="9">
        <v>10.5</v>
      </c>
      <c r="Y105" s="9">
        <v>10.5</v>
      </c>
    </row>
    <row r="106" spans="1:28" x14ac:dyDescent="0.25">
      <c r="A106" s="50" t="s">
        <v>3276</v>
      </c>
      <c r="B106" s="49"/>
      <c r="C106" s="49"/>
      <c r="D106" s="49"/>
      <c r="E106" s="13" t="s">
        <v>3205</v>
      </c>
      <c r="F106" s="13" t="str">
        <f t="shared" si="6"/>
        <v>Over</v>
      </c>
      <c r="H106" s="101">
        <f t="shared" si="7"/>
        <v>0.69999999999999929</v>
      </c>
      <c r="I106" s="9">
        <v>20.5</v>
      </c>
      <c r="J106" s="9">
        <v>21.2</v>
      </c>
      <c r="L106" s="5"/>
    </row>
    <row r="107" spans="1:28" x14ac:dyDescent="0.25">
      <c r="A107" t="s">
        <v>103</v>
      </c>
      <c r="E107" s="13" t="s">
        <v>3205</v>
      </c>
      <c r="F107" s="13" t="str">
        <f t="shared" ref="F107:F130" si="11">IF(I107 - J107 &gt; 0, "Under", "Over")</f>
        <v>Under</v>
      </c>
      <c r="H107" s="101">
        <f t="shared" ref="H107:H130" si="12">ABS(J107-I107)</f>
        <v>0.69999999999999929</v>
      </c>
      <c r="I107" s="9">
        <v>19.5</v>
      </c>
      <c r="J107" s="9">
        <v>18.8</v>
      </c>
      <c r="L107" s="5"/>
    </row>
    <row r="108" spans="1:28" x14ac:dyDescent="0.25">
      <c r="A108" s="50" t="s">
        <v>370</v>
      </c>
      <c r="B108" s="49"/>
      <c r="C108" s="49"/>
      <c r="D108" s="49"/>
      <c r="E108" s="13" t="s">
        <v>3205</v>
      </c>
      <c r="F108" s="13" t="str">
        <f t="shared" si="11"/>
        <v>Over</v>
      </c>
      <c r="H108" s="101">
        <f t="shared" si="12"/>
        <v>0.69999999999999929</v>
      </c>
      <c r="I108" s="9">
        <v>13.5</v>
      </c>
      <c r="J108" s="9">
        <v>14.2</v>
      </c>
      <c r="L108" s="5"/>
    </row>
    <row r="109" spans="1:28" x14ac:dyDescent="0.25">
      <c r="A109" t="s">
        <v>1653</v>
      </c>
      <c r="E109" s="13" t="s">
        <v>3205</v>
      </c>
      <c r="F109" s="13" t="str">
        <f t="shared" si="11"/>
        <v>Over</v>
      </c>
      <c r="H109" s="101">
        <f t="shared" si="12"/>
        <v>0.69999999999999929</v>
      </c>
      <c r="I109" s="9">
        <v>13.5</v>
      </c>
      <c r="J109" s="9">
        <v>14.2</v>
      </c>
      <c r="L109" s="5"/>
    </row>
    <row r="110" spans="1:28" x14ac:dyDescent="0.25">
      <c r="A110" s="48" t="s">
        <v>3277</v>
      </c>
      <c r="E110" s="13" t="s">
        <v>3205</v>
      </c>
      <c r="F110" s="13" t="str">
        <f t="shared" si="11"/>
        <v>Over</v>
      </c>
      <c r="H110" s="101">
        <f t="shared" si="12"/>
        <v>0.69999999999999929</v>
      </c>
      <c r="I110" s="9">
        <v>12.5</v>
      </c>
      <c r="J110" s="9">
        <v>13.2</v>
      </c>
      <c r="L110" s="5"/>
    </row>
    <row r="111" spans="1:28" x14ac:dyDescent="0.25">
      <c r="A111" s="49" t="s">
        <v>2060</v>
      </c>
      <c r="B111" s="49"/>
      <c r="C111" s="49"/>
      <c r="D111" s="49"/>
      <c r="E111" s="13" t="s">
        <v>3205</v>
      </c>
      <c r="F111" s="13" t="str">
        <f t="shared" si="11"/>
        <v>Over</v>
      </c>
      <c r="H111" s="101">
        <f t="shared" si="12"/>
        <v>0.69999999999999929</v>
      </c>
      <c r="I111" s="9">
        <v>10.5</v>
      </c>
      <c r="J111" s="9">
        <v>11.2</v>
      </c>
      <c r="L111" s="5"/>
    </row>
    <row r="112" spans="1:28" x14ac:dyDescent="0.25">
      <c r="A112" t="s">
        <v>1878</v>
      </c>
      <c r="E112" s="13" t="s">
        <v>3205</v>
      </c>
      <c r="F112" s="13" t="str">
        <f t="shared" si="11"/>
        <v>Over</v>
      </c>
      <c r="H112" s="101">
        <f t="shared" si="12"/>
        <v>0.69999999999999929</v>
      </c>
      <c r="I112" s="9">
        <v>9.5</v>
      </c>
      <c r="J112" s="9">
        <v>10.199999999999999</v>
      </c>
      <c r="L112" s="5"/>
    </row>
    <row r="113" spans="1:12" x14ac:dyDescent="0.25">
      <c r="A113" t="s">
        <v>1982</v>
      </c>
      <c r="E113" s="13" t="s">
        <v>3205</v>
      </c>
      <c r="F113" s="13" t="str">
        <f t="shared" si="11"/>
        <v>Over</v>
      </c>
      <c r="H113" s="101">
        <f t="shared" si="12"/>
        <v>0.69999999999999929</v>
      </c>
      <c r="I113" s="9">
        <v>7.5</v>
      </c>
      <c r="J113" s="9">
        <v>8.1999999999999993</v>
      </c>
      <c r="L113" s="5"/>
    </row>
    <row r="114" spans="1:12" x14ac:dyDescent="0.25">
      <c r="A114" s="49" t="s">
        <v>1404</v>
      </c>
      <c r="B114" s="49"/>
      <c r="C114" s="49"/>
      <c r="D114" s="49"/>
      <c r="E114" s="13" t="s">
        <v>3205</v>
      </c>
      <c r="F114" s="13" t="str">
        <f t="shared" si="11"/>
        <v>Over</v>
      </c>
      <c r="H114" s="101">
        <f t="shared" si="12"/>
        <v>0.5</v>
      </c>
      <c r="I114" s="9">
        <v>18.5</v>
      </c>
      <c r="J114" s="9">
        <v>19</v>
      </c>
      <c r="L114" s="5"/>
    </row>
    <row r="115" spans="1:12" x14ac:dyDescent="0.25">
      <c r="A115" t="s">
        <v>55</v>
      </c>
      <c r="E115" s="13" t="s">
        <v>3205</v>
      </c>
      <c r="F115" s="13" t="str">
        <f t="shared" si="11"/>
        <v>Under</v>
      </c>
      <c r="H115" s="101">
        <f t="shared" si="12"/>
        <v>0.5</v>
      </c>
      <c r="I115" s="9">
        <v>30.5</v>
      </c>
      <c r="J115" s="9">
        <v>30</v>
      </c>
      <c r="L115" s="5"/>
    </row>
    <row r="116" spans="1:12" x14ac:dyDescent="0.25">
      <c r="A116" s="51" t="s">
        <v>1122</v>
      </c>
      <c r="B116" s="49"/>
      <c r="C116" s="49"/>
      <c r="D116" s="49"/>
      <c r="E116" s="13" t="s">
        <v>3205</v>
      </c>
      <c r="F116" s="13" t="str">
        <f t="shared" si="11"/>
        <v>Over</v>
      </c>
      <c r="H116" s="101">
        <f t="shared" si="12"/>
        <v>0.5</v>
      </c>
      <c r="I116" s="9">
        <v>27.5</v>
      </c>
      <c r="J116" s="9">
        <v>28</v>
      </c>
      <c r="L116" s="5"/>
    </row>
    <row r="117" spans="1:12" x14ac:dyDescent="0.25">
      <c r="A117" t="s">
        <v>3278</v>
      </c>
      <c r="E117" s="13" t="s">
        <v>3205</v>
      </c>
      <c r="F117" s="13" t="str">
        <f t="shared" si="11"/>
        <v>Over</v>
      </c>
      <c r="H117" s="101">
        <f t="shared" si="12"/>
        <v>0.5</v>
      </c>
      <c r="I117" s="9">
        <v>18.5</v>
      </c>
      <c r="J117" s="9">
        <v>19</v>
      </c>
      <c r="L117" s="5"/>
    </row>
    <row r="118" spans="1:12" x14ac:dyDescent="0.25">
      <c r="A118" s="11" t="s">
        <v>220</v>
      </c>
      <c r="B118" s="11"/>
      <c r="C118" s="11"/>
      <c r="D118" s="11"/>
      <c r="E118" s="13" t="s">
        <v>3205</v>
      </c>
      <c r="F118" s="13" t="str">
        <f t="shared" si="11"/>
        <v>Under</v>
      </c>
      <c r="H118" s="101">
        <f t="shared" si="12"/>
        <v>0.5</v>
      </c>
      <c r="I118" s="9">
        <v>17.5</v>
      </c>
      <c r="J118" s="9">
        <v>17</v>
      </c>
      <c r="L118" s="5"/>
    </row>
    <row r="119" spans="1:12" x14ac:dyDescent="0.25">
      <c r="A119" t="s">
        <v>317</v>
      </c>
      <c r="E119" s="13" t="s">
        <v>3205</v>
      </c>
      <c r="F119" s="13" t="str">
        <f t="shared" si="11"/>
        <v>Under</v>
      </c>
      <c r="H119" s="101">
        <f t="shared" si="12"/>
        <v>0.5</v>
      </c>
      <c r="I119" s="9">
        <v>16.5</v>
      </c>
      <c r="J119" s="9">
        <v>16</v>
      </c>
      <c r="L119" s="5"/>
    </row>
    <row r="120" spans="1:12" x14ac:dyDescent="0.25">
      <c r="A120" s="11" t="s">
        <v>158</v>
      </c>
      <c r="B120" s="42"/>
      <c r="C120" s="42"/>
      <c r="D120" s="42"/>
      <c r="E120" s="13" t="s">
        <v>3205</v>
      </c>
      <c r="F120" s="13" t="str">
        <f t="shared" si="11"/>
        <v>Over</v>
      </c>
      <c r="H120" s="101">
        <f t="shared" si="12"/>
        <v>0.5</v>
      </c>
      <c r="I120" s="9">
        <v>12.5</v>
      </c>
      <c r="J120" s="9">
        <v>13</v>
      </c>
      <c r="L120" s="5"/>
    </row>
    <row r="121" spans="1:12" x14ac:dyDescent="0.25">
      <c r="A121" t="s">
        <v>204</v>
      </c>
      <c r="E121" s="13" t="s">
        <v>3205</v>
      </c>
      <c r="F121" s="13" t="str">
        <f t="shared" si="11"/>
        <v>Over</v>
      </c>
      <c r="H121" s="101">
        <f t="shared" si="12"/>
        <v>0.5</v>
      </c>
      <c r="I121" s="9">
        <v>6.5</v>
      </c>
      <c r="J121" s="9">
        <v>7</v>
      </c>
      <c r="L121" s="5"/>
    </row>
    <row r="122" spans="1:12" x14ac:dyDescent="0.25">
      <c r="A122" t="s">
        <v>64</v>
      </c>
      <c r="E122" s="13" t="s">
        <v>3205</v>
      </c>
      <c r="F122" s="13" t="str">
        <f t="shared" si="11"/>
        <v>Under</v>
      </c>
      <c r="H122" s="101">
        <f t="shared" si="12"/>
        <v>0.30000000000000071</v>
      </c>
      <c r="I122" s="9">
        <v>14.5</v>
      </c>
      <c r="J122" s="9">
        <v>14.2</v>
      </c>
      <c r="L122" s="5"/>
    </row>
    <row r="123" spans="1:12" x14ac:dyDescent="0.25">
      <c r="A123" s="48" t="s">
        <v>3279</v>
      </c>
      <c r="E123" s="13" t="s">
        <v>3205</v>
      </c>
      <c r="F123" s="13" t="str">
        <f t="shared" si="11"/>
        <v>Over</v>
      </c>
      <c r="H123" s="101">
        <f t="shared" si="12"/>
        <v>0.30000000000000071</v>
      </c>
      <c r="I123" s="9">
        <v>12.5</v>
      </c>
      <c r="J123" s="9">
        <v>12.8</v>
      </c>
      <c r="L123" s="5"/>
    </row>
    <row r="124" spans="1:12" x14ac:dyDescent="0.25">
      <c r="A124" s="48" t="s">
        <v>360</v>
      </c>
      <c r="E124" s="13" t="s">
        <v>3205</v>
      </c>
      <c r="F124" s="13" t="str">
        <f t="shared" si="11"/>
        <v>Over</v>
      </c>
      <c r="H124" s="101">
        <f t="shared" si="12"/>
        <v>0.30000000000000071</v>
      </c>
      <c r="I124" s="9">
        <v>11.5</v>
      </c>
      <c r="J124" s="9">
        <v>11.8</v>
      </c>
      <c r="L124" s="5"/>
    </row>
    <row r="125" spans="1:12" x14ac:dyDescent="0.25">
      <c r="A125" s="11" t="s">
        <v>3280</v>
      </c>
      <c r="B125" s="11"/>
      <c r="C125" s="11"/>
      <c r="D125" s="11"/>
      <c r="E125" s="13" t="s">
        <v>3205</v>
      </c>
      <c r="F125" s="13" t="str">
        <f t="shared" si="11"/>
        <v>Over</v>
      </c>
      <c r="H125" s="101">
        <f t="shared" si="12"/>
        <v>0.10000000000000142</v>
      </c>
      <c r="I125" s="9">
        <v>24.5</v>
      </c>
      <c r="J125" s="9">
        <v>24.6</v>
      </c>
      <c r="L125" s="5"/>
    </row>
    <row r="126" spans="1:12" x14ac:dyDescent="0.25">
      <c r="A126" s="50" t="s">
        <v>258</v>
      </c>
      <c r="E126" s="13" t="s">
        <v>3205</v>
      </c>
      <c r="F126" s="13" t="str">
        <f t="shared" si="11"/>
        <v>Under</v>
      </c>
      <c r="H126" s="101">
        <f t="shared" si="12"/>
        <v>0.10000000000000142</v>
      </c>
      <c r="I126" s="101">
        <v>24.5</v>
      </c>
      <c r="J126" s="9">
        <v>24.4</v>
      </c>
      <c r="L126" s="5"/>
    </row>
    <row r="127" spans="1:12" x14ac:dyDescent="0.25">
      <c r="A127" s="48" t="s">
        <v>331</v>
      </c>
      <c r="B127" s="49"/>
      <c r="C127" s="49"/>
      <c r="D127" s="49"/>
      <c r="E127" s="13" t="s">
        <v>3205</v>
      </c>
      <c r="F127" s="13" t="str">
        <f t="shared" si="11"/>
        <v>Under</v>
      </c>
      <c r="H127" s="101">
        <f t="shared" si="12"/>
        <v>9.9999999999999645E-2</v>
      </c>
      <c r="I127" s="9">
        <v>11.5</v>
      </c>
      <c r="J127" s="9">
        <v>11.4</v>
      </c>
      <c r="L127" s="5"/>
    </row>
    <row r="128" spans="1:12" x14ac:dyDescent="0.25">
      <c r="A128" s="48" t="s">
        <v>372</v>
      </c>
      <c r="E128" s="13" t="s">
        <v>3205</v>
      </c>
      <c r="F128" s="13" t="str">
        <f t="shared" si="11"/>
        <v>Under</v>
      </c>
      <c r="H128" s="101">
        <f t="shared" si="12"/>
        <v>9.9999999999999645E-2</v>
      </c>
      <c r="I128" s="9">
        <v>10.5</v>
      </c>
      <c r="J128" s="9">
        <v>10.4</v>
      </c>
      <c r="L128" s="5"/>
    </row>
    <row r="129" spans="1:14" x14ac:dyDescent="0.25">
      <c r="A129" t="s">
        <v>310</v>
      </c>
      <c r="E129" s="13" t="s">
        <v>3205</v>
      </c>
      <c r="F129" s="13" t="str">
        <f t="shared" si="11"/>
        <v>Over</v>
      </c>
      <c r="H129" s="101">
        <f t="shared" si="12"/>
        <v>9.9999999999999645E-2</v>
      </c>
      <c r="I129" s="9">
        <v>7.5</v>
      </c>
      <c r="J129" s="9">
        <v>7.6</v>
      </c>
      <c r="L129" s="5"/>
    </row>
    <row r="130" spans="1:14" x14ac:dyDescent="0.25">
      <c r="A130" s="49" t="s">
        <v>166</v>
      </c>
      <c r="B130" s="49"/>
      <c r="C130" s="49"/>
      <c r="D130" s="49"/>
      <c r="E130" s="13" t="s">
        <v>3205</v>
      </c>
      <c r="F130" s="13" t="str">
        <f t="shared" si="11"/>
        <v>Over</v>
      </c>
      <c r="H130" s="101">
        <f t="shared" si="12"/>
        <v>0</v>
      </c>
      <c r="I130" s="9">
        <v>9.5</v>
      </c>
      <c r="J130" s="9">
        <v>9.5</v>
      </c>
      <c r="L130" s="5"/>
    </row>
    <row r="131" spans="1:14" x14ac:dyDescent="0.25">
      <c r="K131" t="s">
        <v>3281</v>
      </c>
      <c r="L131">
        <f>5/14</f>
        <v>0.35714285714285715</v>
      </c>
      <c r="M131" t="s">
        <v>3282</v>
      </c>
      <c r="N131" s="106">
        <f>7/14</f>
        <v>0.5</v>
      </c>
    </row>
  </sheetData>
  <conditionalFormatting sqref="A43:A130">
    <cfRule type="duplicateValues" dxfId="18" priority="9"/>
    <cfRule type="duplicateValues" dxfId="17" priority="10"/>
  </conditionalFormatting>
  <conditionalFormatting sqref="B81:D86">
    <cfRule type="duplicateValues" dxfId="16" priority="13"/>
  </conditionalFormatting>
  <conditionalFormatting sqref="F43:F130">
    <cfRule type="expression" dxfId="15" priority="11">
      <formula>I43-J43 &lt;0</formula>
    </cfRule>
    <cfRule type="expression" dxfId="14" priority="12">
      <formula>I43-J43&gt;0</formula>
    </cfRule>
  </conditionalFormatting>
  <conditionalFormatting sqref="L43:L130">
    <cfRule type="cellIs" dxfId="13" priority="7" operator="equal">
      <formula>F43</formula>
    </cfRule>
    <cfRule type="cellIs" dxfId="12" priority="8" operator="notEqual">
      <formula>$F$30</formula>
    </cfRule>
  </conditionalFormatting>
  <conditionalFormatting sqref="Q56">
    <cfRule type="duplicateValues" dxfId="11" priority="1"/>
    <cfRule type="duplicateValues" dxfId="10" priority="2"/>
  </conditionalFormatting>
  <conditionalFormatting sqref="T44:T105">
    <cfRule type="expression" dxfId="9" priority="3">
      <formula>X44-Y44 &lt;0</formula>
    </cfRule>
    <cfRule type="expression" dxfId="8" priority="4">
      <formula>X44-Y44&gt;0</formula>
    </cfRule>
  </conditionalFormatting>
  <conditionalFormatting sqref="Y65 Z49:Z53">
    <cfRule type="duplicateValues" dxfId="7" priority="5"/>
  </conditionalFormatting>
  <conditionalFormatting sqref="Y65:Y66 Z49:Z55">
    <cfRule type="duplicateValues" dxfId="6" priority="6"/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1006-508B-4638-9012-532138FA2BC3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t="s">
        <v>3283</v>
      </c>
      <c r="B1" t="s">
        <v>3284</v>
      </c>
    </row>
    <row r="2" spans="1:2" x14ac:dyDescent="0.25">
      <c r="A2" t="s">
        <v>3285</v>
      </c>
    </row>
    <row r="3" spans="1:2" x14ac:dyDescent="0.25">
      <c r="A3" t="s">
        <v>3286</v>
      </c>
    </row>
    <row r="4" spans="1:2" x14ac:dyDescent="0.25">
      <c r="A4" t="s">
        <v>3287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C9EC-3EAA-4B6A-B995-FCE12413A419}">
  <dimension ref="A1:B23"/>
  <sheetViews>
    <sheetView workbookViewId="0">
      <selection activeCell="F43" sqref="F43:F45"/>
    </sheetView>
  </sheetViews>
  <sheetFormatPr defaultRowHeight="15" x14ac:dyDescent="0.25"/>
  <sheetData>
    <row r="1" spans="1:2" x14ac:dyDescent="0.25">
      <c r="A1" t="s">
        <v>3288</v>
      </c>
    </row>
    <row r="2" spans="1:2" x14ac:dyDescent="0.25">
      <c r="A2" t="s">
        <v>3289</v>
      </c>
      <c r="B2" t="s">
        <v>3290</v>
      </c>
    </row>
    <row r="3" spans="1:2" x14ac:dyDescent="0.25">
      <c r="A3" t="s">
        <v>3291</v>
      </c>
      <c r="B3" t="s">
        <v>3292</v>
      </c>
    </row>
    <row r="7" spans="1:2" x14ac:dyDescent="0.25">
      <c r="A7" t="s">
        <v>3293</v>
      </c>
      <c r="B7" t="s">
        <v>3294</v>
      </c>
    </row>
    <row r="9" spans="1:2" x14ac:dyDescent="0.25">
      <c r="A9" t="s">
        <v>3295</v>
      </c>
      <c r="B9" t="s">
        <v>3296</v>
      </c>
    </row>
    <row r="13" spans="1:2" x14ac:dyDescent="0.25">
      <c r="A13" t="s">
        <v>3297</v>
      </c>
    </row>
    <row r="23" spans="1:2" x14ac:dyDescent="0.25">
      <c r="A23" t="s">
        <v>3298</v>
      </c>
      <c r="B23" t="s">
        <v>3299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CF01-F167-4E96-9B4F-3E2C1DFFBCC2}">
  <dimension ref="A1:T77"/>
  <sheetViews>
    <sheetView workbookViewId="0">
      <selection activeCell="N1" sqref="N1:S7"/>
    </sheetView>
  </sheetViews>
  <sheetFormatPr defaultRowHeight="15" x14ac:dyDescent="0.25"/>
  <cols>
    <col min="1" max="1" width="21.5703125" bestFit="1" customWidth="1"/>
    <col min="2" max="2" width="8.28515625" bestFit="1" customWidth="1"/>
    <col min="3" max="3" width="8.85546875" style="32" bestFit="1" customWidth="1"/>
    <col min="4" max="4" width="11.5703125" bestFit="1" customWidth="1"/>
    <col min="5" max="5" width="7" bestFit="1" customWidth="1"/>
    <col min="6" max="6" width="6.42578125" bestFit="1" customWidth="1"/>
    <col min="7" max="7" width="20.5703125" bestFit="1" customWidth="1"/>
    <col min="8" max="8" width="8.140625" bestFit="1" customWidth="1"/>
    <col min="9" max="9" width="7.5703125" style="32" bestFit="1" customWidth="1"/>
    <col min="10" max="10" width="7.7109375" bestFit="1" customWidth="1"/>
    <col min="11" max="11" width="7.5703125" bestFit="1" customWidth="1"/>
    <col min="12" max="12" width="7.42578125" bestFit="1" customWidth="1"/>
    <col min="14" max="14" width="18.140625" bestFit="1" customWidth="1"/>
    <col min="15" max="16" width="11.140625" hidden="1" customWidth="1"/>
    <col min="17" max="17" width="13.85546875" bestFit="1" customWidth="1"/>
    <col min="18" max="18" width="9.28515625" hidden="1" customWidth="1"/>
    <col min="19" max="19" width="6.85546875" bestFit="1" customWidth="1"/>
    <col min="20" max="20" width="6.42578125" bestFit="1" customWidth="1"/>
  </cols>
  <sheetData>
    <row r="1" spans="1:20" s="5" customFormat="1" x14ac:dyDescent="0.25">
      <c r="A1" s="5" t="s">
        <v>3300</v>
      </c>
      <c r="B1" s="5" t="s">
        <v>102</v>
      </c>
      <c r="C1" s="34" t="s">
        <v>3301</v>
      </c>
      <c r="D1" s="5" t="s">
        <v>3302</v>
      </c>
      <c r="E1" s="5" t="s">
        <v>895</v>
      </c>
      <c r="F1" s="5" t="s">
        <v>899</v>
      </c>
      <c r="G1" s="5" t="s">
        <v>3303</v>
      </c>
      <c r="H1" s="35" t="s">
        <v>3304</v>
      </c>
      <c r="I1" s="58" t="s">
        <v>3305</v>
      </c>
      <c r="J1" s="35" t="s">
        <v>3306</v>
      </c>
      <c r="K1" s="35" t="s">
        <v>3307</v>
      </c>
      <c r="L1" s="35" t="s">
        <v>3308</v>
      </c>
      <c r="N1" s="5" t="s">
        <v>3201</v>
      </c>
      <c r="O1" s="5" t="s">
        <v>841</v>
      </c>
      <c r="P1" s="34" t="s">
        <v>174</v>
      </c>
      <c r="Q1" s="5" t="s">
        <v>175</v>
      </c>
      <c r="R1" s="5" t="s">
        <v>178</v>
      </c>
      <c r="S1" s="5" t="s">
        <v>179</v>
      </c>
      <c r="T1" s="5" t="s">
        <v>3202</v>
      </c>
    </row>
    <row r="2" spans="1:20" x14ac:dyDescent="0.25">
      <c r="A2" t="s">
        <v>3309</v>
      </c>
      <c r="B2">
        <v>33</v>
      </c>
      <c r="C2" s="32" t="s">
        <v>3310</v>
      </c>
      <c r="D2">
        <v>10</v>
      </c>
      <c r="E2">
        <v>4</v>
      </c>
      <c r="F2">
        <v>17</v>
      </c>
      <c r="G2" t="s">
        <v>3311</v>
      </c>
      <c r="H2" s="33">
        <v>30</v>
      </c>
      <c r="I2" s="59" t="s">
        <v>3312</v>
      </c>
      <c r="J2" s="33">
        <v>11</v>
      </c>
      <c r="K2" s="33">
        <v>6</v>
      </c>
      <c r="L2" s="37">
        <v>18</v>
      </c>
      <c r="N2" t="s">
        <v>3313</v>
      </c>
      <c r="O2" s="49" t="s">
        <v>3314</v>
      </c>
      <c r="P2" s="54" t="s">
        <v>3205</v>
      </c>
      <c r="Q2" s="11" t="str">
        <f t="shared" ref="Q2:Q25" si="0">IF(S2 - T2 &gt; 0, "Under", "Over")</f>
        <v>Over</v>
      </c>
      <c r="R2">
        <f t="shared" ref="R2:R23" si="1">ABS(T2-S2)</f>
        <v>4.3999999999999986</v>
      </c>
      <c r="S2" s="9">
        <v>13</v>
      </c>
      <c r="T2" s="9">
        <v>17.399999999999999</v>
      </c>
    </row>
    <row r="3" spans="1:20" x14ac:dyDescent="0.25">
      <c r="A3" t="s">
        <v>3315</v>
      </c>
      <c r="B3">
        <v>15</v>
      </c>
      <c r="C3" s="32" t="s">
        <v>3316</v>
      </c>
      <c r="D3">
        <v>3</v>
      </c>
      <c r="E3">
        <v>1</v>
      </c>
      <c r="F3">
        <v>4</v>
      </c>
      <c r="G3" t="s">
        <v>3317</v>
      </c>
      <c r="H3" s="33">
        <v>24</v>
      </c>
      <c r="I3" s="59" t="s">
        <v>3316</v>
      </c>
      <c r="J3" s="33">
        <v>12</v>
      </c>
      <c r="K3" s="33">
        <v>1</v>
      </c>
      <c r="L3" s="33">
        <v>5</v>
      </c>
      <c r="N3" t="s">
        <v>3318</v>
      </c>
      <c r="O3" s="49" t="s">
        <v>3314</v>
      </c>
      <c r="P3" s="54" t="s">
        <v>3205</v>
      </c>
      <c r="Q3" s="11" t="str">
        <f t="shared" si="0"/>
        <v>Under</v>
      </c>
      <c r="R3" s="45">
        <f t="shared" si="1"/>
        <v>3</v>
      </c>
      <c r="S3" s="9">
        <v>19</v>
      </c>
      <c r="T3" s="9">
        <v>16</v>
      </c>
    </row>
    <row r="4" spans="1:20" x14ac:dyDescent="0.25">
      <c r="A4" t="s">
        <v>3319</v>
      </c>
      <c r="B4">
        <v>28</v>
      </c>
      <c r="C4" s="32" t="s">
        <v>3320</v>
      </c>
      <c r="D4">
        <v>3</v>
      </c>
      <c r="E4">
        <v>2</v>
      </c>
      <c r="F4">
        <v>10</v>
      </c>
      <c r="G4" t="s">
        <v>3321</v>
      </c>
      <c r="H4" s="33">
        <v>19</v>
      </c>
      <c r="I4" s="59" t="s">
        <v>3312</v>
      </c>
      <c r="J4" s="33">
        <v>1</v>
      </c>
      <c r="K4" s="33">
        <v>2</v>
      </c>
      <c r="L4" s="33">
        <v>6</v>
      </c>
      <c r="N4" t="s">
        <v>3322</v>
      </c>
      <c r="O4" s="42" t="s">
        <v>3323</v>
      </c>
      <c r="P4" s="55" t="s">
        <v>3205</v>
      </c>
      <c r="Q4" s="44" t="str">
        <f t="shared" si="0"/>
        <v>Under</v>
      </c>
      <c r="R4">
        <f t="shared" si="1"/>
        <v>2.6999999999999993</v>
      </c>
      <c r="S4" s="9">
        <v>15.2</v>
      </c>
      <c r="T4" s="9">
        <v>12.5</v>
      </c>
    </row>
    <row r="5" spans="1:20" x14ac:dyDescent="0.25">
      <c r="A5" t="s">
        <v>3324</v>
      </c>
      <c r="B5">
        <v>31</v>
      </c>
      <c r="C5" s="32" t="s">
        <v>3325</v>
      </c>
      <c r="D5">
        <v>5</v>
      </c>
      <c r="E5">
        <v>1</v>
      </c>
      <c r="F5">
        <v>12</v>
      </c>
      <c r="G5" t="s">
        <v>3326</v>
      </c>
      <c r="H5" s="33">
        <v>30</v>
      </c>
      <c r="I5" s="59" t="s">
        <v>3327</v>
      </c>
      <c r="J5" s="33">
        <v>7</v>
      </c>
      <c r="K5" s="33">
        <v>1</v>
      </c>
      <c r="L5" s="33">
        <v>2</v>
      </c>
      <c r="N5" t="s">
        <v>3328</v>
      </c>
      <c r="O5" s="49" t="s">
        <v>3314</v>
      </c>
      <c r="P5" s="54" t="s">
        <v>3205</v>
      </c>
      <c r="Q5" s="11" t="str">
        <f t="shared" si="0"/>
        <v>Over</v>
      </c>
      <c r="R5" s="46">
        <f t="shared" si="1"/>
        <v>2.5999999999999996</v>
      </c>
      <c r="S5" s="9">
        <v>7</v>
      </c>
      <c r="T5" s="9">
        <v>9.6</v>
      </c>
    </row>
    <row r="6" spans="1:20" x14ac:dyDescent="0.25">
      <c r="A6" t="s">
        <v>3329</v>
      </c>
      <c r="B6">
        <v>40</v>
      </c>
      <c r="C6" s="32" t="s">
        <v>3330</v>
      </c>
      <c r="D6">
        <v>6</v>
      </c>
      <c r="E6">
        <v>9</v>
      </c>
      <c r="F6">
        <v>19</v>
      </c>
      <c r="G6" t="s">
        <v>3331</v>
      </c>
      <c r="H6" s="33">
        <v>35</v>
      </c>
      <c r="I6" s="59" t="s">
        <v>3332</v>
      </c>
      <c r="J6" s="33">
        <v>3</v>
      </c>
      <c r="K6" s="33">
        <v>1</v>
      </c>
      <c r="L6" s="37">
        <v>22</v>
      </c>
      <c r="N6" t="s">
        <v>3333</v>
      </c>
      <c r="O6" s="42" t="s">
        <v>3323</v>
      </c>
      <c r="P6" s="54" t="s">
        <v>3205</v>
      </c>
      <c r="Q6" s="11" t="str">
        <f t="shared" si="0"/>
        <v>Under</v>
      </c>
      <c r="R6">
        <f t="shared" si="1"/>
        <v>2.5</v>
      </c>
      <c r="S6" s="9">
        <v>10.5</v>
      </c>
      <c r="T6" s="9">
        <v>8</v>
      </c>
    </row>
    <row r="7" spans="1:20" s="5" customFormat="1" x14ac:dyDescent="0.25">
      <c r="A7" s="5" t="s">
        <v>393</v>
      </c>
      <c r="C7" s="34"/>
      <c r="G7" s="5" t="s">
        <v>393</v>
      </c>
      <c r="H7" s="35" t="s">
        <v>102</v>
      </c>
      <c r="I7" s="58" t="s">
        <v>3301</v>
      </c>
      <c r="J7" s="35" t="s">
        <v>3302</v>
      </c>
      <c r="K7" s="35" t="s">
        <v>895</v>
      </c>
      <c r="L7" s="35" t="s">
        <v>899</v>
      </c>
      <c r="N7" s="48" t="s">
        <v>3334</v>
      </c>
      <c r="O7" s="49" t="s">
        <v>3335</v>
      </c>
      <c r="P7" s="53" t="s">
        <v>3205</v>
      </c>
      <c r="Q7" s="13" t="str">
        <f t="shared" si="0"/>
        <v>Under</v>
      </c>
      <c r="R7" s="42">
        <f t="shared" si="1"/>
        <v>2.4000000000000004</v>
      </c>
      <c r="S7" s="9">
        <v>11</v>
      </c>
      <c r="T7" s="9">
        <v>8.6</v>
      </c>
    </row>
    <row r="8" spans="1:20" x14ac:dyDescent="0.25">
      <c r="A8" t="s">
        <v>3336</v>
      </c>
      <c r="B8">
        <v>7</v>
      </c>
      <c r="C8" s="32" t="s">
        <v>3337</v>
      </c>
      <c r="D8">
        <v>0</v>
      </c>
      <c r="E8">
        <v>0</v>
      </c>
      <c r="F8">
        <v>3</v>
      </c>
      <c r="G8" t="s">
        <v>3338</v>
      </c>
      <c r="H8" s="33">
        <v>21</v>
      </c>
      <c r="I8" s="59" t="s">
        <v>3327</v>
      </c>
      <c r="J8" s="33">
        <v>1</v>
      </c>
      <c r="K8" s="33">
        <v>1</v>
      </c>
      <c r="L8" s="37">
        <v>13</v>
      </c>
      <c r="N8" t="s">
        <v>3309</v>
      </c>
      <c r="O8" s="49" t="s">
        <v>3339</v>
      </c>
      <c r="P8" s="54" t="s">
        <v>3205</v>
      </c>
      <c r="Q8" s="11" t="str">
        <f t="shared" si="0"/>
        <v>Under</v>
      </c>
      <c r="R8" s="43">
        <f t="shared" si="1"/>
        <v>1.9000000000000004</v>
      </c>
      <c r="S8" s="9">
        <v>10.5</v>
      </c>
      <c r="T8" s="9">
        <v>8.6</v>
      </c>
    </row>
    <row r="9" spans="1:20" x14ac:dyDescent="0.25">
      <c r="A9" t="s">
        <v>3340</v>
      </c>
      <c r="B9">
        <v>29</v>
      </c>
      <c r="C9" s="32" t="s">
        <v>3341</v>
      </c>
      <c r="D9">
        <v>9</v>
      </c>
      <c r="E9">
        <v>3</v>
      </c>
      <c r="F9">
        <v>16</v>
      </c>
      <c r="G9" t="s">
        <v>3342</v>
      </c>
      <c r="H9" s="33">
        <v>5</v>
      </c>
      <c r="I9" s="59" t="s">
        <v>3316</v>
      </c>
      <c r="J9" s="33">
        <v>1</v>
      </c>
      <c r="K9" s="33">
        <v>1</v>
      </c>
      <c r="L9" s="33">
        <v>0</v>
      </c>
      <c r="N9" t="s">
        <v>3340</v>
      </c>
      <c r="O9" s="49" t="s">
        <v>3339</v>
      </c>
      <c r="P9" s="54" t="s">
        <v>3205</v>
      </c>
      <c r="Q9" s="11" t="str">
        <f t="shared" si="0"/>
        <v>Over</v>
      </c>
      <c r="R9" s="45">
        <f t="shared" si="1"/>
        <v>1.8000000000000007</v>
      </c>
      <c r="S9" s="9">
        <v>11</v>
      </c>
      <c r="T9" s="9">
        <v>12.8</v>
      </c>
    </row>
    <row r="10" spans="1:20" x14ac:dyDescent="0.25">
      <c r="A10" t="s">
        <v>3343</v>
      </c>
      <c r="B10">
        <v>17</v>
      </c>
      <c r="C10" s="32" t="s">
        <v>3344</v>
      </c>
      <c r="D10">
        <v>0</v>
      </c>
      <c r="E10">
        <v>2</v>
      </c>
      <c r="F10">
        <v>9</v>
      </c>
      <c r="G10" t="s">
        <v>3345</v>
      </c>
      <c r="H10" s="33">
        <v>11</v>
      </c>
      <c r="I10" s="59" t="s">
        <v>3316</v>
      </c>
      <c r="J10" s="33">
        <v>1</v>
      </c>
      <c r="K10" s="33">
        <v>0</v>
      </c>
      <c r="L10" s="33">
        <v>1</v>
      </c>
      <c r="N10" t="s">
        <v>3329</v>
      </c>
      <c r="O10" s="49" t="s">
        <v>3339</v>
      </c>
      <c r="P10" s="53" t="s">
        <v>3205</v>
      </c>
      <c r="Q10" s="13" t="str">
        <f t="shared" si="0"/>
        <v>Over</v>
      </c>
      <c r="R10">
        <f t="shared" si="1"/>
        <v>1.8000000000000007</v>
      </c>
      <c r="S10" s="9">
        <v>21</v>
      </c>
      <c r="T10" s="9">
        <v>22.8</v>
      </c>
    </row>
    <row r="11" spans="1:20" x14ac:dyDescent="0.25">
      <c r="G11" t="s">
        <v>3346</v>
      </c>
      <c r="H11" s="33">
        <v>25</v>
      </c>
      <c r="I11" s="59" t="s">
        <v>3347</v>
      </c>
      <c r="J11" s="33">
        <v>2</v>
      </c>
      <c r="K11" s="33">
        <v>3</v>
      </c>
      <c r="L11" s="37">
        <v>14</v>
      </c>
      <c r="N11" t="s">
        <v>3348</v>
      </c>
      <c r="O11" s="49" t="s">
        <v>3314</v>
      </c>
      <c r="P11" s="54" t="s">
        <v>3205</v>
      </c>
      <c r="Q11" s="11" t="str">
        <f t="shared" si="0"/>
        <v>Over</v>
      </c>
      <c r="R11" s="46">
        <f t="shared" si="1"/>
        <v>1.8000000000000007</v>
      </c>
      <c r="S11" s="9">
        <v>9</v>
      </c>
      <c r="T11" s="9">
        <v>10.8</v>
      </c>
    </row>
    <row r="12" spans="1:20" x14ac:dyDescent="0.25">
      <c r="N12" t="s">
        <v>3311</v>
      </c>
      <c r="O12" s="49" t="s">
        <v>3335</v>
      </c>
      <c r="P12" s="55" t="s">
        <v>3212</v>
      </c>
      <c r="Q12" s="44" t="str">
        <f t="shared" si="0"/>
        <v>Over</v>
      </c>
      <c r="R12">
        <f t="shared" si="1"/>
        <v>1.6999999999999993</v>
      </c>
      <c r="S12" s="9">
        <v>10.5</v>
      </c>
      <c r="T12" s="9">
        <v>12.2</v>
      </c>
    </row>
    <row r="13" spans="1:20" s="5" customFormat="1" x14ac:dyDescent="0.25">
      <c r="A13" s="34" t="s">
        <v>65</v>
      </c>
      <c r="B13" s="5" t="s">
        <v>102</v>
      </c>
      <c r="C13" s="5" t="s">
        <v>3301</v>
      </c>
      <c r="D13" s="5" t="s">
        <v>3302</v>
      </c>
      <c r="E13" s="5" t="s">
        <v>895</v>
      </c>
      <c r="F13" s="5" t="s">
        <v>899</v>
      </c>
      <c r="G13" s="34" t="s">
        <v>3349</v>
      </c>
      <c r="H13" s="5" t="s">
        <v>102</v>
      </c>
      <c r="I13" s="5" t="s">
        <v>3301</v>
      </c>
      <c r="J13" s="5" t="s">
        <v>3302</v>
      </c>
      <c r="K13" s="5" t="s">
        <v>895</v>
      </c>
      <c r="L13" s="5" t="s">
        <v>899</v>
      </c>
      <c r="N13" t="s">
        <v>3311</v>
      </c>
      <c r="O13" s="49" t="s">
        <v>3335</v>
      </c>
      <c r="P13" s="55" t="s">
        <v>3205</v>
      </c>
      <c r="Q13" s="44" t="str">
        <f t="shared" si="0"/>
        <v>Under</v>
      </c>
      <c r="R13">
        <f t="shared" si="1"/>
        <v>1.6000000000000014</v>
      </c>
      <c r="S13" s="9">
        <v>20</v>
      </c>
      <c r="T13" s="9">
        <v>18.399999999999999</v>
      </c>
    </row>
    <row r="14" spans="1:20" x14ac:dyDescent="0.25">
      <c r="A14" t="s">
        <v>3350</v>
      </c>
      <c r="B14">
        <v>25</v>
      </c>
      <c r="C14" s="32" t="s">
        <v>3316</v>
      </c>
      <c r="D14">
        <v>9</v>
      </c>
      <c r="E14">
        <v>2</v>
      </c>
      <c r="F14">
        <v>6</v>
      </c>
      <c r="G14" t="s">
        <v>3318</v>
      </c>
      <c r="H14">
        <v>36</v>
      </c>
      <c r="I14" s="32" t="s">
        <v>3337</v>
      </c>
      <c r="J14">
        <v>9</v>
      </c>
      <c r="K14">
        <v>3</v>
      </c>
      <c r="L14" s="36">
        <v>16</v>
      </c>
      <c r="N14" t="s">
        <v>3351</v>
      </c>
      <c r="O14" s="42" t="s">
        <v>3323</v>
      </c>
      <c r="P14" s="54" t="s">
        <v>3205</v>
      </c>
      <c r="Q14" s="11" t="str">
        <f t="shared" si="0"/>
        <v>Over</v>
      </c>
      <c r="R14" s="47">
        <f t="shared" si="1"/>
        <v>1.5</v>
      </c>
      <c r="S14" s="9">
        <v>12.5</v>
      </c>
      <c r="T14" s="9">
        <v>14</v>
      </c>
    </row>
    <row r="15" spans="1:20" x14ac:dyDescent="0.25">
      <c r="A15" t="s">
        <v>3333</v>
      </c>
      <c r="B15">
        <v>16</v>
      </c>
      <c r="C15" s="32" t="s">
        <v>3316</v>
      </c>
      <c r="D15">
        <v>2</v>
      </c>
      <c r="E15">
        <v>1</v>
      </c>
      <c r="F15">
        <v>9</v>
      </c>
      <c r="G15" t="s">
        <v>3348</v>
      </c>
      <c r="H15">
        <v>31</v>
      </c>
      <c r="I15" s="32" t="s">
        <v>3316</v>
      </c>
      <c r="J15">
        <v>9</v>
      </c>
      <c r="K15">
        <v>1</v>
      </c>
      <c r="L15">
        <v>14</v>
      </c>
      <c r="N15" t="s">
        <v>3331</v>
      </c>
      <c r="O15" s="49" t="s">
        <v>3335</v>
      </c>
      <c r="P15" s="54" t="s">
        <v>3205</v>
      </c>
      <c r="Q15" s="11" t="str">
        <f t="shared" si="0"/>
        <v>Under</v>
      </c>
      <c r="R15">
        <f t="shared" si="1"/>
        <v>0.90000000000000036</v>
      </c>
      <c r="S15" s="9">
        <v>11.5</v>
      </c>
      <c r="T15" s="9">
        <v>10.6</v>
      </c>
    </row>
    <row r="16" spans="1:20" x14ac:dyDescent="0.25">
      <c r="A16" t="s">
        <v>3322</v>
      </c>
      <c r="B16">
        <v>34</v>
      </c>
      <c r="C16" s="32" t="s">
        <v>3310</v>
      </c>
      <c r="D16">
        <v>3</v>
      </c>
      <c r="E16">
        <v>3</v>
      </c>
      <c r="F16">
        <v>6</v>
      </c>
      <c r="G16" t="s">
        <v>3352</v>
      </c>
      <c r="H16">
        <v>35</v>
      </c>
      <c r="I16" s="32" t="s">
        <v>3353</v>
      </c>
      <c r="J16">
        <v>5</v>
      </c>
      <c r="K16">
        <v>5</v>
      </c>
      <c r="L16" s="36">
        <v>21</v>
      </c>
      <c r="N16" t="s">
        <v>3352</v>
      </c>
      <c r="O16" s="49" t="s">
        <v>3314</v>
      </c>
      <c r="P16" s="54" t="s">
        <v>3205</v>
      </c>
      <c r="Q16" s="11" t="str">
        <f t="shared" si="0"/>
        <v>Over</v>
      </c>
      <c r="R16" s="46">
        <f t="shared" si="1"/>
        <v>0.90000000000000036</v>
      </c>
      <c r="S16" s="9">
        <v>14.5</v>
      </c>
      <c r="T16" s="9">
        <v>15.4</v>
      </c>
    </row>
    <row r="17" spans="1:20" x14ac:dyDescent="0.25">
      <c r="A17" t="s">
        <v>3351</v>
      </c>
      <c r="B17">
        <v>31</v>
      </c>
      <c r="C17" s="32" t="s">
        <v>3354</v>
      </c>
      <c r="D17">
        <v>2</v>
      </c>
      <c r="E17">
        <v>1</v>
      </c>
      <c r="F17">
        <v>16</v>
      </c>
      <c r="G17" t="s">
        <v>3313</v>
      </c>
      <c r="H17">
        <v>36</v>
      </c>
      <c r="I17" s="32" t="s">
        <v>3320</v>
      </c>
      <c r="J17">
        <v>5</v>
      </c>
      <c r="K17">
        <v>2</v>
      </c>
      <c r="L17" s="36">
        <v>17</v>
      </c>
      <c r="N17" t="s">
        <v>3333</v>
      </c>
      <c r="O17" s="42" t="s">
        <v>3323</v>
      </c>
      <c r="P17" s="32" t="s">
        <v>3212</v>
      </c>
      <c r="Q17" t="str">
        <f t="shared" si="0"/>
        <v>Under</v>
      </c>
      <c r="R17">
        <f t="shared" si="1"/>
        <v>0.90000000000000036</v>
      </c>
      <c r="S17">
        <v>6.5</v>
      </c>
      <c r="T17" s="32" t="s">
        <v>1092</v>
      </c>
    </row>
    <row r="18" spans="1:20" x14ac:dyDescent="0.25">
      <c r="A18" t="s">
        <v>3355</v>
      </c>
      <c r="B18">
        <v>38</v>
      </c>
      <c r="C18" s="32" t="s">
        <v>3356</v>
      </c>
      <c r="D18">
        <v>7</v>
      </c>
      <c r="E18">
        <v>4</v>
      </c>
      <c r="F18">
        <v>17</v>
      </c>
      <c r="G18" t="s">
        <v>3328</v>
      </c>
      <c r="H18">
        <v>27</v>
      </c>
      <c r="I18" s="32" t="s">
        <v>3316</v>
      </c>
      <c r="J18">
        <v>7</v>
      </c>
      <c r="K18">
        <v>1</v>
      </c>
      <c r="L18">
        <v>9</v>
      </c>
      <c r="N18" s="48" t="s">
        <v>3357</v>
      </c>
      <c r="O18" s="49" t="s">
        <v>3339</v>
      </c>
      <c r="P18" s="53" t="s">
        <v>3209</v>
      </c>
      <c r="Q18" s="13" t="str">
        <f t="shared" si="0"/>
        <v>Over</v>
      </c>
      <c r="R18">
        <f t="shared" si="1"/>
        <v>0.30000000000000071</v>
      </c>
      <c r="S18" s="9">
        <v>13.5</v>
      </c>
      <c r="T18" s="9">
        <v>13.8</v>
      </c>
    </row>
    <row r="19" spans="1:20" s="5" customFormat="1" x14ac:dyDescent="0.25">
      <c r="A19" s="5" t="s">
        <v>393</v>
      </c>
      <c r="B19" s="5" t="s">
        <v>102</v>
      </c>
      <c r="C19" s="34" t="s">
        <v>3301</v>
      </c>
      <c r="D19" s="5" t="s">
        <v>3302</v>
      </c>
      <c r="E19" s="5" t="s">
        <v>895</v>
      </c>
      <c r="F19" s="5" t="s">
        <v>899</v>
      </c>
      <c r="G19" s="5" t="s">
        <v>393</v>
      </c>
      <c r="H19" s="5" t="s">
        <v>102</v>
      </c>
      <c r="I19" s="34" t="s">
        <v>3301</v>
      </c>
      <c r="J19" s="5" t="s">
        <v>3302</v>
      </c>
      <c r="K19" s="5" t="s">
        <v>895</v>
      </c>
      <c r="L19" s="5" t="s">
        <v>899</v>
      </c>
      <c r="N19" t="s">
        <v>3324</v>
      </c>
      <c r="O19" s="49" t="s">
        <v>3339</v>
      </c>
      <c r="P19" s="53" t="s">
        <v>3205</v>
      </c>
      <c r="Q19" s="13" t="str">
        <f t="shared" si="0"/>
        <v>Under</v>
      </c>
      <c r="R19" s="45">
        <f t="shared" si="1"/>
        <v>0.30000000000000071</v>
      </c>
      <c r="S19" s="9">
        <v>12.5</v>
      </c>
      <c r="T19" s="9">
        <v>12.2</v>
      </c>
    </row>
    <row r="20" spans="1:20" x14ac:dyDescent="0.25">
      <c r="A20" t="s">
        <v>3358</v>
      </c>
      <c r="B20">
        <v>15</v>
      </c>
      <c r="C20" s="32" t="s">
        <v>3316</v>
      </c>
      <c r="D20">
        <v>8</v>
      </c>
      <c r="E20">
        <v>0</v>
      </c>
      <c r="F20">
        <v>4</v>
      </c>
      <c r="G20" t="s">
        <v>3359</v>
      </c>
      <c r="H20">
        <v>3</v>
      </c>
      <c r="I20" s="32" t="s">
        <v>3316</v>
      </c>
      <c r="J20">
        <v>1</v>
      </c>
      <c r="K20">
        <v>0</v>
      </c>
      <c r="L20">
        <v>0</v>
      </c>
      <c r="N20" t="s">
        <v>3355</v>
      </c>
      <c r="O20" s="42" t="s">
        <v>3323</v>
      </c>
      <c r="P20" s="53" t="s">
        <v>3205</v>
      </c>
      <c r="Q20" s="13" t="str">
        <f t="shared" si="0"/>
        <v>Under</v>
      </c>
      <c r="R20">
        <f t="shared" si="1"/>
        <v>0.30000000000000071</v>
      </c>
      <c r="S20" s="9">
        <v>15.5</v>
      </c>
      <c r="T20" s="9">
        <v>15.2</v>
      </c>
    </row>
    <row r="21" spans="1:20" x14ac:dyDescent="0.25">
      <c r="A21" t="s">
        <v>3360</v>
      </c>
      <c r="B21">
        <v>0</v>
      </c>
      <c r="C21" s="32" t="s">
        <v>3316</v>
      </c>
      <c r="D21">
        <v>0</v>
      </c>
      <c r="E21">
        <v>0</v>
      </c>
      <c r="F21">
        <v>0</v>
      </c>
      <c r="G21" t="s">
        <v>3361</v>
      </c>
      <c r="H21">
        <v>6</v>
      </c>
      <c r="I21" s="32" t="s">
        <v>3316</v>
      </c>
      <c r="J21">
        <v>0</v>
      </c>
      <c r="K21">
        <v>1</v>
      </c>
      <c r="L21">
        <v>0</v>
      </c>
      <c r="N21" t="s">
        <v>3326</v>
      </c>
      <c r="O21" s="49" t="s">
        <v>3335</v>
      </c>
      <c r="P21" s="54" t="s">
        <v>3205</v>
      </c>
      <c r="Q21" s="11" t="str">
        <f t="shared" si="0"/>
        <v>Over</v>
      </c>
      <c r="R21" s="43">
        <f t="shared" si="1"/>
        <v>0.19999999999999929</v>
      </c>
      <c r="S21" s="9">
        <v>12</v>
      </c>
      <c r="T21" s="9">
        <v>12.2</v>
      </c>
    </row>
    <row r="22" spans="1:20" x14ac:dyDescent="0.25">
      <c r="A22" t="s">
        <v>3362</v>
      </c>
      <c r="B22">
        <v>17</v>
      </c>
      <c r="C22" s="32" t="s">
        <v>3363</v>
      </c>
      <c r="D22">
        <v>2</v>
      </c>
      <c r="E22">
        <v>0</v>
      </c>
      <c r="F22">
        <v>8</v>
      </c>
      <c r="G22" t="s">
        <v>3364</v>
      </c>
      <c r="H22">
        <v>6</v>
      </c>
      <c r="I22" s="32" t="s">
        <v>3316</v>
      </c>
      <c r="J22">
        <v>0</v>
      </c>
      <c r="K22">
        <v>3</v>
      </c>
      <c r="L22">
        <v>1</v>
      </c>
      <c r="N22" t="s">
        <v>3346</v>
      </c>
      <c r="O22" s="49" t="s">
        <v>3335</v>
      </c>
      <c r="P22" s="55" t="s">
        <v>3205</v>
      </c>
      <c r="Q22" s="44" t="str">
        <f t="shared" si="0"/>
        <v>Under</v>
      </c>
      <c r="R22" s="43">
        <f t="shared" si="1"/>
        <v>0.19999999999999929</v>
      </c>
      <c r="S22" s="9">
        <v>14</v>
      </c>
      <c r="T22" s="9">
        <v>13.8</v>
      </c>
    </row>
    <row r="23" spans="1:20" x14ac:dyDescent="0.25">
      <c r="A23" t="s">
        <v>3365</v>
      </c>
      <c r="B23">
        <v>0</v>
      </c>
      <c r="C23" s="32" t="s">
        <v>3316</v>
      </c>
      <c r="D23">
        <v>0</v>
      </c>
      <c r="E23">
        <v>0</v>
      </c>
      <c r="F23">
        <v>0</v>
      </c>
      <c r="G23" t="s">
        <v>3366</v>
      </c>
      <c r="H23">
        <v>5</v>
      </c>
      <c r="I23" s="32" t="s">
        <v>3327</v>
      </c>
      <c r="J23">
        <v>0</v>
      </c>
      <c r="K23">
        <v>0</v>
      </c>
      <c r="L23">
        <v>2</v>
      </c>
      <c r="N23" t="s">
        <v>3331</v>
      </c>
      <c r="O23" s="49" t="s">
        <v>3335</v>
      </c>
      <c r="P23" s="56" t="s">
        <v>3212</v>
      </c>
      <c r="Q23" s="11" t="str">
        <f t="shared" si="0"/>
        <v>Under</v>
      </c>
      <c r="R23">
        <f t="shared" si="1"/>
        <v>0.10000000000000009</v>
      </c>
      <c r="S23" s="9">
        <v>3.5</v>
      </c>
      <c r="T23" s="9">
        <v>3.4</v>
      </c>
    </row>
    <row r="24" spans="1:20" x14ac:dyDescent="0.25">
      <c r="A24" t="s">
        <v>3367</v>
      </c>
      <c r="B24">
        <v>0</v>
      </c>
      <c r="C24" s="32" t="s">
        <v>3316</v>
      </c>
      <c r="D24">
        <v>0</v>
      </c>
      <c r="E24">
        <v>0</v>
      </c>
      <c r="F24">
        <v>0</v>
      </c>
      <c r="G24" t="s">
        <v>3368</v>
      </c>
      <c r="H24">
        <v>15</v>
      </c>
      <c r="I24" s="32" t="s">
        <v>3369</v>
      </c>
      <c r="J24">
        <v>2</v>
      </c>
      <c r="K24">
        <v>3</v>
      </c>
      <c r="L24">
        <v>5</v>
      </c>
      <c r="N24" t="s">
        <v>3309</v>
      </c>
      <c r="O24" s="49" t="s">
        <v>3339</v>
      </c>
      <c r="P24" s="57" t="s">
        <v>3212</v>
      </c>
      <c r="Q24" s="13" t="str">
        <f t="shared" si="0"/>
        <v>Under</v>
      </c>
      <c r="R24" s="45"/>
      <c r="S24" s="9">
        <v>7</v>
      </c>
      <c r="T24" s="9">
        <v>6.4</v>
      </c>
    </row>
    <row r="25" spans="1:20" x14ac:dyDescent="0.25">
      <c r="A25" t="s">
        <v>3370</v>
      </c>
      <c r="B25">
        <v>24</v>
      </c>
      <c r="C25" s="32" t="s">
        <v>3341</v>
      </c>
      <c r="D25">
        <v>7</v>
      </c>
      <c r="E25">
        <v>4</v>
      </c>
      <c r="F25">
        <v>3</v>
      </c>
      <c r="N25" t="s">
        <v>3340</v>
      </c>
      <c r="O25" s="49" t="s">
        <v>3339</v>
      </c>
      <c r="P25" s="57" t="s">
        <v>3212</v>
      </c>
      <c r="Q25" s="13" t="str">
        <f t="shared" si="0"/>
        <v>Over</v>
      </c>
      <c r="R25" s="45"/>
      <c r="S25" s="9">
        <v>7</v>
      </c>
      <c r="T25" s="9">
        <v>7.2</v>
      </c>
    </row>
    <row r="26" spans="1:20" x14ac:dyDescent="0.25">
      <c r="C26" s="60"/>
      <c r="D26" s="32"/>
    </row>
    <row r="27" spans="1:20" x14ac:dyDescent="0.25">
      <c r="C27"/>
      <c r="I27"/>
      <c r="M27" s="32"/>
      <c r="N27" s="32"/>
      <c r="O27" s="32"/>
      <c r="P27" s="32"/>
    </row>
    <row r="28" spans="1:20" x14ac:dyDescent="0.25">
      <c r="C28"/>
      <c r="I28"/>
      <c r="M28" s="32"/>
      <c r="N28" s="32"/>
      <c r="O28" s="32"/>
      <c r="P28" s="32"/>
    </row>
    <row r="29" spans="1:20" x14ac:dyDescent="0.25">
      <c r="C29"/>
      <c r="I29"/>
      <c r="M29" s="32"/>
      <c r="N29" s="32"/>
      <c r="O29" s="32"/>
      <c r="P29" s="32"/>
    </row>
    <row r="30" spans="1:20" x14ac:dyDescent="0.25">
      <c r="A30" s="5" t="s">
        <v>3201</v>
      </c>
      <c r="B30" s="5" t="s">
        <v>841</v>
      </c>
      <c r="C30" s="34" t="s">
        <v>174</v>
      </c>
      <c r="D30" s="5" t="s">
        <v>175</v>
      </c>
      <c r="E30" s="5" t="s">
        <v>178</v>
      </c>
      <c r="F30" s="5" t="s">
        <v>179</v>
      </c>
      <c r="G30" s="5" t="s">
        <v>3202</v>
      </c>
      <c r="M30" s="32"/>
      <c r="N30" s="32"/>
      <c r="O30" s="32"/>
      <c r="P30" s="32"/>
    </row>
    <row r="31" spans="1:20" x14ac:dyDescent="0.25">
      <c r="A31" t="s">
        <v>3313</v>
      </c>
      <c r="B31" s="49" t="s">
        <v>3314</v>
      </c>
      <c r="C31" s="54" t="s">
        <v>3205</v>
      </c>
      <c r="D31" s="11"/>
      <c r="E31">
        <f t="shared" ref="E31:E52" si="2">ABS(G31-F31)</f>
        <v>4.3999999999999986</v>
      </c>
      <c r="F31" s="9">
        <v>13</v>
      </c>
      <c r="G31" s="9">
        <v>17.399999999999999</v>
      </c>
      <c r="H31">
        <f>Table1[[#This Row],[PTS]]-Table1[[#This Row],[AUB]]</f>
        <v>-4.3999999999999986</v>
      </c>
      <c r="M31" s="32"/>
      <c r="N31" s="32"/>
      <c r="O31" s="32"/>
      <c r="P31" s="32"/>
    </row>
    <row r="32" spans="1:20" x14ac:dyDescent="0.25">
      <c r="A32" t="s">
        <v>3318</v>
      </c>
      <c r="B32" s="49" t="s">
        <v>3314</v>
      </c>
      <c r="C32" s="54" t="s">
        <v>3205</v>
      </c>
      <c r="D32" s="11"/>
      <c r="E32" s="45">
        <f t="shared" si="2"/>
        <v>3</v>
      </c>
      <c r="F32" s="9">
        <v>19</v>
      </c>
      <c r="G32" s="9">
        <v>16</v>
      </c>
      <c r="H32">
        <f>Table1[[#This Row],[PTS]]-Table1[[#This Row],[AUB]]</f>
        <v>3</v>
      </c>
      <c r="M32" s="32"/>
      <c r="N32" s="32"/>
      <c r="O32" s="32"/>
      <c r="P32" s="32"/>
    </row>
    <row r="33" spans="1:16" x14ac:dyDescent="0.25">
      <c r="A33" t="s">
        <v>3322</v>
      </c>
      <c r="B33" s="42" t="s">
        <v>3323</v>
      </c>
      <c r="C33" s="55" t="s">
        <v>3205</v>
      </c>
      <c r="D33" s="44"/>
      <c r="E33">
        <f t="shared" si="2"/>
        <v>2.6999999999999993</v>
      </c>
      <c r="F33" s="9">
        <v>15.2</v>
      </c>
      <c r="G33" s="9">
        <v>12.5</v>
      </c>
      <c r="H33">
        <f>Table1[[#This Row],[PTS]]-Table1[[#This Row],[AUB]]</f>
        <v>2.6999999999999993</v>
      </c>
      <c r="M33" s="32"/>
      <c r="N33" s="32"/>
      <c r="O33" s="32"/>
      <c r="P33" s="32"/>
    </row>
    <row r="34" spans="1:16" x14ac:dyDescent="0.25">
      <c r="A34" t="s">
        <v>3328</v>
      </c>
      <c r="B34" s="49" t="s">
        <v>3314</v>
      </c>
      <c r="C34" s="54" t="s">
        <v>3205</v>
      </c>
      <c r="D34" s="11"/>
      <c r="E34" s="46">
        <f t="shared" si="2"/>
        <v>2.5999999999999996</v>
      </c>
      <c r="F34" s="9">
        <v>7</v>
      </c>
      <c r="G34" s="9">
        <v>9.6</v>
      </c>
      <c r="H34">
        <f>Table1[[#This Row],[PTS]]-Table1[[#This Row],[AUB]]</f>
        <v>-2.5999999999999996</v>
      </c>
      <c r="M34" s="32"/>
      <c r="N34" s="32"/>
      <c r="O34" s="32"/>
      <c r="P34" s="32"/>
    </row>
    <row r="35" spans="1:16" x14ac:dyDescent="0.25">
      <c r="A35" t="s">
        <v>3333</v>
      </c>
      <c r="B35" s="42" t="s">
        <v>3323</v>
      </c>
      <c r="C35" s="54" t="s">
        <v>3205</v>
      </c>
      <c r="D35" s="11"/>
      <c r="E35">
        <f t="shared" si="2"/>
        <v>2.5</v>
      </c>
      <c r="F35" s="9">
        <v>10.5</v>
      </c>
      <c r="G35" s="9">
        <v>8</v>
      </c>
      <c r="H35">
        <f>Table1[[#This Row],[PTS]]-Table1[[#This Row],[AUB]]</f>
        <v>2.5</v>
      </c>
      <c r="M35" s="32"/>
      <c r="N35" s="32"/>
      <c r="O35" s="32"/>
      <c r="P35" s="32"/>
    </row>
    <row r="36" spans="1:16" x14ac:dyDescent="0.25">
      <c r="A36" s="48" t="s">
        <v>3334</v>
      </c>
      <c r="B36" s="49" t="s">
        <v>3335</v>
      </c>
      <c r="C36" s="53" t="s">
        <v>3205</v>
      </c>
      <c r="D36" s="13"/>
      <c r="E36" s="42">
        <f t="shared" si="2"/>
        <v>2.4000000000000004</v>
      </c>
      <c r="F36" s="9">
        <v>11</v>
      </c>
      <c r="G36" s="9">
        <v>8.6</v>
      </c>
      <c r="H36">
        <f>Table1[[#This Row],[PTS]]-Table1[[#This Row],[AUB]]</f>
        <v>2.4000000000000004</v>
      </c>
      <c r="M36" s="32"/>
      <c r="N36" s="32"/>
      <c r="O36" s="32"/>
      <c r="P36" s="32"/>
    </row>
    <row r="37" spans="1:16" x14ac:dyDescent="0.25">
      <c r="A37" t="s">
        <v>3309</v>
      </c>
      <c r="B37" s="49" t="s">
        <v>3339</v>
      </c>
      <c r="C37" s="54" t="s">
        <v>3205</v>
      </c>
      <c r="D37" s="11"/>
      <c r="E37" s="43">
        <f t="shared" si="2"/>
        <v>1.9000000000000004</v>
      </c>
      <c r="F37" s="9">
        <v>10.5</v>
      </c>
      <c r="G37" s="9">
        <v>8.6</v>
      </c>
      <c r="H37">
        <f>Table1[[#This Row],[PTS]]-Table1[[#This Row],[AUB]]</f>
        <v>1.9000000000000004</v>
      </c>
      <c r="M37" s="32"/>
      <c r="N37" s="32"/>
      <c r="O37" s="32"/>
      <c r="P37" s="32"/>
    </row>
    <row r="38" spans="1:16" x14ac:dyDescent="0.25">
      <c r="A38" t="s">
        <v>3340</v>
      </c>
      <c r="B38" s="49" t="s">
        <v>3339</v>
      </c>
      <c r="C38" s="54" t="s">
        <v>3205</v>
      </c>
      <c r="D38" s="11"/>
      <c r="E38" s="45">
        <f t="shared" si="2"/>
        <v>1.8000000000000007</v>
      </c>
      <c r="F38" s="9">
        <v>11</v>
      </c>
      <c r="G38" s="9">
        <v>12.8</v>
      </c>
      <c r="H38">
        <f>Table1[[#This Row],[PTS]]-Table1[[#This Row],[AUB]]</f>
        <v>-1.8000000000000007</v>
      </c>
      <c r="M38" s="32"/>
      <c r="N38" s="32"/>
      <c r="O38" s="32"/>
      <c r="P38" s="32"/>
    </row>
    <row r="39" spans="1:16" x14ac:dyDescent="0.25">
      <c r="A39" t="s">
        <v>3329</v>
      </c>
      <c r="B39" s="49" t="s">
        <v>3339</v>
      </c>
      <c r="C39" s="53" t="s">
        <v>3205</v>
      </c>
      <c r="D39" s="13"/>
      <c r="E39">
        <f t="shared" si="2"/>
        <v>1.8000000000000007</v>
      </c>
      <c r="F39" s="9">
        <v>21</v>
      </c>
      <c r="G39" s="9">
        <v>22.8</v>
      </c>
      <c r="H39">
        <f>Table1[[#This Row],[PTS]]-Table1[[#This Row],[AUB]]</f>
        <v>-1.8000000000000007</v>
      </c>
      <c r="M39" s="32"/>
      <c r="N39" s="32"/>
      <c r="O39" s="32"/>
      <c r="P39" s="32"/>
    </row>
    <row r="40" spans="1:16" x14ac:dyDescent="0.25">
      <c r="A40" t="s">
        <v>3348</v>
      </c>
      <c r="B40" s="49" t="s">
        <v>3314</v>
      </c>
      <c r="C40" s="54" t="s">
        <v>3205</v>
      </c>
      <c r="D40" s="11"/>
      <c r="E40" s="46">
        <f t="shared" si="2"/>
        <v>1.8000000000000007</v>
      </c>
      <c r="F40" s="9">
        <v>9</v>
      </c>
      <c r="G40" s="9">
        <v>10.8</v>
      </c>
      <c r="H40">
        <f>Table1[[#This Row],[PTS]]-Table1[[#This Row],[AUB]]</f>
        <v>-1.8000000000000007</v>
      </c>
      <c r="M40" s="32"/>
      <c r="N40" s="32"/>
      <c r="O40" s="32"/>
      <c r="P40" s="32"/>
    </row>
    <row r="41" spans="1:16" x14ac:dyDescent="0.25">
      <c r="A41" t="s">
        <v>3311</v>
      </c>
      <c r="B41" s="49" t="s">
        <v>3335</v>
      </c>
      <c r="C41" s="55" t="s">
        <v>3212</v>
      </c>
      <c r="D41" s="44"/>
      <c r="E41">
        <f t="shared" si="2"/>
        <v>1.6999999999999993</v>
      </c>
      <c r="F41" s="9">
        <v>10.5</v>
      </c>
      <c r="G41" s="9">
        <v>12.2</v>
      </c>
      <c r="H41">
        <f>Table1[[#This Row],[PTS]]-Table1[[#This Row],[AUB]]</f>
        <v>-1.6999999999999993</v>
      </c>
      <c r="M41" s="32"/>
      <c r="N41" s="32"/>
      <c r="O41" s="32"/>
      <c r="P41" s="32"/>
    </row>
    <row r="42" spans="1:16" x14ac:dyDescent="0.25">
      <c r="A42" t="s">
        <v>3311</v>
      </c>
      <c r="B42" s="49" t="s">
        <v>3335</v>
      </c>
      <c r="C42" s="55" t="s">
        <v>3205</v>
      </c>
      <c r="D42" s="44"/>
      <c r="E42">
        <f t="shared" si="2"/>
        <v>1.6000000000000014</v>
      </c>
      <c r="F42" s="9">
        <v>20</v>
      </c>
      <c r="G42" s="9">
        <v>18.399999999999999</v>
      </c>
      <c r="H42">
        <f>Table1[[#This Row],[PTS]]-Table1[[#This Row],[AUB]]</f>
        <v>1.6000000000000014</v>
      </c>
      <c r="M42" s="32"/>
      <c r="N42" s="32"/>
      <c r="O42" s="32"/>
      <c r="P42" s="32"/>
    </row>
    <row r="43" spans="1:16" x14ac:dyDescent="0.25">
      <c r="A43" t="s">
        <v>3351</v>
      </c>
      <c r="B43" s="42" t="s">
        <v>3323</v>
      </c>
      <c r="C43" s="54" t="s">
        <v>3205</v>
      </c>
      <c r="D43" s="11"/>
      <c r="E43" s="47">
        <f t="shared" si="2"/>
        <v>1.5</v>
      </c>
      <c r="F43" s="9">
        <v>12.5</v>
      </c>
      <c r="G43" s="9">
        <v>14</v>
      </c>
      <c r="H43">
        <f>Table1[[#This Row],[PTS]]-Table1[[#This Row],[AUB]]</f>
        <v>-1.5</v>
      </c>
      <c r="M43" s="32"/>
      <c r="N43" s="32"/>
      <c r="O43" s="32"/>
      <c r="P43" s="32"/>
    </row>
    <row r="44" spans="1:16" x14ac:dyDescent="0.25">
      <c r="A44" t="s">
        <v>3331</v>
      </c>
      <c r="B44" s="49" t="s">
        <v>3335</v>
      </c>
      <c r="C44" s="54" t="s">
        <v>3205</v>
      </c>
      <c r="D44" s="11"/>
      <c r="E44">
        <f t="shared" si="2"/>
        <v>0.90000000000000036</v>
      </c>
      <c r="F44" s="9">
        <v>11.5</v>
      </c>
      <c r="G44" s="9">
        <v>10.6</v>
      </c>
      <c r="H44">
        <f>Table1[[#This Row],[PTS]]-Table1[[#This Row],[AUB]]</f>
        <v>0.90000000000000036</v>
      </c>
      <c r="M44" s="32"/>
      <c r="N44" s="32"/>
      <c r="O44" s="32"/>
      <c r="P44" s="32"/>
    </row>
    <row r="45" spans="1:16" x14ac:dyDescent="0.25">
      <c r="A45" t="s">
        <v>3352</v>
      </c>
      <c r="B45" s="49" t="s">
        <v>3314</v>
      </c>
      <c r="C45" s="54" t="s">
        <v>3205</v>
      </c>
      <c r="D45" s="11"/>
      <c r="E45" s="46">
        <f t="shared" si="2"/>
        <v>0.90000000000000036</v>
      </c>
      <c r="F45" s="9">
        <v>14.5</v>
      </c>
      <c r="G45" s="9">
        <v>15.4</v>
      </c>
      <c r="H45">
        <f>Table1[[#This Row],[PTS]]-Table1[[#This Row],[AUB]]</f>
        <v>-0.90000000000000036</v>
      </c>
      <c r="M45" s="32"/>
      <c r="N45" s="32"/>
      <c r="O45" s="32"/>
      <c r="P45" s="32"/>
    </row>
    <row r="46" spans="1:16" x14ac:dyDescent="0.25">
      <c r="A46" t="s">
        <v>3333</v>
      </c>
      <c r="B46" s="42" t="s">
        <v>3323</v>
      </c>
      <c r="C46" s="32" t="s">
        <v>3212</v>
      </c>
      <c r="E46">
        <f t="shared" si="2"/>
        <v>0.90000000000000036</v>
      </c>
      <c r="F46">
        <v>6.5</v>
      </c>
      <c r="G46" s="32" t="s">
        <v>1092</v>
      </c>
      <c r="H46">
        <f>Table1[[#This Row],[PTS]]-Table1[[#This Row],[AUB]]</f>
        <v>0.90000000000000036</v>
      </c>
      <c r="M46" s="32"/>
      <c r="N46" s="32"/>
      <c r="O46" s="32"/>
      <c r="P46" s="32"/>
    </row>
    <row r="47" spans="1:16" x14ac:dyDescent="0.25">
      <c r="A47" s="48" t="s">
        <v>3357</v>
      </c>
      <c r="B47" s="49" t="s">
        <v>3339</v>
      </c>
      <c r="C47" s="53" t="s">
        <v>3209</v>
      </c>
      <c r="D47" s="13"/>
      <c r="E47">
        <f t="shared" si="2"/>
        <v>0.30000000000000071</v>
      </c>
      <c r="F47" s="9">
        <v>13.5</v>
      </c>
      <c r="G47" s="9">
        <v>13.8</v>
      </c>
      <c r="H47">
        <f>Table1[[#This Row],[PTS]]-Table1[[#This Row],[AUB]]</f>
        <v>-0.30000000000000071</v>
      </c>
      <c r="M47" s="32"/>
      <c r="N47" s="32"/>
      <c r="O47" s="32"/>
      <c r="P47" s="32"/>
    </row>
    <row r="48" spans="1:16" x14ac:dyDescent="0.25">
      <c r="A48" t="s">
        <v>3324</v>
      </c>
      <c r="B48" s="49" t="s">
        <v>3339</v>
      </c>
      <c r="C48" s="53" t="s">
        <v>3205</v>
      </c>
      <c r="D48" s="13"/>
      <c r="E48" s="45">
        <f t="shared" si="2"/>
        <v>0.30000000000000071</v>
      </c>
      <c r="F48" s="9">
        <v>12.5</v>
      </c>
      <c r="G48" s="9">
        <v>12.2</v>
      </c>
      <c r="H48">
        <f>Table1[[#This Row],[PTS]]-Table1[[#This Row],[AUB]]</f>
        <v>0.30000000000000071</v>
      </c>
      <c r="M48" s="32"/>
      <c r="N48" s="32" t="s">
        <v>3166</v>
      </c>
      <c r="O48" s="32"/>
      <c r="P48" s="32"/>
    </row>
    <row r="49" spans="1:16" x14ac:dyDescent="0.25">
      <c r="A49" t="s">
        <v>3355</v>
      </c>
      <c r="B49" s="42" t="s">
        <v>3323</v>
      </c>
      <c r="C49" s="53" t="s">
        <v>3205</v>
      </c>
      <c r="D49" s="13"/>
      <c r="E49">
        <f t="shared" si="2"/>
        <v>0.30000000000000071</v>
      </c>
      <c r="F49" s="9">
        <v>15.5</v>
      </c>
      <c r="G49" s="9">
        <v>15.2</v>
      </c>
      <c r="H49">
        <f>Table1[[#This Row],[PTS]]-Table1[[#This Row],[AUB]]</f>
        <v>0.30000000000000071</v>
      </c>
      <c r="M49" s="32"/>
      <c r="N49" s="32"/>
      <c r="O49" s="32"/>
      <c r="P49" s="32"/>
    </row>
    <row r="50" spans="1:16" x14ac:dyDescent="0.25">
      <c r="A50" t="s">
        <v>3326</v>
      </c>
      <c r="B50" s="49" t="s">
        <v>3335</v>
      </c>
      <c r="C50" s="54" t="s">
        <v>3205</v>
      </c>
      <c r="D50" s="11"/>
      <c r="E50" s="43">
        <f t="shared" si="2"/>
        <v>0.19999999999999929</v>
      </c>
      <c r="F50" s="9">
        <v>12</v>
      </c>
      <c r="G50" s="9">
        <v>12.2</v>
      </c>
      <c r="H50">
        <f>Table1[[#This Row],[PTS]]-Table1[[#This Row],[AUB]]</f>
        <v>-0.19999999999999929</v>
      </c>
      <c r="M50" s="32"/>
      <c r="N50" s="32"/>
      <c r="O50" s="32"/>
      <c r="P50" s="32"/>
    </row>
    <row r="51" spans="1:16" x14ac:dyDescent="0.25">
      <c r="A51" t="s">
        <v>3346</v>
      </c>
      <c r="B51" s="49" t="s">
        <v>3335</v>
      </c>
      <c r="C51" s="55" t="s">
        <v>3205</v>
      </c>
      <c r="D51" s="44"/>
      <c r="E51" s="43">
        <f t="shared" si="2"/>
        <v>0.19999999999999929</v>
      </c>
      <c r="F51" s="9">
        <v>14</v>
      </c>
      <c r="G51" s="9">
        <v>13.8</v>
      </c>
      <c r="H51">
        <f>Table1[[#This Row],[PTS]]-Table1[[#This Row],[AUB]]</f>
        <v>0.19999999999999929</v>
      </c>
      <c r="M51" s="32"/>
      <c r="N51" s="32"/>
      <c r="O51" s="32"/>
      <c r="P51" s="32"/>
    </row>
    <row r="52" spans="1:16" x14ac:dyDescent="0.25">
      <c r="A52" t="s">
        <v>3331</v>
      </c>
      <c r="B52" s="49" t="s">
        <v>3335</v>
      </c>
      <c r="C52" s="56" t="s">
        <v>3212</v>
      </c>
      <c r="D52" s="11"/>
      <c r="E52">
        <f t="shared" si="2"/>
        <v>0.10000000000000009</v>
      </c>
      <c r="F52" s="9">
        <v>3.5</v>
      </c>
      <c r="G52" s="9">
        <v>3.4</v>
      </c>
      <c r="H52">
        <f>Table1[[#This Row],[PTS]]-Table1[[#This Row],[AUB]]</f>
        <v>0.10000000000000009</v>
      </c>
      <c r="M52" s="32"/>
      <c r="N52" s="32"/>
      <c r="O52" s="32"/>
      <c r="P52" s="32"/>
    </row>
    <row r="53" spans="1:16" x14ac:dyDescent="0.25">
      <c r="A53" t="s">
        <v>3309</v>
      </c>
      <c r="B53" s="49" t="s">
        <v>3339</v>
      </c>
      <c r="C53" s="57" t="s">
        <v>3212</v>
      </c>
      <c r="D53" s="13"/>
      <c r="E53" s="45"/>
      <c r="F53" s="9">
        <v>7</v>
      </c>
      <c r="G53" s="9">
        <v>6.4</v>
      </c>
      <c r="H53">
        <f>Table1[[#This Row],[PTS]]-Table1[[#This Row],[AUB]]</f>
        <v>0.59999999999999964</v>
      </c>
      <c r="M53" s="32"/>
      <c r="N53" s="32"/>
      <c r="O53" s="32"/>
      <c r="P53" s="32"/>
    </row>
    <row r="54" spans="1:16" x14ac:dyDescent="0.25">
      <c r="A54" t="s">
        <v>3340</v>
      </c>
      <c r="B54" s="49" t="s">
        <v>3339</v>
      </c>
      <c r="C54" s="57" t="s">
        <v>3212</v>
      </c>
      <c r="D54" s="13"/>
      <c r="E54" s="45"/>
      <c r="F54" s="9">
        <v>7</v>
      </c>
      <c r="G54" s="9">
        <v>7.2</v>
      </c>
      <c r="H54">
        <f>Table1[[#This Row],[PTS]]-Table1[[#This Row],[AUB]]</f>
        <v>-0.20000000000000018</v>
      </c>
      <c r="M54" s="32"/>
      <c r="N54" s="32"/>
      <c r="O54" s="32"/>
      <c r="P54" s="32"/>
    </row>
    <row r="55" spans="1:16" x14ac:dyDescent="0.25">
      <c r="C55"/>
      <c r="M55" s="32"/>
      <c r="N55" s="32"/>
      <c r="O55" s="32"/>
      <c r="P55" s="32"/>
    </row>
    <row r="56" spans="1:16" x14ac:dyDescent="0.25">
      <c r="A56" s="32"/>
      <c r="B56" s="32"/>
      <c r="D56" s="32"/>
      <c r="E56" s="32"/>
      <c r="F56" s="32"/>
      <c r="G56" s="32"/>
      <c r="H56" s="32"/>
      <c r="J56" s="32"/>
      <c r="K56" s="32"/>
      <c r="L56" s="32"/>
      <c r="M56" s="32"/>
      <c r="N56" s="32"/>
      <c r="O56" s="32"/>
      <c r="P56" s="32"/>
    </row>
    <row r="57" spans="1:16" x14ac:dyDescent="0.25">
      <c r="A57" s="32"/>
      <c r="B57" s="32"/>
      <c r="D57" s="32"/>
      <c r="E57" s="32"/>
      <c r="F57" s="32"/>
      <c r="G57" s="32"/>
      <c r="H57" s="32"/>
      <c r="J57" s="32"/>
      <c r="K57" s="32"/>
      <c r="L57" s="32"/>
      <c r="M57" s="32"/>
      <c r="N57" s="32"/>
      <c r="O57" s="32"/>
      <c r="P57" s="32"/>
    </row>
    <row r="58" spans="1:16" x14ac:dyDescent="0.25">
      <c r="A58" s="32"/>
      <c r="B58" s="32"/>
      <c r="D58" s="32"/>
      <c r="E58" s="32"/>
      <c r="F58" s="32"/>
      <c r="G58" s="32"/>
      <c r="H58" s="32"/>
      <c r="J58" s="32"/>
      <c r="K58" s="32"/>
      <c r="L58" s="32"/>
      <c r="M58" s="32"/>
      <c r="N58" s="32"/>
      <c r="O58" s="32"/>
      <c r="P58" s="32"/>
    </row>
    <row r="59" spans="1:16" x14ac:dyDescent="0.25">
      <c r="A59" s="32"/>
      <c r="B59" s="32"/>
      <c r="D59" s="32"/>
      <c r="E59" s="32"/>
      <c r="F59" s="32"/>
      <c r="G59" s="32"/>
      <c r="H59" s="32"/>
      <c r="J59" s="32"/>
      <c r="K59" s="32"/>
      <c r="L59" s="32"/>
      <c r="M59" s="32"/>
      <c r="N59" s="32"/>
      <c r="O59" s="32"/>
      <c r="P59" s="32"/>
    </row>
    <row r="60" spans="1:16" x14ac:dyDescent="0.25">
      <c r="A60" s="32"/>
      <c r="B60" s="32"/>
      <c r="D60" s="32"/>
      <c r="E60" s="32"/>
      <c r="F60" s="32"/>
      <c r="G60" s="32"/>
      <c r="H60" s="32"/>
      <c r="J60" s="32"/>
      <c r="K60" s="32"/>
      <c r="L60" s="32"/>
      <c r="M60" s="32"/>
      <c r="N60" s="32"/>
      <c r="O60" s="32"/>
      <c r="P60" s="32"/>
    </row>
    <row r="61" spans="1:16" x14ac:dyDescent="0.25">
      <c r="A61" s="32"/>
      <c r="B61" s="32"/>
      <c r="D61" s="32"/>
      <c r="E61" s="32"/>
      <c r="F61" s="32"/>
      <c r="G61" s="32"/>
      <c r="H61" s="32"/>
      <c r="J61" s="32"/>
      <c r="K61" s="32"/>
      <c r="L61" s="32"/>
      <c r="M61" s="32"/>
      <c r="N61" s="32"/>
      <c r="O61" s="32"/>
      <c r="P61" s="32"/>
    </row>
    <row r="62" spans="1:16" x14ac:dyDescent="0.25">
      <c r="A62" s="32"/>
      <c r="B62" s="32"/>
      <c r="D62" s="32"/>
      <c r="E62" s="32"/>
      <c r="F62" s="32"/>
      <c r="G62" s="32"/>
      <c r="H62" s="32"/>
      <c r="J62" s="32"/>
      <c r="K62" s="32"/>
      <c r="L62" s="32"/>
      <c r="M62" s="32"/>
      <c r="N62" s="32"/>
      <c r="O62" s="32"/>
      <c r="P62" s="32"/>
    </row>
    <row r="63" spans="1:16" x14ac:dyDescent="0.25">
      <c r="A63" s="32"/>
      <c r="B63" s="32"/>
      <c r="D63" s="32"/>
      <c r="E63" s="32"/>
      <c r="F63" s="32"/>
      <c r="G63" s="32"/>
      <c r="H63" s="32"/>
      <c r="J63" s="32"/>
      <c r="K63" s="32"/>
      <c r="L63" s="32"/>
      <c r="M63" s="32"/>
      <c r="N63" s="32"/>
      <c r="O63" s="32"/>
      <c r="P63" s="32"/>
    </row>
    <row r="64" spans="1:16" x14ac:dyDescent="0.25">
      <c r="A64" s="32"/>
      <c r="B64" s="32"/>
      <c r="D64" s="32"/>
      <c r="E64" s="32"/>
      <c r="F64" s="32"/>
      <c r="G64" s="32"/>
      <c r="H64" s="32"/>
      <c r="J64" s="32"/>
      <c r="K64" s="32"/>
      <c r="L64" s="32"/>
      <c r="M64" s="32"/>
      <c r="N64" s="32"/>
      <c r="O64" s="32"/>
      <c r="P64" s="32"/>
    </row>
    <row r="65" spans="1:16" x14ac:dyDescent="0.25">
      <c r="A65" s="32"/>
      <c r="B65" s="32"/>
      <c r="D65" s="32"/>
      <c r="E65" s="32"/>
      <c r="F65" s="32"/>
      <c r="G65" s="32"/>
      <c r="H65" s="32"/>
      <c r="J65" s="32"/>
      <c r="K65" s="32"/>
      <c r="L65" s="32"/>
      <c r="M65" s="32"/>
      <c r="N65" s="32"/>
      <c r="O65" s="32"/>
      <c r="P65" s="32"/>
    </row>
    <row r="66" spans="1:16" x14ac:dyDescent="0.25">
      <c r="A66" s="32"/>
      <c r="B66" s="32"/>
      <c r="D66" s="32"/>
      <c r="E66" s="32"/>
      <c r="F66" s="32"/>
      <c r="G66" s="32"/>
      <c r="H66" s="32"/>
      <c r="J66" s="32"/>
      <c r="K66" s="32"/>
      <c r="L66" s="32"/>
      <c r="M66" s="32"/>
      <c r="N66" s="32"/>
      <c r="O66" s="32"/>
      <c r="P66" s="32"/>
    </row>
    <row r="67" spans="1:16" x14ac:dyDescent="0.25">
      <c r="A67" s="32"/>
      <c r="B67" s="32"/>
      <c r="D67" s="32"/>
      <c r="E67" s="32"/>
      <c r="F67" s="32"/>
      <c r="G67" s="32"/>
      <c r="H67" s="32"/>
      <c r="J67" s="32"/>
      <c r="K67" s="32"/>
      <c r="L67" s="32"/>
      <c r="M67" s="32"/>
      <c r="N67" s="32"/>
      <c r="O67" s="32"/>
      <c r="P67" s="32"/>
    </row>
    <row r="68" spans="1:16" x14ac:dyDescent="0.25">
      <c r="A68" s="32"/>
      <c r="B68" s="32"/>
      <c r="D68" s="32"/>
      <c r="E68" s="32"/>
      <c r="F68" s="32"/>
      <c r="G68" s="32"/>
      <c r="H68" s="32"/>
      <c r="J68" s="32"/>
      <c r="K68" s="32"/>
      <c r="L68" s="32"/>
      <c r="M68" s="32"/>
      <c r="N68" s="32"/>
      <c r="O68" s="32"/>
      <c r="P68" s="32"/>
    </row>
    <row r="69" spans="1:16" x14ac:dyDescent="0.25">
      <c r="A69" s="32"/>
      <c r="B69" s="32"/>
      <c r="D69" s="32"/>
      <c r="E69" s="32"/>
      <c r="F69" s="32"/>
      <c r="G69" s="32"/>
      <c r="H69" s="32"/>
      <c r="J69" s="32"/>
      <c r="K69" s="32"/>
      <c r="L69" s="32"/>
      <c r="M69" s="32"/>
      <c r="N69" s="32"/>
      <c r="O69" s="32"/>
      <c r="P69" s="32"/>
    </row>
    <row r="70" spans="1:16" x14ac:dyDescent="0.25">
      <c r="A70" s="32"/>
      <c r="B70" s="32"/>
      <c r="D70" s="32"/>
      <c r="E70" s="32"/>
      <c r="F70" s="32"/>
      <c r="G70" s="32"/>
      <c r="H70" s="32"/>
      <c r="J70" s="32"/>
      <c r="K70" s="32"/>
      <c r="L70" s="32"/>
      <c r="M70" s="32"/>
      <c r="N70" s="32"/>
      <c r="O70" s="32"/>
      <c r="P70" s="32"/>
    </row>
    <row r="71" spans="1:16" x14ac:dyDescent="0.25">
      <c r="A71" s="32"/>
      <c r="B71" s="32"/>
      <c r="D71" s="32"/>
      <c r="E71" s="32"/>
      <c r="F71" s="32"/>
      <c r="G71" s="32"/>
      <c r="H71" s="32"/>
      <c r="J71" s="32"/>
      <c r="K71" s="32"/>
      <c r="L71" s="32"/>
      <c r="M71" s="32"/>
      <c r="N71" s="32"/>
      <c r="O71" s="32"/>
      <c r="P71" s="32"/>
    </row>
    <row r="72" spans="1:16" x14ac:dyDescent="0.25">
      <c r="A72" s="32"/>
      <c r="B72" s="32"/>
      <c r="D72" s="32"/>
      <c r="E72" s="32"/>
      <c r="F72" s="32"/>
      <c r="G72" s="32"/>
      <c r="H72" s="32"/>
      <c r="J72" s="32"/>
      <c r="K72" s="32"/>
      <c r="L72" s="32"/>
      <c r="M72" s="32"/>
      <c r="N72" s="32"/>
      <c r="O72" s="32"/>
      <c r="P72" s="32"/>
    </row>
    <row r="73" spans="1:16" x14ac:dyDescent="0.25">
      <c r="A73" s="32"/>
      <c r="B73" s="32"/>
      <c r="D73" s="32"/>
      <c r="E73" s="32"/>
      <c r="F73" s="32"/>
      <c r="G73" s="32"/>
      <c r="H73" s="32"/>
      <c r="J73" s="32"/>
      <c r="K73" s="32"/>
      <c r="L73" s="32"/>
      <c r="M73" s="32"/>
      <c r="N73" s="32"/>
      <c r="O73" s="32"/>
      <c r="P73" s="32"/>
    </row>
    <row r="74" spans="1:16" x14ac:dyDescent="0.25">
      <c r="A74" s="32"/>
      <c r="B74" s="32"/>
      <c r="D74" s="32"/>
      <c r="E74" s="32"/>
      <c r="F74" s="32"/>
      <c r="G74" s="32"/>
      <c r="H74" s="32"/>
      <c r="J74" s="32"/>
      <c r="K74" s="32"/>
      <c r="L74" s="32"/>
      <c r="M74" s="32"/>
      <c r="N74" s="32"/>
      <c r="O74" s="32"/>
      <c r="P74" s="32"/>
    </row>
    <row r="75" spans="1:16" x14ac:dyDescent="0.25">
      <c r="A75" s="32"/>
      <c r="B75" s="32"/>
      <c r="D75" s="32"/>
      <c r="E75" s="32"/>
      <c r="F75" s="32"/>
      <c r="G75" s="32"/>
      <c r="H75" s="32"/>
      <c r="J75" s="32"/>
      <c r="K75" s="32"/>
      <c r="L75" s="32"/>
      <c r="M75" s="32"/>
      <c r="N75" s="32"/>
      <c r="O75" s="32"/>
      <c r="P75" s="32"/>
    </row>
    <row r="76" spans="1:16" x14ac:dyDescent="0.25">
      <c r="A76" s="32"/>
      <c r="B76" s="32"/>
      <c r="D76" s="32"/>
      <c r="E76" s="32"/>
      <c r="F76" s="32"/>
      <c r="G76" s="32"/>
      <c r="H76" s="32"/>
      <c r="J76" s="32"/>
      <c r="K76" s="32"/>
      <c r="L76" s="32"/>
      <c r="M76" s="32"/>
      <c r="N76" s="32"/>
      <c r="O76" s="32"/>
      <c r="P76" s="32"/>
    </row>
    <row r="77" spans="1:16" x14ac:dyDescent="0.25">
      <c r="A77" s="32"/>
      <c r="B77" s="32"/>
      <c r="D77" s="32"/>
      <c r="E77" s="32"/>
      <c r="F77" s="32"/>
      <c r="G77" s="32"/>
      <c r="H77" s="32"/>
      <c r="J77" s="32"/>
      <c r="K77" s="32"/>
      <c r="L77" s="32"/>
      <c r="M77" s="32"/>
      <c r="N77" s="32"/>
      <c r="O77" s="32"/>
      <c r="P77" s="32"/>
    </row>
  </sheetData>
  <conditionalFormatting sqref="A39 A31">
    <cfRule type="duplicateValues" dxfId="5" priority="1"/>
    <cfRule type="duplicateValues" dxfId="4" priority="2"/>
  </conditionalFormatting>
  <conditionalFormatting sqref="N10 N2">
    <cfRule type="duplicateValues" dxfId="3" priority="3"/>
    <cfRule type="duplicateValues" dxfId="2" priority="4"/>
  </conditionalFormatting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6BE0-5C06-4083-8B03-043E06369619}">
  <dimension ref="A1:AK58"/>
  <sheetViews>
    <sheetView workbookViewId="0">
      <selection activeCell="J37" sqref="J37"/>
    </sheetView>
  </sheetViews>
  <sheetFormatPr defaultRowHeight="15" x14ac:dyDescent="0.25"/>
  <cols>
    <col min="1" max="1" width="5.5703125" bestFit="1" customWidth="1"/>
    <col min="2" max="3" width="20.7109375" bestFit="1" customWidth="1"/>
    <col min="4" max="4" width="18.7109375" bestFit="1" customWidth="1"/>
    <col min="5" max="5" width="16.5703125" bestFit="1" customWidth="1"/>
    <col min="6" max="6" width="29.140625" bestFit="1" customWidth="1"/>
    <col min="7" max="7" width="19" bestFit="1" customWidth="1"/>
    <col min="8" max="8" width="13.7109375" bestFit="1" customWidth="1"/>
    <col min="9" max="9" width="5.5703125" bestFit="1" customWidth="1"/>
    <col min="10" max="10" width="20" bestFit="1" customWidth="1"/>
    <col min="11" max="11" width="16.85546875" bestFit="1" customWidth="1"/>
    <col min="12" max="12" width="20" bestFit="1" customWidth="1"/>
    <col min="13" max="13" width="16.7109375" bestFit="1" customWidth="1"/>
    <col min="14" max="14" width="17.28515625" bestFit="1" customWidth="1"/>
    <col min="15" max="15" width="18.7109375" bestFit="1" customWidth="1"/>
    <col min="16" max="16" width="6.85546875" bestFit="1" customWidth="1"/>
    <col min="17" max="17" width="6.42578125" bestFit="1" customWidth="1"/>
    <col min="18" max="18" width="6.7109375" bestFit="1" customWidth="1"/>
    <col min="21" max="21" width="20.7109375" bestFit="1" customWidth="1"/>
  </cols>
  <sheetData>
    <row r="1" spans="1:37" x14ac:dyDescent="0.25">
      <c r="A1" s="5" t="s">
        <v>3125</v>
      </c>
      <c r="B1" s="5" t="s">
        <v>172</v>
      </c>
      <c r="C1" s="38" t="s">
        <v>3371</v>
      </c>
      <c r="D1" s="38" t="s">
        <v>3372</v>
      </c>
      <c r="E1" s="38" t="s">
        <v>3373</v>
      </c>
      <c r="F1" s="38" t="s">
        <v>3374</v>
      </c>
      <c r="G1" s="38" t="s">
        <v>3375</v>
      </c>
      <c r="H1" s="38" t="s">
        <v>3376</v>
      </c>
      <c r="I1" s="38" t="s">
        <v>3377</v>
      </c>
      <c r="J1" s="38" t="s">
        <v>3378</v>
      </c>
      <c r="K1" s="38" t="s">
        <v>3379</v>
      </c>
      <c r="L1" s="38" t="s">
        <v>3380</v>
      </c>
      <c r="M1" s="38" t="s">
        <v>3381</v>
      </c>
      <c r="N1" s="38" t="s">
        <v>3382</v>
      </c>
      <c r="O1" s="38" t="s">
        <v>3383</v>
      </c>
      <c r="P1" s="38" t="s">
        <v>3384</v>
      </c>
      <c r="Q1" s="38" t="s">
        <v>3385</v>
      </c>
      <c r="R1" s="38" t="s">
        <v>3386</v>
      </c>
      <c r="T1" s="5" t="s">
        <v>3125</v>
      </c>
      <c r="U1" s="5" t="s">
        <v>172</v>
      </c>
      <c r="V1" s="38" t="s">
        <v>3371</v>
      </c>
      <c r="W1" s="38" t="s">
        <v>2873</v>
      </c>
      <c r="X1" s="38" t="s">
        <v>2874</v>
      </c>
      <c r="Y1" s="38" t="s">
        <v>3387</v>
      </c>
      <c r="Z1" s="38" t="s">
        <v>3388</v>
      </c>
      <c r="AA1" s="38" t="s">
        <v>3389</v>
      </c>
      <c r="AB1" s="38" t="s">
        <v>3390</v>
      </c>
      <c r="AC1" s="38" t="s">
        <v>3391</v>
      </c>
      <c r="AD1" s="38" t="s">
        <v>3392</v>
      </c>
      <c r="AE1" s="38" t="s">
        <v>3374</v>
      </c>
      <c r="AF1" s="38" t="s">
        <v>3393</v>
      </c>
      <c r="AG1" s="38" t="s">
        <v>3377</v>
      </c>
      <c r="AH1" s="38" t="s">
        <v>3380</v>
      </c>
      <c r="AI1" s="38" t="s">
        <v>3381</v>
      </c>
      <c r="AJ1" s="38" t="s">
        <v>3394</v>
      </c>
      <c r="AK1" s="38" t="s">
        <v>3395</v>
      </c>
    </row>
    <row r="2" spans="1:37" x14ac:dyDescent="0.25">
      <c r="A2">
        <v>7</v>
      </c>
      <c r="B2" s="38" t="s">
        <v>3396</v>
      </c>
      <c r="C2">
        <v>15</v>
      </c>
      <c r="D2">
        <v>505</v>
      </c>
      <c r="E2">
        <v>95</v>
      </c>
      <c r="F2">
        <v>131</v>
      </c>
      <c r="G2">
        <v>26</v>
      </c>
      <c r="H2">
        <v>3</v>
      </c>
      <c r="I2">
        <v>28</v>
      </c>
      <c r="J2">
        <v>91</v>
      </c>
      <c r="K2">
        <v>247</v>
      </c>
      <c r="L2">
        <v>57</v>
      </c>
      <c r="M2">
        <v>145</v>
      </c>
      <c r="N2">
        <v>13</v>
      </c>
      <c r="O2">
        <v>0.25900000000000001</v>
      </c>
      <c r="P2">
        <v>0.34399999999999997</v>
      </c>
      <c r="Q2">
        <v>0.48899999999999999</v>
      </c>
      <c r="R2">
        <v>0.83299999999999996</v>
      </c>
      <c r="T2">
        <v>18</v>
      </c>
      <c r="U2" s="38" t="s">
        <v>3397</v>
      </c>
      <c r="V2">
        <v>15</v>
      </c>
      <c r="W2">
        <v>7</v>
      </c>
      <c r="X2">
        <v>8</v>
      </c>
      <c r="Y2">
        <v>3.69</v>
      </c>
      <c r="Z2">
        <v>4</v>
      </c>
      <c r="AA2">
        <v>0</v>
      </c>
      <c r="AB2">
        <v>0</v>
      </c>
      <c r="AC2">
        <v>8</v>
      </c>
      <c r="AD2">
        <v>136.19999999999999</v>
      </c>
      <c r="AE2">
        <v>94</v>
      </c>
      <c r="AF2">
        <v>56</v>
      </c>
      <c r="AG2">
        <v>15</v>
      </c>
      <c r="AH2">
        <v>51</v>
      </c>
      <c r="AI2">
        <v>166</v>
      </c>
      <c r="AJ2">
        <v>0.19</v>
      </c>
      <c r="AK2">
        <v>1.06</v>
      </c>
    </row>
    <row r="3" spans="1:37" x14ac:dyDescent="0.25">
      <c r="A3">
        <v>8</v>
      </c>
      <c r="B3" s="38" t="s">
        <v>3398</v>
      </c>
      <c r="C3">
        <v>16</v>
      </c>
      <c r="D3">
        <v>538</v>
      </c>
      <c r="E3">
        <v>65</v>
      </c>
      <c r="F3">
        <v>130</v>
      </c>
      <c r="G3">
        <v>23</v>
      </c>
      <c r="H3">
        <v>1</v>
      </c>
      <c r="I3">
        <v>20</v>
      </c>
      <c r="J3">
        <v>61</v>
      </c>
      <c r="K3">
        <v>215</v>
      </c>
      <c r="L3">
        <v>52</v>
      </c>
      <c r="M3">
        <v>113</v>
      </c>
      <c r="N3">
        <v>3</v>
      </c>
      <c r="O3">
        <v>0.24199999999999999</v>
      </c>
      <c r="P3">
        <v>0.309</v>
      </c>
      <c r="Q3">
        <v>0.4</v>
      </c>
      <c r="R3">
        <v>0.70799999999999996</v>
      </c>
      <c r="T3">
        <v>16</v>
      </c>
      <c r="U3" s="38" t="s">
        <v>3399</v>
      </c>
      <c r="V3">
        <v>17</v>
      </c>
      <c r="W3">
        <v>11</v>
      </c>
      <c r="X3">
        <v>6</v>
      </c>
      <c r="Y3">
        <v>3.84</v>
      </c>
      <c r="Z3">
        <v>7</v>
      </c>
      <c r="AA3">
        <v>0</v>
      </c>
      <c r="AB3">
        <v>1</v>
      </c>
      <c r="AC3">
        <v>4</v>
      </c>
      <c r="AD3">
        <v>150</v>
      </c>
      <c r="AE3">
        <v>122</v>
      </c>
      <c r="AF3">
        <v>64</v>
      </c>
      <c r="AG3">
        <v>16</v>
      </c>
      <c r="AH3">
        <v>74</v>
      </c>
      <c r="AI3">
        <v>157</v>
      </c>
      <c r="AJ3">
        <v>0.22</v>
      </c>
      <c r="AK3">
        <v>1.31</v>
      </c>
    </row>
    <row r="4" spans="1:37" x14ac:dyDescent="0.25">
      <c r="A4">
        <v>3</v>
      </c>
      <c r="B4" s="38" t="s">
        <v>3400</v>
      </c>
      <c r="C4">
        <v>16</v>
      </c>
      <c r="D4">
        <v>523</v>
      </c>
      <c r="E4">
        <v>73</v>
      </c>
      <c r="F4">
        <v>148</v>
      </c>
      <c r="G4">
        <v>28</v>
      </c>
      <c r="H4">
        <v>0</v>
      </c>
      <c r="I4">
        <v>15</v>
      </c>
      <c r="J4">
        <v>66</v>
      </c>
      <c r="K4">
        <v>221</v>
      </c>
      <c r="L4">
        <v>52</v>
      </c>
      <c r="M4">
        <v>103</v>
      </c>
      <c r="N4">
        <v>23</v>
      </c>
      <c r="O4">
        <v>0.28299999999999997</v>
      </c>
      <c r="P4">
        <v>0.34799999999999998</v>
      </c>
      <c r="Q4">
        <v>0.42299999999999999</v>
      </c>
      <c r="R4">
        <v>0.77</v>
      </c>
      <c r="T4">
        <v>6</v>
      </c>
      <c r="U4" s="38" t="s">
        <v>3396</v>
      </c>
      <c r="V4">
        <v>15</v>
      </c>
      <c r="W4">
        <v>8</v>
      </c>
      <c r="X4">
        <v>7</v>
      </c>
      <c r="Y4">
        <v>4.67</v>
      </c>
      <c r="Z4">
        <v>3</v>
      </c>
      <c r="AA4">
        <v>0</v>
      </c>
      <c r="AB4">
        <v>0</v>
      </c>
      <c r="AC4">
        <v>1</v>
      </c>
      <c r="AD4">
        <v>131</v>
      </c>
      <c r="AE4">
        <v>100</v>
      </c>
      <c r="AF4">
        <v>68</v>
      </c>
      <c r="AG4">
        <v>18</v>
      </c>
      <c r="AH4">
        <v>70</v>
      </c>
      <c r="AI4">
        <v>157</v>
      </c>
      <c r="AJ4">
        <v>0.20599999999999999</v>
      </c>
      <c r="AK4">
        <v>1.3</v>
      </c>
    </row>
    <row r="5" spans="1:37" x14ac:dyDescent="0.25">
      <c r="A5">
        <v>25</v>
      </c>
      <c r="B5" s="38" t="s">
        <v>3401</v>
      </c>
      <c r="C5">
        <v>16</v>
      </c>
      <c r="D5">
        <v>504</v>
      </c>
      <c r="E5">
        <v>51</v>
      </c>
      <c r="F5">
        <v>105</v>
      </c>
      <c r="G5">
        <v>18</v>
      </c>
      <c r="H5">
        <v>2</v>
      </c>
      <c r="I5">
        <v>18</v>
      </c>
      <c r="J5">
        <v>51</v>
      </c>
      <c r="K5">
        <v>181</v>
      </c>
      <c r="L5">
        <v>35</v>
      </c>
      <c r="M5">
        <v>122</v>
      </c>
      <c r="N5">
        <v>17</v>
      </c>
      <c r="O5">
        <v>0.20799999999999999</v>
      </c>
      <c r="P5">
        <v>0.26700000000000002</v>
      </c>
      <c r="Q5">
        <v>0.35899999999999999</v>
      </c>
      <c r="R5">
        <v>0.626</v>
      </c>
      <c r="T5">
        <v>4</v>
      </c>
      <c r="U5" s="38" t="s">
        <v>3398</v>
      </c>
      <c r="V5">
        <v>16</v>
      </c>
      <c r="W5">
        <v>6</v>
      </c>
      <c r="X5">
        <v>10</v>
      </c>
      <c r="Y5">
        <v>4.91</v>
      </c>
      <c r="Z5">
        <v>4</v>
      </c>
      <c r="AA5">
        <v>0</v>
      </c>
      <c r="AB5">
        <v>1</v>
      </c>
      <c r="AC5">
        <v>5</v>
      </c>
      <c r="AD5">
        <v>143</v>
      </c>
      <c r="AE5">
        <v>152</v>
      </c>
      <c r="AF5">
        <v>78</v>
      </c>
      <c r="AG5">
        <v>20</v>
      </c>
      <c r="AH5">
        <v>68</v>
      </c>
      <c r="AI5">
        <v>147</v>
      </c>
      <c r="AJ5">
        <v>0.26900000000000002</v>
      </c>
      <c r="AK5">
        <v>1.54</v>
      </c>
    </row>
    <row r="6" spans="1:37" x14ac:dyDescent="0.25">
      <c r="A6">
        <v>3</v>
      </c>
      <c r="B6" s="38" t="s">
        <v>3402</v>
      </c>
      <c r="C6">
        <v>17</v>
      </c>
      <c r="D6">
        <v>590</v>
      </c>
      <c r="E6">
        <v>77</v>
      </c>
      <c r="F6">
        <v>148</v>
      </c>
      <c r="G6">
        <v>33</v>
      </c>
      <c r="H6">
        <v>2</v>
      </c>
      <c r="I6">
        <v>12</v>
      </c>
      <c r="J6">
        <v>73</v>
      </c>
      <c r="K6">
        <v>221</v>
      </c>
      <c r="L6">
        <v>65</v>
      </c>
      <c r="M6">
        <v>165</v>
      </c>
      <c r="N6">
        <v>23</v>
      </c>
      <c r="O6">
        <v>0.251</v>
      </c>
      <c r="P6">
        <v>0.32800000000000001</v>
      </c>
      <c r="Q6">
        <v>0.375</v>
      </c>
      <c r="R6">
        <v>0.70199999999999996</v>
      </c>
      <c r="T6">
        <v>24</v>
      </c>
      <c r="U6" s="38" t="s">
        <v>3403</v>
      </c>
      <c r="V6">
        <v>15</v>
      </c>
      <c r="W6">
        <v>9</v>
      </c>
      <c r="X6">
        <v>6</v>
      </c>
      <c r="Y6">
        <v>3.52</v>
      </c>
      <c r="Z6">
        <v>4</v>
      </c>
      <c r="AA6">
        <v>0</v>
      </c>
      <c r="AB6">
        <v>0</v>
      </c>
      <c r="AC6">
        <v>7</v>
      </c>
      <c r="AD6">
        <v>133</v>
      </c>
      <c r="AE6">
        <v>123</v>
      </c>
      <c r="AF6">
        <v>52</v>
      </c>
      <c r="AG6">
        <v>18</v>
      </c>
      <c r="AH6">
        <v>44</v>
      </c>
      <c r="AI6">
        <v>146</v>
      </c>
      <c r="AJ6">
        <v>0.247</v>
      </c>
      <c r="AK6">
        <v>1.26</v>
      </c>
    </row>
    <row r="7" spans="1:37" x14ac:dyDescent="0.25">
      <c r="A7">
        <v>14</v>
      </c>
      <c r="B7" s="38" t="s">
        <v>3404</v>
      </c>
      <c r="C7">
        <v>15</v>
      </c>
      <c r="D7">
        <v>515</v>
      </c>
      <c r="E7">
        <v>75</v>
      </c>
      <c r="F7">
        <v>122</v>
      </c>
      <c r="G7">
        <v>18</v>
      </c>
      <c r="H7">
        <v>2</v>
      </c>
      <c r="I7">
        <v>30</v>
      </c>
      <c r="J7">
        <v>75</v>
      </c>
      <c r="K7">
        <v>234</v>
      </c>
      <c r="L7">
        <v>42</v>
      </c>
      <c r="M7">
        <v>134</v>
      </c>
      <c r="N7">
        <v>8</v>
      </c>
      <c r="O7">
        <v>0.23699999999999999</v>
      </c>
      <c r="P7">
        <v>0.30199999999999999</v>
      </c>
      <c r="Q7">
        <v>0.45400000000000001</v>
      </c>
      <c r="R7">
        <v>0.75700000000000001</v>
      </c>
      <c r="T7">
        <v>25</v>
      </c>
      <c r="U7" s="38" t="s">
        <v>3405</v>
      </c>
      <c r="V7">
        <v>16</v>
      </c>
      <c r="W7">
        <v>9</v>
      </c>
      <c r="X7">
        <v>7</v>
      </c>
      <c r="Y7">
        <v>3.37</v>
      </c>
      <c r="Z7">
        <v>5</v>
      </c>
      <c r="AA7">
        <v>0</v>
      </c>
      <c r="AB7">
        <v>0</v>
      </c>
      <c r="AC7">
        <v>6</v>
      </c>
      <c r="AD7">
        <v>144.1</v>
      </c>
      <c r="AE7">
        <v>112</v>
      </c>
      <c r="AF7">
        <v>54</v>
      </c>
      <c r="AG7">
        <v>18</v>
      </c>
      <c r="AH7">
        <v>45</v>
      </c>
      <c r="AI7">
        <v>145</v>
      </c>
      <c r="AJ7">
        <v>0.214</v>
      </c>
      <c r="AK7">
        <v>1.0900000000000001</v>
      </c>
    </row>
    <row r="8" spans="1:37" x14ac:dyDescent="0.25">
      <c r="A8">
        <v>20</v>
      </c>
      <c r="B8" s="38" t="s">
        <v>3406</v>
      </c>
      <c r="C8">
        <v>15</v>
      </c>
      <c r="D8">
        <v>501</v>
      </c>
      <c r="E8">
        <v>75</v>
      </c>
      <c r="F8">
        <v>110</v>
      </c>
      <c r="G8">
        <v>32</v>
      </c>
      <c r="H8">
        <v>3</v>
      </c>
      <c r="I8">
        <v>18</v>
      </c>
      <c r="J8">
        <v>72</v>
      </c>
      <c r="K8">
        <v>202</v>
      </c>
      <c r="L8">
        <v>56</v>
      </c>
      <c r="M8">
        <v>143</v>
      </c>
      <c r="N8">
        <v>14</v>
      </c>
      <c r="O8">
        <v>0.22</v>
      </c>
      <c r="P8">
        <v>0.30099999999999999</v>
      </c>
      <c r="Q8">
        <v>0.40300000000000002</v>
      </c>
      <c r="R8">
        <v>0.70399999999999996</v>
      </c>
      <c r="T8">
        <v>23</v>
      </c>
      <c r="U8" s="38" t="s">
        <v>3407</v>
      </c>
      <c r="V8">
        <v>15</v>
      </c>
      <c r="W8">
        <v>7</v>
      </c>
      <c r="X8">
        <v>8</v>
      </c>
      <c r="Y8">
        <v>3.53</v>
      </c>
      <c r="Z8">
        <v>3</v>
      </c>
      <c r="AA8">
        <v>0</v>
      </c>
      <c r="AB8">
        <v>1</v>
      </c>
      <c r="AC8">
        <v>6</v>
      </c>
      <c r="AD8">
        <v>132.19999999999999</v>
      </c>
      <c r="AE8">
        <v>114</v>
      </c>
      <c r="AF8">
        <v>52</v>
      </c>
      <c r="AG8">
        <v>24</v>
      </c>
      <c r="AH8">
        <v>36</v>
      </c>
      <c r="AI8">
        <v>140</v>
      </c>
      <c r="AJ8">
        <v>0.22900000000000001</v>
      </c>
      <c r="AK8">
        <v>1.1299999999999999</v>
      </c>
    </row>
    <row r="9" spans="1:37" x14ac:dyDescent="0.25">
      <c r="A9">
        <v>22</v>
      </c>
      <c r="B9" s="38" t="s">
        <v>3408</v>
      </c>
      <c r="C9">
        <v>15</v>
      </c>
      <c r="D9">
        <v>496</v>
      </c>
      <c r="E9">
        <v>40</v>
      </c>
      <c r="F9">
        <v>108</v>
      </c>
      <c r="G9">
        <v>26</v>
      </c>
      <c r="H9">
        <v>2</v>
      </c>
      <c r="I9">
        <v>9</v>
      </c>
      <c r="J9">
        <v>39</v>
      </c>
      <c r="K9">
        <v>165</v>
      </c>
      <c r="L9">
        <v>40</v>
      </c>
      <c r="M9">
        <v>160</v>
      </c>
      <c r="N9">
        <v>8</v>
      </c>
      <c r="O9">
        <v>0.218</v>
      </c>
      <c r="P9">
        <v>0.28299999999999997</v>
      </c>
      <c r="Q9">
        <v>0.33300000000000002</v>
      </c>
      <c r="R9">
        <v>0.61499999999999999</v>
      </c>
      <c r="T9">
        <v>29</v>
      </c>
      <c r="U9" s="38" t="s">
        <v>3400</v>
      </c>
      <c r="V9">
        <v>16</v>
      </c>
      <c r="W9">
        <v>13</v>
      </c>
      <c r="X9">
        <v>3</v>
      </c>
      <c r="Y9">
        <v>2.68</v>
      </c>
      <c r="Z9">
        <v>8</v>
      </c>
      <c r="AA9">
        <v>1</v>
      </c>
      <c r="AB9">
        <v>6</v>
      </c>
      <c r="AC9">
        <v>6</v>
      </c>
      <c r="AD9">
        <v>141</v>
      </c>
      <c r="AE9">
        <v>90</v>
      </c>
      <c r="AF9">
        <v>42</v>
      </c>
      <c r="AG9">
        <v>11</v>
      </c>
      <c r="AH9">
        <v>57</v>
      </c>
      <c r="AI9">
        <v>139</v>
      </c>
      <c r="AJ9">
        <v>0.18099999999999999</v>
      </c>
      <c r="AK9">
        <v>1.04</v>
      </c>
    </row>
    <row r="10" spans="1:37" x14ac:dyDescent="0.25">
      <c r="A10">
        <v>11</v>
      </c>
      <c r="B10" s="38" t="s">
        <v>3409</v>
      </c>
      <c r="C10">
        <v>16</v>
      </c>
      <c r="D10">
        <v>539</v>
      </c>
      <c r="E10">
        <v>81</v>
      </c>
      <c r="F10">
        <v>127</v>
      </c>
      <c r="G10">
        <v>22</v>
      </c>
      <c r="H10">
        <v>2</v>
      </c>
      <c r="I10">
        <v>17</v>
      </c>
      <c r="J10">
        <v>72</v>
      </c>
      <c r="K10">
        <v>204</v>
      </c>
      <c r="L10">
        <v>53</v>
      </c>
      <c r="M10">
        <v>138</v>
      </c>
      <c r="N10">
        <v>17</v>
      </c>
      <c r="O10">
        <v>0.23599999999999999</v>
      </c>
      <c r="P10">
        <v>0.31</v>
      </c>
      <c r="Q10">
        <v>0.378</v>
      </c>
      <c r="R10" t="s">
        <v>3166</v>
      </c>
      <c r="T10">
        <v>30</v>
      </c>
      <c r="U10" s="38" t="s">
        <v>3410</v>
      </c>
      <c r="V10">
        <v>15</v>
      </c>
      <c r="W10">
        <v>10</v>
      </c>
      <c r="X10">
        <v>5</v>
      </c>
      <c r="Y10">
        <v>2.2999999999999998</v>
      </c>
      <c r="Z10">
        <v>5</v>
      </c>
      <c r="AA10">
        <v>0</v>
      </c>
      <c r="AB10">
        <v>3</v>
      </c>
      <c r="AC10">
        <v>3</v>
      </c>
      <c r="AD10">
        <v>133</v>
      </c>
      <c r="AE10">
        <v>105</v>
      </c>
      <c r="AF10">
        <v>34</v>
      </c>
      <c r="AG10">
        <v>7</v>
      </c>
      <c r="AH10">
        <v>54</v>
      </c>
      <c r="AI10">
        <v>138</v>
      </c>
      <c r="AJ10">
        <v>0.216</v>
      </c>
      <c r="AK10">
        <v>1.2</v>
      </c>
    </row>
    <row r="11" spans="1:37" x14ac:dyDescent="0.25">
      <c r="A11">
        <v>6</v>
      </c>
      <c r="B11" s="38" t="s">
        <v>3411</v>
      </c>
      <c r="C11">
        <v>16</v>
      </c>
      <c r="D11">
        <v>516</v>
      </c>
      <c r="E11">
        <v>82</v>
      </c>
      <c r="F11">
        <v>132</v>
      </c>
      <c r="G11">
        <v>36</v>
      </c>
      <c r="H11">
        <v>3</v>
      </c>
      <c r="I11">
        <v>17</v>
      </c>
      <c r="J11">
        <v>80</v>
      </c>
      <c r="K11">
        <v>225</v>
      </c>
      <c r="L11">
        <v>71</v>
      </c>
      <c r="M11">
        <v>104</v>
      </c>
      <c r="N11">
        <v>11</v>
      </c>
      <c r="O11">
        <v>0.25600000000000001</v>
      </c>
      <c r="P11">
        <v>0.34799999999999998</v>
      </c>
      <c r="Q11">
        <v>0.436</v>
      </c>
      <c r="R11">
        <v>0.78400000000000003</v>
      </c>
      <c r="T11">
        <v>27</v>
      </c>
      <c r="U11" s="38" t="s">
        <v>3412</v>
      </c>
      <c r="V11">
        <v>16</v>
      </c>
      <c r="W11">
        <v>8</v>
      </c>
      <c r="X11">
        <v>8</v>
      </c>
      <c r="Y11">
        <v>3.14</v>
      </c>
      <c r="Z11">
        <v>6</v>
      </c>
      <c r="AA11">
        <v>0</v>
      </c>
      <c r="AB11">
        <v>0</v>
      </c>
      <c r="AC11">
        <v>7</v>
      </c>
      <c r="AD11">
        <v>143.1</v>
      </c>
      <c r="AE11">
        <v>120</v>
      </c>
      <c r="AF11">
        <v>50</v>
      </c>
      <c r="AG11">
        <v>13</v>
      </c>
      <c r="AH11">
        <v>52</v>
      </c>
      <c r="AI11">
        <v>138</v>
      </c>
      <c r="AJ11">
        <v>0.22900000000000001</v>
      </c>
      <c r="AK11">
        <v>1.2</v>
      </c>
    </row>
    <row r="12" spans="1:37" x14ac:dyDescent="0.25">
      <c r="A12">
        <v>24</v>
      </c>
      <c r="B12" s="38" t="s">
        <v>3413</v>
      </c>
      <c r="C12">
        <v>16</v>
      </c>
      <c r="D12">
        <v>510</v>
      </c>
      <c r="E12">
        <v>61</v>
      </c>
      <c r="F12">
        <v>107</v>
      </c>
      <c r="G12">
        <v>15</v>
      </c>
      <c r="H12">
        <v>2</v>
      </c>
      <c r="I12">
        <v>19</v>
      </c>
      <c r="J12">
        <v>56</v>
      </c>
      <c r="K12">
        <v>183</v>
      </c>
      <c r="L12">
        <v>64</v>
      </c>
      <c r="M12">
        <v>138</v>
      </c>
      <c r="N12">
        <v>23</v>
      </c>
      <c r="O12">
        <v>0.21</v>
      </c>
      <c r="P12">
        <v>0.308</v>
      </c>
      <c r="Q12">
        <v>0.35899999999999999</v>
      </c>
      <c r="R12">
        <v>0.66700000000000004</v>
      </c>
      <c r="T12">
        <v>10</v>
      </c>
      <c r="U12" s="38" t="s">
        <v>3414</v>
      </c>
      <c r="V12">
        <v>16</v>
      </c>
      <c r="W12">
        <v>5</v>
      </c>
      <c r="X12">
        <v>11</v>
      </c>
      <c r="Y12">
        <v>4.4000000000000004</v>
      </c>
      <c r="Z12">
        <v>3</v>
      </c>
      <c r="AA12">
        <v>0</v>
      </c>
      <c r="AB12">
        <v>0</v>
      </c>
      <c r="AC12">
        <v>5</v>
      </c>
      <c r="AD12">
        <v>145.1</v>
      </c>
      <c r="AE12">
        <v>130</v>
      </c>
      <c r="AF12">
        <v>71</v>
      </c>
      <c r="AG12">
        <v>10</v>
      </c>
      <c r="AH12">
        <v>59</v>
      </c>
      <c r="AI12">
        <v>137</v>
      </c>
      <c r="AJ12">
        <v>0.23799999999999999</v>
      </c>
      <c r="AK12">
        <v>1.3</v>
      </c>
    </row>
    <row r="13" spans="1:37" x14ac:dyDescent="0.25">
      <c r="A13">
        <v>25</v>
      </c>
      <c r="B13" s="38" t="s">
        <v>3410</v>
      </c>
      <c r="C13">
        <v>15</v>
      </c>
      <c r="D13">
        <v>489</v>
      </c>
      <c r="E13">
        <v>61</v>
      </c>
      <c r="F13">
        <v>105</v>
      </c>
      <c r="G13">
        <v>30</v>
      </c>
      <c r="H13">
        <v>4</v>
      </c>
      <c r="I13">
        <v>12</v>
      </c>
      <c r="J13">
        <v>58</v>
      </c>
      <c r="K13">
        <v>179</v>
      </c>
      <c r="L13">
        <v>56</v>
      </c>
      <c r="M13">
        <v>110</v>
      </c>
      <c r="N13">
        <v>9</v>
      </c>
      <c r="O13">
        <v>0.215</v>
      </c>
      <c r="P13">
        <v>0.30199999999999999</v>
      </c>
      <c r="Q13">
        <v>0.36599999999999999</v>
      </c>
      <c r="R13">
        <v>0.66800000000000004</v>
      </c>
      <c r="T13">
        <v>13</v>
      </c>
      <c r="U13" s="38" t="s">
        <v>3415</v>
      </c>
      <c r="V13">
        <v>18</v>
      </c>
      <c r="W13">
        <v>11</v>
      </c>
      <c r="X13">
        <v>7</v>
      </c>
      <c r="Y13">
        <v>4.0199999999999996</v>
      </c>
      <c r="Z13">
        <v>5</v>
      </c>
      <c r="AA13">
        <v>0</v>
      </c>
      <c r="AB13">
        <v>2</v>
      </c>
      <c r="AC13">
        <v>8</v>
      </c>
      <c r="AD13">
        <v>159</v>
      </c>
      <c r="AE13">
        <v>155</v>
      </c>
      <c r="AF13">
        <v>71</v>
      </c>
      <c r="AG13">
        <v>19</v>
      </c>
      <c r="AH13">
        <v>59</v>
      </c>
      <c r="AI13">
        <v>137</v>
      </c>
      <c r="AJ13">
        <v>0.255</v>
      </c>
      <c r="AK13">
        <v>1.35</v>
      </c>
    </row>
    <row r="14" spans="1:37" x14ac:dyDescent="0.25">
      <c r="A14">
        <v>5</v>
      </c>
      <c r="B14" s="38" t="s">
        <v>3405</v>
      </c>
      <c r="C14">
        <v>16</v>
      </c>
      <c r="D14">
        <v>543</v>
      </c>
      <c r="E14">
        <v>63</v>
      </c>
      <c r="F14">
        <v>145</v>
      </c>
      <c r="G14">
        <v>29</v>
      </c>
      <c r="H14">
        <v>1</v>
      </c>
      <c r="I14">
        <v>8</v>
      </c>
      <c r="J14">
        <v>58</v>
      </c>
      <c r="K14">
        <v>200</v>
      </c>
      <c r="L14">
        <v>56</v>
      </c>
      <c r="M14">
        <v>113</v>
      </c>
      <c r="N14">
        <v>10</v>
      </c>
      <c r="O14">
        <v>0.26700000000000002</v>
      </c>
      <c r="P14">
        <v>0.34100000000000003</v>
      </c>
      <c r="Q14">
        <v>0.36799999999999999</v>
      </c>
      <c r="R14">
        <v>0.71</v>
      </c>
      <c r="T14">
        <v>11</v>
      </c>
      <c r="U14" s="38" t="s">
        <v>3411</v>
      </c>
      <c r="V14">
        <v>16</v>
      </c>
      <c r="W14">
        <v>9</v>
      </c>
      <c r="X14">
        <v>7</v>
      </c>
      <c r="Y14">
        <v>4.34</v>
      </c>
      <c r="Z14">
        <v>5</v>
      </c>
      <c r="AA14">
        <v>0</v>
      </c>
      <c r="AB14">
        <v>1</v>
      </c>
      <c r="AC14">
        <v>7</v>
      </c>
      <c r="AD14">
        <v>141</v>
      </c>
      <c r="AE14">
        <v>115</v>
      </c>
      <c r="AF14">
        <v>68</v>
      </c>
      <c r="AG14">
        <v>19</v>
      </c>
      <c r="AH14">
        <v>48</v>
      </c>
      <c r="AI14">
        <v>136</v>
      </c>
      <c r="AJ14">
        <v>0.219</v>
      </c>
      <c r="AK14">
        <v>1.1599999999999999</v>
      </c>
    </row>
    <row r="15" spans="1:37" x14ac:dyDescent="0.25">
      <c r="A15">
        <v>13</v>
      </c>
      <c r="B15" s="38" t="s">
        <v>3399</v>
      </c>
      <c r="C15">
        <v>17</v>
      </c>
      <c r="D15">
        <v>551</v>
      </c>
      <c r="E15">
        <v>74</v>
      </c>
      <c r="F15">
        <v>124</v>
      </c>
      <c r="G15">
        <v>18</v>
      </c>
      <c r="H15">
        <v>2</v>
      </c>
      <c r="I15">
        <v>29</v>
      </c>
      <c r="J15">
        <v>72</v>
      </c>
      <c r="K15">
        <v>233</v>
      </c>
      <c r="L15">
        <v>57</v>
      </c>
      <c r="M15">
        <v>151</v>
      </c>
      <c r="N15">
        <v>9</v>
      </c>
      <c r="O15">
        <v>0.22500000000000001</v>
      </c>
      <c r="P15">
        <v>0.30399999999999999</v>
      </c>
      <c r="Q15">
        <v>0.42299999999999999</v>
      </c>
      <c r="R15">
        <v>0.72699999999999998</v>
      </c>
      <c r="T15">
        <v>22</v>
      </c>
      <c r="U15" s="38" t="s">
        <v>3413</v>
      </c>
      <c r="V15">
        <v>16</v>
      </c>
      <c r="W15">
        <v>8</v>
      </c>
      <c r="X15">
        <v>8</v>
      </c>
      <c r="Y15">
        <v>3.54</v>
      </c>
      <c r="Z15">
        <v>6</v>
      </c>
      <c r="AA15">
        <v>0</v>
      </c>
      <c r="AB15">
        <v>0</v>
      </c>
      <c r="AC15">
        <v>4</v>
      </c>
      <c r="AD15">
        <v>147.1</v>
      </c>
      <c r="AE15">
        <v>135</v>
      </c>
      <c r="AF15">
        <v>58</v>
      </c>
      <c r="AG15">
        <v>15</v>
      </c>
      <c r="AH15">
        <v>54</v>
      </c>
      <c r="AI15">
        <v>135</v>
      </c>
      <c r="AJ15">
        <v>0.24</v>
      </c>
      <c r="AK15">
        <v>1.28</v>
      </c>
    </row>
    <row r="16" spans="1:37" x14ac:dyDescent="0.25">
      <c r="A16">
        <v>9</v>
      </c>
      <c r="B16" s="38" t="s">
        <v>3416</v>
      </c>
      <c r="C16">
        <v>15</v>
      </c>
      <c r="D16">
        <v>510</v>
      </c>
      <c r="E16">
        <v>65</v>
      </c>
      <c r="F16">
        <v>129</v>
      </c>
      <c r="G16">
        <v>25</v>
      </c>
      <c r="H16">
        <v>2</v>
      </c>
      <c r="I16">
        <v>11</v>
      </c>
      <c r="J16">
        <v>61</v>
      </c>
      <c r="K16">
        <v>191</v>
      </c>
      <c r="L16">
        <v>54</v>
      </c>
      <c r="M16">
        <v>138</v>
      </c>
      <c r="N16">
        <v>13</v>
      </c>
      <c r="O16">
        <v>0.253</v>
      </c>
      <c r="P16">
        <v>0.32800000000000001</v>
      </c>
      <c r="Q16">
        <v>0.375</v>
      </c>
      <c r="R16">
        <v>0.70299999999999996</v>
      </c>
      <c r="T16">
        <v>17</v>
      </c>
      <c r="U16" s="38" t="s">
        <v>3402</v>
      </c>
      <c r="V16">
        <v>17</v>
      </c>
      <c r="W16">
        <v>8</v>
      </c>
      <c r="X16">
        <v>9</v>
      </c>
      <c r="Y16">
        <v>3.75</v>
      </c>
      <c r="Z16">
        <v>5</v>
      </c>
      <c r="AA16">
        <v>0</v>
      </c>
      <c r="AB16">
        <v>1</v>
      </c>
      <c r="AC16">
        <v>6</v>
      </c>
      <c r="AD16">
        <v>151.1</v>
      </c>
      <c r="AE16">
        <v>149</v>
      </c>
      <c r="AF16">
        <v>63</v>
      </c>
      <c r="AG16">
        <v>11</v>
      </c>
      <c r="AH16">
        <v>48</v>
      </c>
      <c r="AI16">
        <v>134</v>
      </c>
      <c r="AJ16">
        <v>0.25900000000000001</v>
      </c>
      <c r="AK16">
        <v>1.3</v>
      </c>
    </row>
    <row r="17" spans="1:37" x14ac:dyDescent="0.25">
      <c r="A17">
        <v>2</v>
      </c>
      <c r="B17" s="38" t="s">
        <v>3417</v>
      </c>
      <c r="C17">
        <v>15</v>
      </c>
      <c r="D17">
        <v>543</v>
      </c>
      <c r="E17">
        <v>82</v>
      </c>
      <c r="F17">
        <v>152</v>
      </c>
      <c r="G17">
        <v>28</v>
      </c>
      <c r="H17">
        <v>1</v>
      </c>
      <c r="I17">
        <v>18</v>
      </c>
      <c r="J17">
        <v>78</v>
      </c>
      <c r="K17">
        <v>236</v>
      </c>
      <c r="L17">
        <v>55</v>
      </c>
      <c r="M17">
        <v>125</v>
      </c>
      <c r="N17">
        <v>10</v>
      </c>
      <c r="O17">
        <v>0.28000000000000003</v>
      </c>
      <c r="P17">
        <v>0.35</v>
      </c>
      <c r="Q17">
        <v>0.435</v>
      </c>
      <c r="R17">
        <v>0.78400000000000003</v>
      </c>
      <c r="T17">
        <v>26</v>
      </c>
      <c r="U17" s="38" t="s">
        <v>3406</v>
      </c>
      <c r="V17">
        <v>15</v>
      </c>
      <c r="W17">
        <v>11</v>
      </c>
      <c r="X17">
        <v>4</v>
      </c>
      <c r="Y17">
        <v>3.2</v>
      </c>
      <c r="Z17">
        <v>6</v>
      </c>
      <c r="AA17">
        <v>0</v>
      </c>
      <c r="AB17">
        <v>0</v>
      </c>
      <c r="AC17">
        <v>5</v>
      </c>
      <c r="AD17">
        <v>132</v>
      </c>
      <c r="AE17">
        <v>109</v>
      </c>
      <c r="AF17">
        <v>47</v>
      </c>
      <c r="AG17">
        <v>12</v>
      </c>
      <c r="AH17">
        <v>52</v>
      </c>
      <c r="AI17">
        <v>133</v>
      </c>
      <c r="AJ17">
        <v>0.224</v>
      </c>
      <c r="AK17">
        <v>1.22</v>
      </c>
    </row>
    <row r="18" spans="1:37" x14ac:dyDescent="0.25">
      <c r="A18">
        <v>28</v>
      </c>
      <c r="B18" s="38" t="s">
        <v>3418</v>
      </c>
      <c r="C18">
        <v>16</v>
      </c>
      <c r="D18">
        <v>506</v>
      </c>
      <c r="E18">
        <v>62</v>
      </c>
      <c r="F18">
        <v>101</v>
      </c>
      <c r="G18">
        <v>19</v>
      </c>
      <c r="H18">
        <v>0</v>
      </c>
      <c r="I18">
        <v>14</v>
      </c>
      <c r="J18">
        <v>59</v>
      </c>
      <c r="K18">
        <v>162</v>
      </c>
      <c r="L18">
        <v>42</v>
      </c>
      <c r="M18">
        <v>137</v>
      </c>
      <c r="N18">
        <v>9</v>
      </c>
      <c r="O18">
        <v>0.2</v>
      </c>
      <c r="P18">
        <v>0.27200000000000002</v>
      </c>
      <c r="Q18">
        <v>0.32</v>
      </c>
      <c r="R18">
        <v>0.59199999999999997</v>
      </c>
      <c r="T18">
        <v>14</v>
      </c>
      <c r="U18" s="38" t="s">
        <v>3419</v>
      </c>
      <c r="V18">
        <v>16</v>
      </c>
      <c r="W18">
        <v>5</v>
      </c>
      <c r="X18">
        <v>11</v>
      </c>
      <c r="Y18">
        <v>3.85</v>
      </c>
      <c r="Z18">
        <v>0</v>
      </c>
      <c r="AA18">
        <v>0</v>
      </c>
      <c r="AB18">
        <v>1</v>
      </c>
      <c r="AC18">
        <v>3</v>
      </c>
      <c r="AD18">
        <v>138</v>
      </c>
      <c r="AE18">
        <v>126</v>
      </c>
      <c r="AF18">
        <v>59</v>
      </c>
      <c r="AG18">
        <v>17</v>
      </c>
      <c r="AH18">
        <v>42</v>
      </c>
      <c r="AI18">
        <v>133</v>
      </c>
      <c r="AJ18">
        <v>0.23899999999999999</v>
      </c>
      <c r="AK18">
        <v>1.22</v>
      </c>
    </row>
    <row r="19" spans="1:37" x14ac:dyDescent="0.25">
      <c r="A19">
        <v>29</v>
      </c>
      <c r="B19" s="38" t="s">
        <v>3414</v>
      </c>
      <c r="C19">
        <v>16</v>
      </c>
      <c r="D19">
        <v>528</v>
      </c>
      <c r="E19">
        <v>50</v>
      </c>
      <c r="F19">
        <v>97</v>
      </c>
      <c r="G19">
        <v>18</v>
      </c>
      <c r="H19">
        <v>4</v>
      </c>
      <c r="I19">
        <v>10</v>
      </c>
      <c r="J19">
        <v>49</v>
      </c>
      <c r="K19">
        <v>153</v>
      </c>
      <c r="L19">
        <v>60</v>
      </c>
      <c r="M19">
        <v>151</v>
      </c>
      <c r="N19">
        <v>22</v>
      </c>
      <c r="O19">
        <v>0.184</v>
      </c>
      <c r="P19">
        <v>0.27300000000000002</v>
      </c>
      <c r="Q19">
        <v>0.28999999999999998</v>
      </c>
      <c r="R19">
        <v>0.56200000000000006</v>
      </c>
      <c r="T19">
        <v>3</v>
      </c>
      <c r="U19" s="38" t="s">
        <v>3409</v>
      </c>
      <c r="V19">
        <v>16</v>
      </c>
      <c r="W19">
        <v>8</v>
      </c>
      <c r="X19">
        <v>8</v>
      </c>
      <c r="Y19">
        <v>4.93</v>
      </c>
      <c r="Z19">
        <v>2</v>
      </c>
      <c r="AA19">
        <v>0</v>
      </c>
      <c r="AB19">
        <v>3</v>
      </c>
      <c r="AC19">
        <v>3</v>
      </c>
      <c r="AD19">
        <v>140.19999999999999</v>
      </c>
      <c r="AE19">
        <v>128</v>
      </c>
      <c r="AF19">
        <v>77</v>
      </c>
      <c r="AG19">
        <v>25</v>
      </c>
      <c r="AH19">
        <v>67</v>
      </c>
      <c r="AI19">
        <v>133</v>
      </c>
      <c r="AJ19">
        <v>0.24199999999999999</v>
      </c>
      <c r="AK19">
        <v>1.39</v>
      </c>
    </row>
    <row r="20" spans="1:37" x14ac:dyDescent="0.25">
      <c r="A20">
        <v>25</v>
      </c>
      <c r="B20" s="38" t="s">
        <v>3420</v>
      </c>
      <c r="C20">
        <v>15</v>
      </c>
      <c r="D20">
        <v>474</v>
      </c>
      <c r="E20">
        <v>59</v>
      </c>
      <c r="F20">
        <v>105</v>
      </c>
      <c r="G20">
        <v>16</v>
      </c>
      <c r="H20">
        <v>1</v>
      </c>
      <c r="I20">
        <v>18</v>
      </c>
      <c r="J20">
        <v>55</v>
      </c>
      <c r="K20">
        <v>177</v>
      </c>
      <c r="L20">
        <v>55</v>
      </c>
      <c r="M20">
        <v>127</v>
      </c>
      <c r="N20">
        <v>6</v>
      </c>
      <c r="O20">
        <v>0.222</v>
      </c>
      <c r="P20">
        <v>0.30599999999999999</v>
      </c>
      <c r="Q20">
        <v>0.373</v>
      </c>
      <c r="R20">
        <v>0.68</v>
      </c>
      <c r="T20">
        <v>9</v>
      </c>
      <c r="U20" s="38" t="s">
        <v>3421</v>
      </c>
      <c r="V20">
        <v>15</v>
      </c>
      <c r="W20">
        <v>4</v>
      </c>
      <c r="X20">
        <v>11</v>
      </c>
      <c r="Y20">
        <v>4.42</v>
      </c>
      <c r="Z20">
        <v>2</v>
      </c>
      <c r="AA20">
        <v>0</v>
      </c>
      <c r="AB20">
        <v>1</v>
      </c>
      <c r="AC20">
        <v>3</v>
      </c>
      <c r="AD20">
        <v>128.1</v>
      </c>
      <c r="AE20">
        <v>127</v>
      </c>
      <c r="AF20">
        <v>63</v>
      </c>
      <c r="AG20">
        <v>21</v>
      </c>
      <c r="AH20">
        <v>53</v>
      </c>
      <c r="AI20">
        <v>132</v>
      </c>
      <c r="AJ20">
        <v>0.26</v>
      </c>
      <c r="AK20">
        <v>1.4</v>
      </c>
    </row>
    <row r="21" spans="1:37" x14ac:dyDescent="0.25">
      <c r="A21">
        <v>16</v>
      </c>
      <c r="B21" s="38" t="s">
        <v>3422</v>
      </c>
      <c r="C21">
        <v>15</v>
      </c>
      <c r="D21">
        <v>493</v>
      </c>
      <c r="E21">
        <v>66</v>
      </c>
      <c r="F21">
        <v>116</v>
      </c>
      <c r="G21">
        <v>19</v>
      </c>
      <c r="H21">
        <v>3</v>
      </c>
      <c r="I21">
        <v>16</v>
      </c>
      <c r="J21">
        <v>59</v>
      </c>
      <c r="K21">
        <v>189</v>
      </c>
      <c r="L21">
        <v>41</v>
      </c>
      <c r="M21">
        <v>122</v>
      </c>
      <c r="N21">
        <v>9</v>
      </c>
      <c r="O21">
        <v>0.23499999999999999</v>
      </c>
      <c r="P21">
        <v>0.30199999999999999</v>
      </c>
      <c r="Q21">
        <v>0.38300000000000001</v>
      </c>
      <c r="R21">
        <v>0.68600000000000005</v>
      </c>
      <c r="T21">
        <v>14</v>
      </c>
      <c r="U21" s="38" t="s">
        <v>3401</v>
      </c>
      <c r="V21">
        <v>16</v>
      </c>
      <c r="W21">
        <v>9</v>
      </c>
      <c r="X21">
        <v>7</v>
      </c>
      <c r="Y21">
        <v>3.85</v>
      </c>
      <c r="Z21">
        <v>6</v>
      </c>
      <c r="AA21">
        <v>1</v>
      </c>
      <c r="AB21">
        <v>2</v>
      </c>
      <c r="AC21">
        <v>3</v>
      </c>
      <c r="AD21">
        <v>138</v>
      </c>
      <c r="AE21">
        <v>119</v>
      </c>
      <c r="AF21">
        <v>59</v>
      </c>
      <c r="AG21">
        <v>14</v>
      </c>
      <c r="AH21">
        <v>42</v>
      </c>
      <c r="AI21">
        <v>129</v>
      </c>
      <c r="AJ21">
        <v>0.22900000000000001</v>
      </c>
      <c r="AK21">
        <v>1.17</v>
      </c>
    </row>
    <row r="22" spans="1:37" x14ac:dyDescent="0.25">
      <c r="A22">
        <v>12</v>
      </c>
      <c r="B22" s="38" t="s">
        <v>3423</v>
      </c>
      <c r="C22">
        <v>15</v>
      </c>
      <c r="D22">
        <v>506</v>
      </c>
      <c r="E22">
        <v>71</v>
      </c>
      <c r="F22">
        <v>126</v>
      </c>
      <c r="G22">
        <v>21</v>
      </c>
      <c r="H22">
        <v>5</v>
      </c>
      <c r="I22">
        <v>18</v>
      </c>
      <c r="J22">
        <v>68</v>
      </c>
      <c r="K22">
        <v>211</v>
      </c>
      <c r="L22">
        <v>56</v>
      </c>
      <c r="M22">
        <v>148</v>
      </c>
      <c r="N22">
        <v>5</v>
      </c>
      <c r="O22">
        <v>0.249</v>
      </c>
      <c r="P22">
        <v>0.32900000000000001</v>
      </c>
      <c r="Q22">
        <v>0.41699999999999998</v>
      </c>
      <c r="R22">
        <v>0.746</v>
      </c>
      <c r="T22">
        <v>19</v>
      </c>
      <c r="U22" s="38" t="s">
        <v>3420</v>
      </c>
      <c r="V22">
        <v>15</v>
      </c>
      <c r="W22">
        <v>8</v>
      </c>
      <c r="X22">
        <v>7</v>
      </c>
      <c r="Y22">
        <v>3.6</v>
      </c>
      <c r="Z22">
        <v>2</v>
      </c>
      <c r="AA22">
        <v>0</v>
      </c>
      <c r="AB22">
        <v>2</v>
      </c>
      <c r="AC22">
        <v>1</v>
      </c>
      <c r="AD22">
        <v>130</v>
      </c>
      <c r="AE22">
        <v>121</v>
      </c>
      <c r="AF22">
        <v>52</v>
      </c>
      <c r="AG22">
        <v>16</v>
      </c>
      <c r="AH22">
        <v>54</v>
      </c>
      <c r="AI22">
        <v>124</v>
      </c>
      <c r="AJ22">
        <v>0.247</v>
      </c>
      <c r="AK22">
        <v>1.35</v>
      </c>
    </row>
    <row r="23" spans="1:37" x14ac:dyDescent="0.25">
      <c r="A23">
        <v>1</v>
      </c>
      <c r="B23" s="38" t="s">
        <v>3415</v>
      </c>
      <c r="C23">
        <v>18</v>
      </c>
      <c r="D23">
        <v>629</v>
      </c>
      <c r="E23">
        <v>116</v>
      </c>
      <c r="F23">
        <v>161</v>
      </c>
      <c r="G23">
        <v>32</v>
      </c>
      <c r="H23">
        <v>4</v>
      </c>
      <c r="I23">
        <v>25</v>
      </c>
      <c r="J23">
        <v>113</v>
      </c>
      <c r="K23">
        <v>276</v>
      </c>
      <c r="L23">
        <v>83</v>
      </c>
      <c r="M23">
        <v>145</v>
      </c>
      <c r="N23">
        <v>26</v>
      </c>
      <c r="O23">
        <v>0.25600000000000001</v>
      </c>
      <c r="P23">
        <v>0.34799999999999998</v>
      </c>
      <c r="Q23">
        <v>0.439</v>
      </c>
      <c r="R23">
        <v>0.78600000000000003</v>
      </c>
      <c r="T23">
        <v>28</v>
      </c>
      <c r="U23" s="38" t="s">
        <v>3418</v>
      </c>
      <c r="V23">
        <v>16</v>
      </c>
      <c r="W23">
        <v>8</v>
      </c>
      <c r="X23">
        <v>8</v>
      </c>
      <c r="Y23">
        <v>2.87</v>
      </c>
      <c r="Z23">
        <v>5</v>
      </c>
      <c r="AA23">
        <v>0</v>
      </c>
      <c r="AB23">
        <v>3</v>
      </c>
      <c r="AC23">
        <v>8</v>
      </c>
      <c r="AD23">
        <v>141.1</v>
      </c>
      <c r="AE23">
        <v>93</v>
      </c>
      <c r="AF23">
        <v>45</v>
      </c>
      <c r="AG23">
        <v>14</v>
      </c>
      <c r="AH23">
        <v>37</v>
      </c>
      <c r="AI23">
        <v>121</v>
      </c>
      <c r="AJ23">
        <v>0.184</v>
      </c>
      <c r="AK23">
        <v>0.92</v>
      </c>
    </row>
    <row r="24" spans="1:37" x14ac:dyDescent="0.25">
      <c r="A24">
        <v>16</v>
      </c>
      <c r="B24" s="38" t="s">
        <v>3424</v>
      </c>
      <c r="C24">
        <v>15</v>
      </c>
      <c r="D24">
        <v>485</v>
      </c>
      <c r="E24">
        <v>70</v>
      </c>
      <c r="F24">
        <v>116</v>
      </c>
      <c r="G24">
        <v>22</v>
      </c>
      <c r="H24">
        <v>2</v>
      </c>
      <c r="I24">
        <v>18</v>
      </c>
      <c r="J24">
        <v>68</v>
      </c>
      <c r="K24">
        <v>196</v>
      </c>
      <c r="L24">
        <v>56</v>
      </c>
      <c r="M24">
        <v>128</v>
      </c>
      <c r="N24">
        <v>17</v>
      </c>
      <c r="O24">
        <v>0.23899999999999999</v>
      </c>
      <c r="P24">
        <v>0.32100000000000001</v>
      </c>
      <c r="Q24">
        <v>0.40400000000000003</v>
      </c>
      <c r="R24">
        <v>0.72499999999999998</v>
      </c>
      <c r="T24">
        <v>21</v>
      </c>
      <c r="U24" s="38" t="s">
        <v>3425</v>
      </c>
      <c r="V24">
        <v>15</v>
      </c>
      <c r="W24">
        <v>4</v>
      </c>
      <c r="X24">
        <v>11</v>
      </c>
      <c r="Y24">
        <v>3.55</v>
      </c>
      <c r="Z24">
        <v>0</v>
      </c>
      <c r="AA24">
        <v>0</v>
      </c>
      <c r="AB24">
        <v>1</v>
      </c>
      <c r="AC24">
        <v>7</v>
      </c>
      <c r="AD24">
        <v>129.1</v>
      </c>
      <c r="AE24">
        <v>105</v>
      </c>
      <c r="AF24">
        <v>51</v>
      </c>
      <c r="AG24">
        <v>14</v>
      </c>
      <c r="AH24">
        <v>60</v>
      </c>
      <c r="AI24">
        <v>121</v>
      </c>
      <c r="AJ24">
        <v>0.22</v>
      </c>
      <c r="AK24">
        <v>1.28</v>
      </c>
    </row>
    <row r="25" spans="1:37" x14ac:dyDescent="0.25">
      <c r="A25">
        <v>19</v>
      </c>
      <c r="B25" s="38" t="s">
        <v>3421</v>
      </c>
      <c r="C25">
        <v>15</v>
      </c>
      <c r="D25">
        <v>498</v>
      </c>
      <c r="E25">
        <v>49</v>
      </c>
      <c r="F25">
        <v>113</v>
      </c>
      <c r="G25">
        <v>20</v>
      </c>
      <c r="H25">
        <v>1</v>
      </c>
      <c r="I25">
        <v>15</v>
      </c>
      <c r="J25">
        <v>46</v>
      </c>
      <c r="K25">
        <v>180</v>
      </c>
      <c r="L25">
        <v>55</v>
      </c>
      <c r="M25">
        <v>146</v>
      </c>
      <c r="N25">
        <v>10</v>
      </c>
      <c r="O25">
        <v>0.22700000000000001</v>
      </c>
      <c r="P25">
        <v>0.30599999999999999</v>
      </c>
      <c r="Q25">
        <v>0.36099999999999999</v>
      </c>
      <c r="R25">
        <v>0.66800000000000004</v>
      </c>
      <c r="T25">
        <v>1</v>
      </c>
      <c r="U25" s="38" t="s">
        <v>3424</v>
      </c>
      <c r="V25">
        <v>15</v>
      </c>
      <c r="W25">
        <v>6</v>
      </c>
      <c r="X25">
        <v>9</v>
      </c>
      <c r="Y25">
        <v>5.15</v>
      </c>
      <c r="Z25">
        <v>5</v>
      </c>
      <c r="AA25">
        <v>0</v>
      </c>
      <c r="AB25">
        <v>0</v>
      </c>
      <c r="AC25">
        <v>5</v>
      </c>
      <c r="AD25">
        <v>131</v>
      </c>
      <c r="AE25">
        <v>144</v>
      </c>
      <c r="AF25">
        <v>75</v>
      </c>
      <c r="AG25">
        <v>17</v>
      </c>
      <c r="AH25">
        <v>62</v>
      </c>
      <c r="AI25">
        <v>119</v>
      </c>
      <c r="AJ25">
        <v>0.27900000000000003</v>
      </c>
      <c r="AK25">
        <v>1.57</v>
      </c>
    </row>
    <row r="26" spans="1:37" x14ac:dyDescent="0.25">
      <c r="A26">
        <v>20</v>
      </c>
      <c r="B26" s="38" t="s">
        <v>3419</v>
      </c>
      <c r="C26">
        <v>16</v>
      </c>
      <c r="D26">
        <v>528</v>
      </c>
      <c r="E26">
        <v>55</v>
      </c>
      <c r="F26">
        <v>110</v>
      </c>
      <c r="G26">
        <v>29</v>
      </c>
      <c r="H26">
        <v>1</v>
      </c>
      <c r="I26">
        <v>12</v>
      </c>
      <c r="J26">
        <v>53</v>
      </c>
      <c r="K26">
        <v>177</v>
      </c>
      <c r="L26">
        <v>41</v>
      </c>
      <c r="M26">
        <v>126</v>
      </c>
      <c r="N26">
        <v>7</v>
      </c>
      <c r="O26">
        <v>0.20799999999999999</v>
      </c>
      <c r="P26">
        <v>0.27800000000000002</v>
      </c>
      <c r="Q26">
        <v>0.33500000000000002</v>
      </c>
      <c r="R26">
        <v>0.61299999999999999</v>
      </c>
      <c r="T26">
        <v>20</v>
      </c>
      <c r="U26" s="38" t="s">
        <v>3423</v>
      </c>
      <c r="V26">
        <v>15</v>
      </c>
      <c r="W26">
        <v>9</v>
      </c>
      <c r="X26">
        <v>6</v>
      </c>
      <c r="Y26">
        <v>3.56</v>
      </c>
      <c r="Z26">
        <v>4</v>
      </c>
      <c r="AA26">
        <v>0</v>
      </c>
      <c r="AB26">
        <v>2</v>
      </c>
      <c r="AC26">
        <v>4</v>
      </c>
      <c r="AD26">
        <v>131.1</v>
      </c>
      <c r="AE26">
        <v>101</v>
      </c>
      <c r="AF26">
        <v>52</v>
      </c>
      <c r="AG26">
        <v>17</v>
      </c>
      <c r="AH26">
        <v>45</v>
      </c>
      <c r="AI26">
        <v>117</v>
      </c>
      <c r="AJ26">
        <v>0.21</v>
      </c>
      <c r="AK26">
        <v>1.1100000000000001</v>
      </c>
    </row>
    <row r="27" spans="1:37" x14ac:dyDescent="0.25">
      <c r="A27">
        <v>15</v>
      </c>
      <c r="B27" s="38" t="s">
        <v>3403</v>
      </c>
      <c r="C27">
        <v>15</v>
      </c>
      <c r="D27">
        <v>498</v>
      </c>
      <c r="E27">
        <v>60</v>
      </c>
      <c r="F27">
        <v>118</v>
      </c>
      <c r="G27">
        <v>21</v>
      </c>
      <c r="H27">
        <v>2</v>
      </c>
      <c r="I27">
        <v>14</v>
      </c>
      <c r="J27">
        <v>55</v>
      </c>
      <c r="K27">
        <v>185</v>
      </c>
      <c r="L27">
        <v>65</v>
      </c>
      <c r="M27">
        <v>124</v>
      </c>
      <c r="N27">
        <v>15</v>
      </c>
      <c r="O27">
        <v>0.23699999999999999</v>
      </c>
      <c r="P27">
        <v>0.32700000000000001</v>
      </c>
      <c r="Q27">
        <v>0.371</v>
      </c>
      <c r="R27">
        <v>0.69899999999999995</v>
      </c>
      <c r="T27">
        <v>8</v>
      </c>
      <c r="U27" s="38" t="s">
        <v>3417</v>
      </c>
      <c r="V27">
        <v>15</v>
      </c>
      <c r="W27">
        <v>7</v>
      </c>
      <c r="X27">
        <v>8</v>
      </c>
      <c r="Y27">
        <v>4.4800000000000004</v>
      </c>
      <c r="Z27">
        <v>4</v>
      </c>
      <c r="AA27">
        <v>0</v>
      </c>
      <c r="AB27">
        <v>2</v>
      </c>
      <c r="AC27">
        <v>5</v>
      </c>
      <c r="AD27">
        <v>138.19999999999999</v>
      </c>
      <c r="AE27">
        <v>116</v>
      </c>
      <c r="AF27">
        <v>69</v>
      </c>
      <c r="AG27">
        <v>10</v>
      </c>
      <c r="AH27">
        <v>50</v>
      </c>
      <c r="AI27">
        <v>116</v>
      </c>
      <c r="AJ27">
        <v>0.22600000000000001</v>
      </c>
      <c r="AK27">
        <v>1.2</v>
      </c>
    </row>
    <row r="28" spans="1:37" x14ac:dyDescent="0.25">
      <c r="A28">
        <v>18</v>
      </c>
      <c r="B28" s="38" t="s">
        <v>3412</v>
      </c>
      <c r="C28">
        <v>16</v>
      </c>
      <c r="D28">
        <v>520</v>
      </c>
      <c r="E28">
        <v>52</v>
      </c>
      <c r="F28">
        <v>114</v>
      </c>
      <c r="G28">
        <v>26</v>
      </c>
      <c r="H28">
        <v>1</v>
      </c>
      <c r="I28">
        <v>8</v>
      </c>
      <c r="J28">
        <v>52</v>
      </c>
      <c r="K28">
        <v>166</v>
      </c>
      <c r="L28">
        <v>42</v>
      </c>
      <c r="M28">
        <v>125</v>
      </c>
      <c r="N28">
        <v>12</v>
      </c>
      <c r="O28">
        <v>0.219</v>
      </c>
      <c r="P28">
        <v>0.28599999999999998</v>
      </c>
      <c r="Q28">
        <v>0.31900000000000001</v>
      </c>
      <c r="R28">
        <v>0.60499999999999998</v>
      </c>
      <c r="T28">
        <v>5</v>
      </c>
      <c r="U28" s="38" t="s">
        <v>3404</v>
      </c>
      <c r="V28">
        <v>15</v>
      </c>
      <c r="W28">
        <v>9</v>
      </c>
      <c r="X28">
        <v>6</v>
      </c>
      <c r="Y28">
        <v>4.87</v>
      </c>
      <c r="Z28">
        <v>6</v>
      </c>
      <c r="AA28">
        <v>0</v>
      </c>
      <c r="AB28">
        <v>1</v>
      </c>
      <c r="AC28">
        <v>6</v>
      </c>
      <c r="AD28">
        <v>133</v>
      </c>
      <c r="AE28">
        <v>119</v>
      </c>
      <c r="AF28">
        <v>72</v>
      </c>
      <c r="AG28">
        <v>24</v>
      </c>
      <c r="AH28">
        <v>65</v>
      </c>
      <c r="AI28">
        <v>113</v>
      </c>
      <c r="AJ28">
        <v>0.24199999999999999</v>
      </c>
      <c r="AK28">
        <v>1.38</v>
      </c>
    </row>
    <row r="29" spans="1:37" x14ac:dyDescent="0.25">
      <c r="A29">
        <v>22</v>
      </c>
      <c r="B29" s="38" t="s">
        <v>3397</v>
      </c>
      <c r="C29">
        <v>15</v>
      </c>
      <c r="D29">
        <v>494</v>
      </c>
      <c r="E29">
        <v>60</v>
      </c>
      <c r="F29">
        <v>108</v>
      </c>
      <c r="G29">
        <v>12</v>
      </c>
      <c r="H29">
        <v>1</v>
      </c>
      <c r="I29">
        <v>12</v>
      </c>
      <c r="J29">
        <v>53</v>
      </c>
      <c r="K29">
        <v>158</v>
      </c>
      <c r="L29">
        <v>60</v>
      </c>
      <c r="M29">
        <v>131</v>
      </c>
      <c r="N29">
        <v>16</v>
      </c>
      <c r="O29">
        <v>0.219</v>
      </c>
      <c r="P29">
        <v>0.309</v>
      </c>
      <c r="Q29">
        <v>0.32</v>
      </c>
      <c r="R29">
        <v>0.628</v>
      </c>
      <c r="T29">
        <v>7</v>
      </c>
      <c r="U29" s="38" t="s">
        <v>3422</v>
      </c>
      <c r="V29">
        <v>15</v>
      </c>
      <c r="W29">
        <v>6</v>
      </c>
      <c r="X29">
        <v>9</v>
      </c>
      <c r="Y29">
        <v>4.57</v>
      </c>
      <c r="Z29">
        <v>1</v>
      </c>
      <c r="AA29">
        <v>0</v>
      </c>
      <c r="AB29">
        <v>0</v>
      </c>
      <c r="AC29">
        <v>4</v>
      </c>
      <c r="AD29">
        <v>130</v>
      </c>
      <c r="AE29">
        <v>140</v>
      </c>
      <c r="AF29">
        <v>66</v>
      </c>
      <c r="AG29">
        <v>15</v>
      </c>
      <c r="AH29">
        <v>47</v>
      </c>
      <c r="AI29">
        <v>107</v>
      </c>
      <c r="AJ29">
        <v>0.27900000000000003</v>
      </c>
      <c r="AK29">
        <v>1.44</v>
      </c>
    </row>
    <row r="30" spans="1:37" x14ac:dyDescent="0.25">
      <c r="A30">
        <v>9</v>
      </c>
      <c r="B30" s="38" t="s">
        <v>3407</v>
      </c>
      <c r="C30">
        <v>15</v>
      </c>
      <c r="D30">
        <v>486</v>
      </c>
      <c r="E30">
        <v>61</v>
      </c>
      <c r="F30">
        <v>129</v>
      </c>
      <c r="G30">
        <v>22</v>
      </c>
      <c r="H30">
        <v>3</v>
      </c>
      <c r="I30">
        <v>14</v>
      </c>
      <c r="J30">
        <v>58</v>
      </c>
      <c r="K30">
        <v>199</v>
      </c>
      <c r="L30">
        <v>46</v>
      </c>
      <c r="M30">
        <v>113</v>
      </c>
      <c r="N30">
        <v>22</v>
      </c>
      <c r="O30">
        <v>0.26500000000000001</v>
      </c>
      <c r="P30">
        <v>0.33</v>
      </c>
      <c r="Q30">
        <v>0.40899999999999997</v>
      </c>
      <c r="R30">
        <v>0.73899999999999999</v>
      </c>
      <c r="T30">
        <v>12</v>
      </c>
      <c r="U30" s="38" t="s">
        <v>3416</v>
      </c>
      <c r="V30">
        <v>15</v>
      </c>
      <c r="W30">
        <v>8</v>
      </c>
      <c r="X30">
        <v>7</v>
      </c>
      <c r="Y30">
        <v>4.07</v>
      </c>
      <c r="Z30">
        <v>2</v>
      </c>
      <c r="AA30">
        <v>0</v>
      </c>
      <c r="AB30">
        <v>2</v>
      </c>
      <c r="AC30">
        <v>2</v>
      </c>
      <c r="AD30">
        <v>137</v>
      </c>
      <c r="AE30">
        <v>123</v>
      </c>
      <c r="AF30">
        <v>62</v>
      </c>
      <c r="AG30">
        <v>14</v>
      </c>
      <c r="AH30">
        <v>68</v>
      </c>
      <c r="AI30">
        <v>105</v>
      </c>
      <c r="AJ30">
        <v>0.23799999999999999</v>
      </c>
      <c r="AK30">
        <v>1.39</v>
      </c>
    </row>
    <row r="31" spans="1:37" x14ac:dyDescent="0.25">
      <c r="A31">
        <v>30</v>
      </c>
      <c r="B31" s="38" t="s">
        <v>3425</v>
      </c>
      <c r="C31">
        <v>15</v>
      </c>
      <c r="D31">
        <v>473</v>
      </c>
      <c r="E31">
        <v>50</v>
      </c>
      <c r="F31">
        <v>95</v>
      </c>
      <c r="G31">
        <v>17</v>
      </c>
      <c r="H31">
        <v>0</v>
      </c>
      <c r="I31">
        <v>10</v>
      </c>
      <c r="J31">
        <v>48</v>
      </c>
      <c r="K31">
        <v>142</v>
      </c>
      <c r="L31">
        <v>47</v>
      </c>
      <c r="M31">
        <v>131</v>
      </c>
      <c r="N31">
        <v>12</v>
      </c>
      <c r="O31">
        <v>0.20100000000000001</v>
      </c>
      <c r="P31">
        <v>0.27200000000000002</v>
      </c>
      <c r="Q31">
        <v>0.3</v>
      </c>
      <c r="R31">
        <v>0.57199999999999995</v>
      </c>
      <c r="T31">
        <v>2</v>
      </c>
      <c r="U31" s="38" t="s">
        <v>3408</v>
      </c>
      <c r="V31">
        <v>15</v>
      </c>
      <c r="W31">
        <v>3</v>
      </c>
      <c r="X31">
        <v>12</v>
      </c>
      <c r="Y31">
        <v>5.0199999999999996</v>
      </c>
      <c r="Z31">
        <v>2</v>
      </c>
      <c r="AA31">
        <v>0</v>
      </c>
      <c r="AB31">
        <v>0</v>
      </c>
      <c r="AC31">
        <v>4</v>
      </c>
      <c r="AD31">
        <v>129</v>
      </c>
      <c r="AE31">
        <v>145</v>
      </c>
      <c r="AF31">
        <v>72</v>
      </c>
      <c r="AG31">
        <v>21</v>
      </c>
      <c r="AH31">
        <v>51</v>
      </c>
      <c r="AI31">
        <v>101</v>
      </c>
      <c r="AJ31">
        <v>0.28599999999999998</v>
      </c>
      <c r="AK31">
        <v>1.52</v>
      </c>
    </row>
    <row r="36" spans="2:15" x14ac:dyDescent="0.25">
      <c r="B36" t="s">
        <v>3426</v>
      </c>
      <c r="C36" t="s">
        <v>3427</v>
      </c>
      <c r="D36" t="s">
        <v>3428</v>
      </c>
      <c r="E36" t="s">
        <v>3429</v>
      </c>
      <c r="F36" t="s">
        <v>3430</v>
      </c>
      <c r="G36" t="s">
        <v>3431</v>
      </c>
      <c r="J36" t="s">
        <v>3432</v>
      </c>
      <c r="K36" t="s">
        <v>3433</v>
      </c>
      <c r="L36" t="s">
        <v>3434</v>
      </c>
      <c r="M36" t="s">
        <v>3435</v>
      </c>
      <c r="N36" t="s">
        <v>3436</v>
      </c>
      <c r="O36" t="s">
        <v>3437</v>
      </c>
    </row>
    <row r="37" spans="2:15" x14ac:dyDescent="0.25">
      <c r="B37" s="38" t="s">
        <v>3425</v>
      </c>
      <c r="C37" s="38" t="s">
        <v>3415</v>
      </c>
      <c r="D37" s="38" t="s">
        <v>3425</v>
      </c>
      <c r="E37" s="38" t="s">
        <v>3415</v>
      </c>
      <c r="F37" s="38" t="s">
        <v>3415</v>
      </c>
      <c r="G37" s="38" t="s">
        <v>3408</v>
      </c>
      <c r="J37" s="38" t="s">
        <v>3438</v>
      </c>
      <c r="K37" s="38" t="s">
        <v>3400</v>
      </c>
      <c r="L37" s="38" t="s">
        <v>3398</v>
      </c>
      <c r="M37" s="38" t="s">
        <v>3410</v>
      </c>
      <c r="N37" s="38" t="s">
        <v>3408</v>
      </c>
      <c r="O37" s="38" t="s">
        <v>3397</v>
      </c>
    </row>
    <row r="38" spans="2:15" x14ac:dyDescent="0.25">
      <c r="B38" s="38" t="s">
        <v>3420</v>
      </c>
      <c r="C38" s="38" t="s">
        <v>3396</v>
      </c>
      <c r="D38" s="38" t="s">
        <v>3414</v>
      </c>
      <c r="E38" s="38" t="s">
        <v>3417</v>
      </c>
      <c r="F38" s="38" t="s">
        <v>3396</v>
      </c>
      <c r="G38" s="38" t="s">
        <v>3421</v>
      </c>
      <c r="J38" s="38" t="s">
        <v>3398</v>
      </c>
      <c r="K38" s="38" t="s">
        <v>3418</v>
      </c>
      <c r="L38" s="38" t="s">
        <v>3409</v>
      </c>
      <c r="M38" s="38" t="s">
        <v>3400</v>
      </c>
      <c r="N38" s="38" t="s">
        <v>3416</v>
      </c>
      <c r="O38" s="38" t="s">
        <v>3399</v>
      </c>
    </row>
    <row r="39" spans="2:15" x14ac:dyDescent="0.25">
      <c r="B39" s="38" t="s">
        <v>3424</v>
      </c>
      <c r="C39" s="38" t="s">
        <v>3411</v>
      </c>
      <c r="D39" s="38" t="s">
        <v>3418</v>
      </c>
      <c r="E39" s="38" t="s">
        <v>3402</v>
      </c>
      <c r="F39" s="38" t="s">
        <v>3411</v>
      </c>
      <c r="G39" s="38" t="s">
        <v>3425</v>
      </c>
      <c r="J39" s="38" t="s">
        <v>3402</v>
      </c>
      <c r="K39" s="38" t="s">
        <v>3397</v>
      </c>
      <c r="L39" s="38" t="s">
        <v>3424</v>
      </c>
      <c r="M39" s="38" t="s">
        <v>3418</v>
      </c>
      <c r="N39" s="38" t="s">
        <v>3422</v>
      </c>
      <c r="O39" s="38" t="s">
        <v>3396</v>
      </c>
    </row>
    <row r="40" spans="2:15" x14ac:dyDescent="0.25">
      <c r="B40" s="38" t="s">
        <v>3407</v>
      </c>
      <c r="C40" s="38" t="s">
        <v>3417</v>
      </c>
      <c r="D40" s="38" t="s">
        <v>3410</v>
      </c>
      <c r="E40" s="38" t="s">
        <v>3400</v>
      </c>
      <c r="F40" s="38" t="s">
        <v>3417</v>
      </c>
      <c r="G40" s="38" t="s">
        <v>3414</v>
      </c>
      <c r="J40" s="38" t="s">
        <v>3408</v>
      </c>
      <c r="K40" s="38" t="s">
        <v>3396</v>
      </c>
      <c r="L40" s="38" t="s">
        <v>3404</v>
      </c>
      <c r="M40" s="38" t="s">
        <v>3406</v>
      </c>
      <c r="N40" s="38" t="s">
        <v>3404</v>
      </c>
      <c r="O40" s="38" t="s">
        <v>3398</v>
      </c>
    </row>
    <row r="41" spans="2:15" x14ac:dyDescent="0.25">
      <c r="B41" s="38" t="s">
        <v>3410</v>
      </c>
      <c r="C41" s="38" t="s">
        <v>3409</v>
      </c>
      <c r="D41" s="38" t="s">
        <v>3420</v>
      </c>
      <c r="E41" s="38" t="s">
        <v>3405</v>
      </c>
      <c r="F41" s="38" t="s">
        <v>3404</v>
      </c>
      <c r="G41" s="38" t="s">
        <v>3401</v>
      </c>
      <c r="J41" s="38" t="s">
        <v>3424</v>
      </c>
      <c r="K41" s="38" t="s">
        <v>3423</v>
      </c>
      <c r="L41" s="38" t="s">
        <v>3408</v>
      </c>
      <c r="M41" s="38" t="s">
        <v>3412</v>
      </c>
      <c r="N41" s="38" t="s">
        <v>3417</v>
      </c>
      <c r="O41" s="38" t="s">
        <v>3403</v>
      </c>
    </row>
    <row r="43" spans="2:15" x14ac:dyDescent="0.25">
      <c r="B43" s="5" t="s">
        <v>3439</v>
      </c>
    </row>
    <row r="44" spans="2:15" x14ac:dyDescent="0.25">
      <c r="B44" t="s">
        <v>3440</v>
      </c>
      <c r="C44" s="38" t="s">
        <v>3441</v>
      </c>
      <c r="D44" s="123">
        <v>0.77777777777777779</v>
      </c>
      <c r="G44" s="38"/>
    </row>
    <row r="45" spans="2:15" x14ac:dyDescent="0.25">
      <c r="B45" t="s">
        <v>3442</v>
      </c>
      <c r="C45" s="38" t="s">
        <v>3443</v>
      </c>
      <c r="D45" s="123">
        <v>0.78125</v>
      </c>
      <c r="G45" s="38"/>
    </row>
    <row r="46" spans="2:15" x14ac:dyDescent="0.25">
      <c r="B46" t="s">
        <v>3444</v>
      </c>
      <c r="C46" s="38" t="s">
        <v>3445</v>
      </c>
      <c r="D46" s="123">
        <v>0.79513888888888884</v>
      </c>
      <c r="G46" s="38"/>
    </row>
    <row r="47" spans="2:15" x14ac:dyDescent="0.25">
      <c r="B47" t="s">
        <v>3446</v>
      </c>
      <c r="C47" s="38" t="s">
        <v>3447</v>
      </c>
      <c r="D47" s="123">
        <v>0.79513888888888884</v>
      </c>
      <c r="G47" s="38"/>
    </row>
    <row r="48" spans="2:15" x14ac:dyDescent="0.25">
      <c r="B48" t="s">
        <v>3448</v>
      </c>
      <c r="C48" s="38" t="s">
        <v>3449</v>
      </c>
      <c r="D48" s="123">
        <v>0.79652777777777772</v>
      </c>
      <c r="G48" s="38"/>
    </row>
    <row r="49" spans="2:7" x14ac:dyDescent="0.25">
      <c r="B49" t="s">
        <v>3450</v>
      </c>
      <c r="C49" s="38" t="s">
        <v>3451</v>
      </c>
      <c r="D49" s="123">
        <v>0.81944444444444442</v>
      </c>
      <c r="G49" s="38"/>
    </row>
    <row r="50" spans="2:7" x14ac:dyDescent="0.25">
      <c r="B50" t="s">
        <v>3452</v>
      </c>
      <c r="C50" s="38" t="s">
        <v>3453</v>
      </c>
      <c r="D50" s="123">
        <v>0.81944444444444442</v>
      </c>
      <c r="G50" s="38"/>
    </row>
    <row r="51" spans="2:7" x14ac:dyDescent="0.25">
      <c r="B51" t="s">
        <v>3323</v>
      </c>
      <c r="C51" s="38" t="s">
        <v>3454</v>
      </c>
      <c r="D51" s="123">
        <v>0.82291666666666663</v>
      </c>
      <c r="G51" s="38"/>
    </row>
    <row r="52" spans="2:7" x14ac:dyDescent="0.25">
      <c r="B52" t="s">
        <v>3455</v>
      </c>
      <c r="C52" s="38" t="s">
        <v>3456</v>
      </c>
      <c r="D52" s="123">
        <v>0.90277777777777779</v>
      </c>
      <c r="G52" s="38"/>
    </row>
    <row r="58" spans="2:7" x14ac:dyDescent="0.25">
      <c r="C58" t="s">
        <v>382</v>
      </c>
    </row>
  </sheetData>
  <autoFilter ref="A1:AK1" xr:uid="{04ED6BE0-5C06-4083-8B03-043E06369619}">
    <sortState xmlns:xlrd2="http://schemas.microsoft.com/office/spreadsheetml/2017/richdata2" ref="A2:AK31">
      <sortCondition descending="1" ref="AI1"/>
    </sortState>
  </autoFilter>
  <conditionalFormatting sqref="B37:B41 D37:D41 F37:F41 J37:J41 L37:L41 N37:N41 B44:C53">
    <cfRule type="duplicateValues" dxfId="1" priority="243"/>
  </conditionalFormatting>
  <conditionalFormatting sqref="B44:B53 B37:B41 D37:D41 F37:F41 J37:J41 L37:L41 N37:N41">
    <cfRule type="duplicateValues" dxfId="0" priority="235"/>
  </conditionalFormatting>
  <hyperlinks>
    <hyperlink ref="B23" r:id="rId1" xr:uid="{D5921BBB-8956-4324-A3EB-E3EDC264A02E}"/>
    <hyperlink ref="B17" r:id="rId2" xr:uid="{1710B78C-3680-4A82-B324-CAA4F7A4A20B}"/>
    <hyperlink ref="B6" r:id="rId3" xr:uid="{92994CBE-9A31-401A-9CFE-B97CF6065EAB}"/>
    <hyperlink ref="B4" r:id="rId4" xr:uid="{4481D8B5-E1DE-4B5B-9C57-46D1269F18B4}"/>
    <hyperlink ref="B14" r:id="rId5" xr:uid="{6A574A3B-58E8-4B9D-8E72-3AEC4A0C8653}"/>
    <hyperlink ref="B11" r:id="rId6" xr:uid="{44A1B07E-1309-4457-90D6-593ECE69B7D9}"/>
    <hyperlink ref="B2" r:id="rId7" xr:uid="{D296B797-9E11-45B9-8236-85BE063EFE5E}"/>
    <hyperlink ref="B3" r:id="rId8" xr:uid="{D8F32D06-1C95-4CAD-93BA-522A94816201}"/>
    <hyperlink ref="B16" r:id="rId9" xr:uid="{4CF4E2B5-F221-4529-9632-FB1671206DAB}"/>
    <hyperlink ref="B30" r:id="rId10" xr:uid="{856B00D8-7190-4769-B797-7E46C40969AE}"/>
    <hyperlink ref="B10" r:id="rId11" xr:uid="{BD35D845-3D2D-4C0A-BB89-26DC2C9012B5}"/>
    <hyperlink ref="B22" r:id="rId12" xr:uid="{5E994694-840F-489D-B0A3-76B5FEAEDF30}"/>
    <hyperlink ref="B15" r:id="rId13" xr:uid="{A134BCD1-0A9D-4F98-B2CA-7911883D0FC2}"/>
    <hyperlink ref="B7" r:id="rId14" xr:uid="{D82FC0B7-AEAA-4B0E-BF81-15E93B0A4056}"/>
    <hyperlink ref="B27" r:id="rId15" xr:uid="{0D123D82-9362-4E77-BB16-596F356C5841}"/>
    <hyperlink ref="B21" r:id="rId16" xr:uid="{606146F3-7C9A-4728-9687-B8C315951D4F}"/>
    <hyperlink ref="B24" r:id="rId17" xr:uid="{92310B7B-13FF-4B3B-BC55-E77363B84A36}"/>
    <hyperlink ref="B28" r:id="rId18" xr:uid="{22FA566D-1AFE-487E-8525-0C863AE622E0}"/>
    <hyperlink ref="B25" r:id="rId19" xr:uid="{7A9E0AB2-C604-4CC9-AA47-C3A72C2F5E36}"/>
    <hyperlink ref="B26" r:id="rId20" xr:uid="{EE499834-9F3F-486D-8833-BAC23AAE7053}"/>
    <hyperlink ref="B8" r:id="rId21" xr:uid="{6BC615B4-09DD-4DF9-A469-BEE43E48F56E}"/>
    <hyperlink ref="B29" r:id="rId22" xr:uid="{52EFB587-B645-48FE-84C3-F55F81BF09FF}"/>
    <hyperlink ref="B9" r:id="rId23" xr:uid="{6EBFDBF3-6EF4-4EDD-9F60-BBA0C5C24949}"/>
    <hyperlink ref="B12" r:id="rId24" xr:uid="{492B7EA3-3631-4211-AFD5-006D354A77F7}"/>
    <hyperlink ref="B20" r:id="rId25" xr:uid="{702540F3-EB72-4580-99C8-4BFF9CC8CF50}"/>
    <hyperlink ref="B5" r:id="rId26" xr:uid="{1D9587A9-F7C8-45CC-9FD8-18F0875E696C}"/>
    <hyperlink ref="B13" r:id="rId27" xr:uid="{49677ABB-03AC-413C-9FCB-989F03E94F53}"/>
    <hyperlink ref="B18" r:id="rId28" xr:uid="{F578C578-2EDD-451F-992A-129126A4B041}"/>
    <hyperlink ref="B19" r:id="rId29" xr:uid="{8DAE2C6F-64FF-49E7-817D-7A63C8DC9029}"/>
    <hyperlink ref="B31" r:id="rId30" xr:uid="{615B7873-0AE5-4DA1-AB78-B67E3C02A28B}"/>
    <hyperlink ref="C1" r:id="rId31" xr:uid="{76970B43-CDA2-4113-8E7F-2011D9370254}"/>
    <hyperlink ref="D1" r:id="rId32" xr:uid="{5B63B06E-C70E-4207-8053-C22D0EB0F6E1}"/>
    <hyperlink ref="E1" r:id="rId33" xr:uid="{65791F2D-2846-4385-8BCA-E839158E9DCB}"/>
    <hyperlink ref="F1" r:id="rId34" xr:uid="{1693D8E7-3FFE-4F65-9569-09ED68CCB3D8}"/>
    <hyperlink ref="G1" r:id="rId35" xr:uid="{2534CDB7-0544-4698-87BC-E4927D8BDAFB}"/>
    <hyperlink ref="H1" r:id="rId36" xr:uid="{9F96CC5F-1F9C-48CA-B37A-56265289FF80}"/>
    <hyperlink ref="I1" r:id="rId37" xr:uid="{0B8952B6-4514-47B2-9AA4-ED767EE273FE}"/>
    <hyperlink ref="J1" r:id="rId38" xr:uid="{A61BA7A0-25B7-47AE-B80C-8182CBA9D7A4}"/>
    <hyperlink ref="K1" r:id="rId39" xr:uid="{A979B986-C6F6-4800-B578-60D8B815F5D0}"/>
    <hyperlink ref="L1" r:id="rId40" xr:uid="{333D0585-9BF3-43C9-90D3-45623E8D9BB2}"/>
    <hyperlink ref="M1" r:id="rId41" xr:uid="{C4DD327F-5488-47F0-8D6A-F464E463801F}"/>
    <hyperlink ref="N1" r:id="rId42" xr:uid="{06B8956D-CC72-48F9-83FD-61BE869FF8F0}"/>
    <hyperlink ref="O1" r:id="rId43" xr:uid="{98315942-D1F5-4B28-BB37-CEF909C80207}"/>
    <hyperlink ref="P1" r:id="rId44" xr:uid="{3F2A8ABC-7A5F-48FF-9151-1A3D6F2DAB65}"/>
    <hyperlink ref="Q1" r:id="rId45" xr:uid="{C1F50C30-E4B3-41AE-9006-2FD1C8D65D06}"/>
    <hyperlink ref="R1" r:id="rId46" xr:uid="{DFF86A21-7169-4BF4-BC13-671DF8896C41}"/>
    <hyperlink ref="B40" r:id="rId47" xr:uid="{105470B2-5B9A-4E52-8C1D-657FEF9C8130}"/>
    <hyperlink ref="B39" r:id="rId48" xr:uid="{EAA9A53E-497F-4B0E-9A65-AD8E29510A77}"/>
    <hyperlink ref="B38" r:id="rId49" xr:uid="{C43A7159-3F1B-47E5-89AB-1AA1F8B07EB8}"/>
    <hyperlink ref="B41" r:id="rId50" xr:uid="{25852753-63CA-45D1-90FB-28BCDFE93B34}"/>
    <hyperlink ref="B37" r:id="rId51" xr:uid="{D4545AC0-49AE-465C-BD42-02138E99DDC7}"/>
    <hyperlink ref="C37" r:id="rId52" xr:uid="{47297E3B-6A9F-45B7-8FEB-E7516E225BC4}"/>
    <hyperlink ref="C40" r:id="rId53" xr:uid="{615A0164-2577-4B7F-AE78-47D105F70BC8}"/>
    <hyperlink ref="C39" r:id="rId54" xr:uid="{818A5B90-E45E-4D68-99FD-02B7154FC3C1}"/>
    <hyperlink ref="C38" r:id="rId55" xr:uid="{093B0C90-7ED9-468D-9EA2-8A9B4D4E9DE6}"/>
    <hyperlink ref="C41" r:id="rId56" xr:uid="{0FCD94E2-B706-4DDC-948B-3220BE9FE21C}"/>
    <hyperlink ref="E37" r:id="rId57" xr:uid="{4A775DD6-F610-4748-99DD-EDCADE4981D5}"/>
    <hyperlink ref="E38" r:id="rId58" xr:uid="{6993E8CB-7BC3-441C-88E3-2C3043D474B7}"/>
    <hyperlink ref="E39" r:id="rId59" xr:uid="{9C161036-8C0C-4DEB-BDA4-EC0DCAC33218}"/>
    <hyperlink ref="E40" r:id="rId60" xr:uid="{A9429E26-6071-4AD3-BF3D-A381FB98FC6C}"/>
    <hyperlink ref="E41" r:id="rId61" xr:uid="{0CFB18B5-2047-43E4-86E8-9872DE0B7CC1}"/>
    <hyperlink ref="D41" r:id="rId62" xr:uid="{657E46D6-3157-4D53-BA87-6455D48E3105}"/>
    <hyperlink ref="D40" r:id="rId63" xr:uid="{04792A42-B28B-41B4-9EE8-02B267957E22}"/>
    <hyperlink ref="D39" r:id="rId64" xr:uid="{547F0498-0A91-4244-A6A6-6F8F99B31E1B}"/>
    <hyperlink ref="D38" r:id="rId65" xr:uid="{E61AC8AD-C741-49A0-B6B9-18A04FC2F378}"/>
    <hyperlink ref="D37" r:id="rId66" xr:uid="{B4317733-C558-4851-9FB7-0782F86E76AA}"/>
    <hyperlink ref="G38" r:id="rId67" xr:uid="{DF6BC1B3-A386-4276-9F88-2500F9AF901E}"/>
    <hyperlink ref="G37" r:id="rId68" xr:uid="{8CA0286D-89B1-4521-806A-EDBBD9E3C35B}"/>
    <hyperlink ref="G41" r:id="rId69" xr:uid="{03A7B95B-8645-47AC-A769-62898388266C}"/>
    <hyperlink ref="G40" r:id="rId70" xr:uid="{06977698-A2EC-4711-B81C-9DEDC67F0D45}"/>
    <hyperlink ref="G39" r:id="rId71" xr:uid="{5A8F190E-7C50-4740-B416-459C2FE1EC69}"/>
    <hyperlink ref="F37" r:id="rId72" xr:uid="{E4E5C141-7046-4631-A1F4-5B892349F78C}"/>
    <hyperlink ref="F40" r:id="rId73" xr:uid="{39C36D9B-E2D7-44F5-A702-ABE2C82B84FE}"/>
    <hyperlink ref="F39" r:id="rId74" xr:uid="{E0B28A1B-196E-45B0-8083-4CADB766ACB1}"/>
    <hyperlink ref="F38" r:id="rId75" xr:uid="{48D940EF-5B37-447E-A1BA-29D5DDFEB75A}"/>
    <hyperlink ref="F41" r:id="rId76" xr:uid="{2665ADE7-1A95-449F-9C76-3296D9AFB24C}"/>
    <hyperlink ref="U10" r:id="rId77" xr:uid="{AA361A51-AB72-4E1C-AE0E-8A6A2086325F}"/>
    <hyperlink ref="U9" r:id="rId78" xr:uid="{869C48B2-0CCB-4A8B-97F3-FC6AE1E799D7}"/>
    <hyperlink ref="U23" r:id="rId79" xr:uid="{6857FB78-78A1-4062-BB5B-F2A218EC4C29}"/>
    <hyperlink ref="U11" r:id="rId80" xr:uid="{AE70307F-88FD-4EE2-9E13-A3F96615239D}"/>
    <hyperlink ref="U17" r:id="rId81" xr:uid="{4410DF77-4C7E-40E5-B244-4E47AB2D6197}"/>
    <hyperlink ref="U7" r:id="rId82" xr:uid="{E2066C16-F14B-4976-AA03-16440A836FA3}"/>
    <hyperlink ref="U6" r:id="rId83" xr:uid="{6B1F4761-F499-4BB0-AC3A-214FF95D980C}"/>
    <hyperlink ref="U8" r:id="rId84" xr:uid="{EA8C9E34-3CFA-4BBA-AF1F-A49560029B2A}"/>
    <hyperlink ref="U15" r:id="rId85" xr:uid="{3F884ED3-3642-4FA2-B5DE-F0847FD09B1E}"/>
    <hyperlink ref="U24" r:id="rId86" xr:uid="{03ECB388-3A41-4AC6-9041-F40FA7845C30}"/>
    <hyperlink ref="U26" r:id="rId87" xr:uid="{D35E94FA-55A8-4FAF-B658-32EBEF9B3F26}"/>
    <hyperlink ref="U22" r:id="rId88" xr:uid="{2A96F648-7A01-447D-9CCB-ED4D74AC3DBB}"/>
    <hyperlink ref="U2" r:id="rId89" xr:uid="{AF1B3122-D4B4-4317-B7FA-B4FD18AC3D5F}"/>
    <hyperlink ref="U16" r:id="rId90" xr:uid="{013D9622-DDEE-4E20-9B2E-685E02ECB28A}"/>
    <hyperlink ref="U3" r:id="rId91" xr:uid="{91574EB0-4A19-464F-A005-AADD4D5C4412}"/>
    <hyperlink ref="U18" r:id="rId92" xr:uid="{1D8DE57A-6655-4B12-814B-38BB39C376A7}"/>
    <hyperlink ref="U21" r:id="rId93" xr:uid="{C606642E-9F9C-4ABD-B332-F73107A80CDE}"/>
    <hyperlink ref="U13" r:id="rId94" xr:uid="{97DA76E4-B538-46EF-8F3C-E4A47514955A}"/>
    <hyperlink ref="U30" r:id="rId95" xr:uid="{A94F0B08-6DA3-4990-8C5A-590AC7525038}"/>
    <hyperlink ref="U14" r:id="rId96" xr:uid="{A8AD6FF1-D5E9-4D86-9714-D655BDFC766E}"/>
    <hyperlink ref="U12" r:id="rId97" xr:uid="{3D12026A-3227-4450-ADE7-F8FB4C4F8376}"/>
    <hyperlink ref="U20" r:id="rId98" xr:uid="{30CE4CF7-7F13-4403-93F7-8B3BBF4309EB}"/>
    <hyperlink ref="U27" r:id="rId99" xr:uid="{BD35FE99-5C00-49C7-9CBF-1D7CB688A3E2}"/>
    <hyperlink ref="U29" r:id="rId100" xr:uid="{D5223E55-4780-4926-AAF0-B6CB2A852CB3}"/>
    <hyperlink ref="U4" r:id="rId101" xr:uid="{1E7A6F05-7EE6-476E-9502-6044876C06C4}"/>
    <hyperlink ref="U28" r:id="rId102" xr:uid="{6DDD68F2-2BC0-4DA3-BD6D-C5F7CD0DF52E}"/>
    <hyperlink ref="U5" r:id="rId103" xr:uid="{B7B86493-2D4A-4C67-AC32-EF216C73FEB9}"/>
    <hyperlink ref="U19" r:id="rId104" xr:uid="{9C6B8BFF-0C78-4C55-957D-190A21ACCC46}"/>
    <hyperlink ref="U31" r:id="rId105" xr:uid="{C3BAB23A-894B-4B3B-871D-F2EF2AA4AD78}"/>
    <hyperlink ref="U25" r:id="rId106" xr:uid="{6E152226-6135-4647-BB65-40B16D0D3316}"/>
    <hyperlink ref="V1" r:id="rId107" xr:uid="{9F7A7B86-C4B9-4F37-8D14-9FBD66F79AD7}"/>
    <hyperlink ref="W1" r:id="rId108" xr:uid="{A238E880-EBA7-4CBE-A7E5-96AF99DB0A98}"/>
    <hyperlink ref="X1" r:id="rId109" xr:uid="{34C98A89-1440-42FD-8075-1A88C1B49E78}"/>
    <hyperlink ref="Y1" r:id="rId110" xr:uid="{5770B86F-B77C-4286-9D76-D28B32AD0DB5}"/>
    <hyperlink ref="Z1" r:id="rId111" xr:uid="{1B26B4BE-5806-4BD1-9574-758D2F28362D}"/>
    <hyperlink ref="AA1" r:id="rId112" xr:uid="{CDEEB152-F50E-4AD3-AE77-3DE7BB373500}"/>
    <hyperlink ref="AB1" r:id="rId113" xr:uid="{C6E230AA-2715-4EE4-8056-B1F111A1BE18}"/>
    <hyperlink ref="AC1" r:id="rId114" xr:uid="{1D48E99E-D38F-4E29-8AB0-676C0944D8B3}"/>
    <hyperlink ref="AD1" r:id="rId115" xr:uid="{AF20741B-E570-4A33-BF40-D645C092A91C}"/>
    <hyperlink ref="AE1" r:id="rId116" xr:uid="{E7157475-611B-4A14-91A3-FC440BAC92BC}"/>
    <hyperlink ref="AF1" r:id="rId117" xr:uid="{B9A5E737-1979-44CA-864B-BB8801B8D04B}"/>
    <hyperlink ref="AG1" r:id="rId118" xr:uid="{4D5BB79C-1926-4059-A7B3-B22E2B82B52E}"/>
    <hyperlink ref="AH1" r:id="rId119" xr:uid="{6E026D51-8CAF-45EE-A60A-AC26FEFA9AF6}"/>
    <hyperlink ref="AI1" r:id="rId120" xr:uid="{A07AFAC9-9BF7-4BB9-82B4-78B3F0AAE2DC}"/>
    <hyperlink ref="AJ1" r:id="rId121" xr:uid="{3C4A5982-1E75-4673-BB8F-01CF4659EFE6}"/>
    <hyperlink ref="AK1" r:id="rId122" xr:uid="{5D12A76B-E83E-4C88-A5B8-E4A80FC999AD}"/>
    <hyperlink ref="J39" r:id="rId123" xr:uid="{93681B1D-7659-4CD4-BB7C-5B3D92AC6A2A}"/>
    <hyperlink ref="J37" r:id="rId124" display="Chicago Cubs" xr:uid="{AD091B97-A4BF-4B82-94CF-93FC91EC222F}"/>
    <hyperlink ref="J38" r:id="rId125" xr:uid="{39252990-97E3-4A72-B389-FB75552DA2CA}"/>
    <hyperlink ref="J40" r:id="rId126" xr:uid="{A0B7B38F-2DEA-4A90-9572-A51D502CDD65}"/>
    <hyperlink ref="J41" r:id="rId127" xr:uid="{0FA263F6-8EB6-428E-AC72-2EDF1628B625}"/>
    <hyperlink ref="K37" r:id="rId128" xr:uid="{5F86904B-1743-4ED4-9C25-C254760D2156}"/>
    <hyperlink ref="K38" r:id="rId129" xr:uid="{493D70B7-03F7-4D0C-A400-2CAFAEDA89CF}"/>
    <hyperlink ref="K41" r:id="rId130" xr:uid="{D17083B2-503B-41CD-A82C-5861505B8686}"/>
    <hyperlink ref="K39" r:id="rId131" xr:uid="{33280805-7BC7-4A9A-BC0A-1C80F19DAD67}"/>
    <hyperlink ref="K40" r:id="rId132" xr:uid="{109D11A3-68D8-4A93-BCBC-0553AC89B267}"/>
    <hyperlink ref="L40" r:id="rId133" xr:uid="{EF1ED5A6-1959-4512-9670-633D526A433A}"/>
    <hyperlink ref="L37" r:id="rId134" xr:uid="{FC059150-79BD-4490-8EE0-1C80C2D2490D}"/>
    <hyperlink ref="L38" r:id="rId135" xr:uid="{E2D77AD5-F6AA-402F-A9CC-1C101FC4048E}"/>
    <hyperlink ref="L41" r:id="rId136" xr:uid="{C2DCED13-2227-4C21-83D7-F3B1F53E6939}"/>
    <hyperlink ref="L39" r:id="rId137" xr:uid="{0FB7E41B-E928-4C7E-8003-94E69606FD5E}"/>
    <hyperlink ref="M37" r:id="rId138" xr:uid="{C908F4D3-349D-4541-86DB-D8FBC78C0167}"/>
    <hyperlink ref="M38" r:id="rId139" xr:uid="{5ACA6436-B7FD-4236-A001-162036C632AB}"/>
    <hyperlink ref="M39" r:id="rId140" xr:uid="{4E0CB443-AA9B-4C47-8336-A4FF8B1E04D6}"/>
    <hyperlink ref="M41" r:id="rId141" xr:uid="{386476FC-BBC1-4717-A9DF-73B1794CCFB1}"/>
    <hyperlink ref="M40" r:id="rId142" xr:uid="{A0A2636D-B4AF-4938-AAB5-04F657ABF894}"/>
    <hyperlink ref="N38" r:id="rId143" xr:uid="{D354D57D-390E-4372-A3B9-F5451688B599}"/>
    <hyperlink ref="N41" r:id="rId144" xr:uid="{CF479606-D778-4307-ADC2-87EC9DEDDA8C}"/>
    <hyperlink ref="N39" r:id="rId145" xr:uid="{E5223536-3345-44C8-9677-EA4A3710A321}"/>
    <hyperlink ref="N40" r:id="rId146" xr:uid="{9A6FC2E3-FE94-4BF7-864C-16D86C3ADEB1}"/>
    <hyperlink ref="N37" r:id="rId147" xr:uid="{C089B782-53A0-4C80-AF69-0061560766A7}"/>
    <hyperlink ref="O41" r:id="rId148" xr:uid="{6760B04D-816D-4C9D-8B31-4083640B0DE7}"/>
    <hyperlink ref="O37" r:id="rId149" xr:uid="{9AA6A5B8-D56B-4411-A93E-0DF6102AFF7D}"/>
    <hyperlink ref="O38" r:id="rId150" xr:uid="{6ADCC3E1-2E10-432D-8879-485773F7E0F6}"/>
    <hyperlink ref="O39" r:id="rId151" xr:uid="{F1CA3046-8A28-4BBE-B6A5-B36EB50214D8}"/>
    <hyperlink ref="O40" r:id="rId152" xr:uid="{0C957D39-4559-4BFD-909A-A6DEA9AE9081}"/>
    <hyperlink ref="D44" r:id="rId153" display="6:40 PM" xr:uid="{65C94EBA-AA21-496D-AE08-620946849837}"/>
    <hyperlink ref="D45" r:id="rId154" display="6:45 PM" xr:uid="{12D86E51-5DD4-4249-9C4A-276805A9D5F8}"/>
    <hyperlink ref="D46" r:id="rId155" display="7:05 PM" xr:uid="{4D831D62-39A4-4285-9A83-6398AEF8B5BD}"/>
    <hyperlink ref="D47" r:id="rId156" display="7:05 PM" xr:uid="{3139C58A-B6ED-4E21-86A0-8A7E9752C652}"/>
    <hyperlink ref="D48" r:id="rId157" display="7:07 PM" xr:uid="{D8B2A33F-35E9-428A-97C2-DB5BF014D4D3}"/>
    <hyperlink ref="D49" r:id="rId158" display="7:40 PM" xr:uid="{1F731D3F-98E8-497F-8DB6-50B0342D0FEE}"/>
    <hyperlink ref="D50" r:id="rId159" display="7:40 PM" xr:uid="{3265D6DC-DC26-4222-A0CC-35B6CB877ECD}"/>
    <hyperlink ref="D51" r:id="rId160" display="7:45 PM" xr:uid="{EBC532C1-CFB7-40F4-B848-EBF1BD2C86A7}"/>
    <hyperlink ref="D52" r:id="rId161" display="9:40 PM" xr:uid="{329C9404-C2F4-489F-9EEF-E7BBFA2E5D3D}"/>
    <hyperlink ref="C44" r:id="rId162" display="  @  Pittsburgh" xr:uid="{43049E3C-F38D-4ED8-B172-203EFD986EC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1BE710-B233-4855-9712-2BAB9FA4BE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</vt:i4>
      </vt:variant>
    </vt:vector>
  </HeadingPairs>
  <TitlesOfParts>
    <vt:vector size="22" baseType="lpstr">
      <vt:lpstr>Sheet4</vt:lpstr>
      <vt:lpstr>Strategy</vt:lpstr>
      <vt:lpstr>Matchup</vt:lpstr>
      <vt:lpstr>NBA Rosters</vt:lpstr>
      <vt:lpstr>PlayerStatsSeasonSource</vt:lpstr>
      <vt:lpstr>PlayerStatsSeason</vt:lpstr>
      <vt:lpstr>TeamRatingsSource</vt:lpstr>
      <vt:lpstr>TeamStats</vt:lpstr>
      <vt:lpstr>TeamID</vt:lpstr>
      <vt:lpstr>Results</vt:lpstr>
      <vt:lpstr>PlayerWorking</vt:lpstr>
      <vt:lpstr>PlayerStatsPlayoffs</vt:lpstr>
      <vt:lpstr>PlayoffSchedule</vt:lpstr>
      <vt:lpstr>Picks</vt:lpstr>
      <vt:lpstr>Hx</vt:lpstr>
      <vt:lpstr>Sheet2</vt:lpstr>
      <vt:lpstr>Sheet1</vt:lpstr>
      <vt:lpstr>NCAA Men BB</vt:lpstr>
      <vt:lpstr>MLB</vt:lpstr>
      <vt:lpstr>team_id</vt:lpstr>
      <vt:lpstr>TeamID</vt:lpstr>
      <vt:lpstr>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Hale</dc:creator>
  <cp:keywords/>
  <dc:description/>
  <cp:lastModifiedBy>Kevin Hale</cp:lastModifiedBy>
  <cp:revision/>
  <dcterms:created xsi:type="dcterms:W3CDTF">2025-04-02T02:24:02Z</dcterms:created>
  <dcterms:modified xsi:type="dcterms:W3CDTF">2026-01-29T01:43:49Z</dcterms:modified>
  <cp:category/>
  <cp:contentStatus/>
</cp:coreProperties>
</file>